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Ctsintbmntappa\uds\UDS\Disability TAM\03.Development\November_2016_Requirements\05-Testing\BAC_LeaveIntegrationFile\Summary\04-13\"/>
    </mc:Choice>
  </mc:AlternateContent>
  <bookViews>
    <workbookView xWindow="0" yWindow="0" windowWidth="18195" windowHeight="6975" activeTab="1"/>
  </bookViews>
  <sheets>
    <sheet name="Summary" sheetId="6" r:id="rId1"/>
    <sheet name="Feedfile" sheetId="5" r:id="rId2"/>
    <sheet name="xFeedfile" sheetId="1" state="hidden" r:id="rId3"/>
    <sheet name="LookUp" sheetId="2" r:id="rId4"/>
  </sheets>
  <definedNames>
    <definedName name="_xlnm._FilterDatabase" localSheetId="1" hidden="1">Feedfile!#REF!</definedName>
    <definedName name="FeedRunDate">LookUp!$G$2</definedName>
  </definedNames>
  <calcPr calcId="152511"/>
  <pivotCaches>
    <pivotCache cacheId="6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" i="5" l="1"/>
  <c r="AG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G152" i="5"/>
  <c r="AG153" i="5"/>
  <c r="AG154" i="5"/>
  <c r="AG155" i="5"/>
  <c r="AG156" i="5"/>
  <c r="AG157" i="5"/>
  <c r="AG158" i="5"/>
  <c r="AG159" i="5"/>
  <c r="AG160" i="5"/>
  <c r="AG161" i="5"/>
  <c r="AG162" i="5"/>
  <c r="AG163" i="5"/>
  <c r="AG164" i="5"/>
  <c r="AG165" i="5"/>
  <c r="AG166" i="5"/>
  <c r="AG167" i="5"/>
  <c r="AG168" i="5"/>
  <c r="AG169" i="5"/>
  <c r="AG170" i="5"/>
  <c r="AG171" i="5"/>
  <c r="AG172" i="5"/>
  <c r="AG173" i="5"/>
  <c r="AG174" i="5"/>
  <c r="AG175" i="5"/>
  <c r="AG176" i="5"/>
  <c r="AG177" i="5"/>
  <c r="AG178" i="5"/>
  <c r="AG179" i="5"/>
  <c r="AG180" i="5"/>
  <c r="AG181" i="5"/>
  <c r="AG182" i="5"/>
  <c r="AG183" i="5"/>
  <c r="AG184" i="5"/>
  <c r="AG185" i="5"/>
  <c r="AG186" i="5"/>
  <c r="AG187" i="5"/>
  <c r="AG188" i="5"/>
  <c r="AG189" i="5"/>
  <c r="AG190" i="5"/>
  <c r="AG191" i="5"/>
  <c r="AG192" i="5"/>
  <c r="AG193" i="5"/>
  <c r="AG194" i="5"/>
  <c r="AG195" i="5"/>
  <c r="AG196" i="5"/>
  <c r="AG197" i="5"/>
  <c r="AG198" i="5"/>
  <c r="AG199" i="5"/>
  <c r="AG200" i="5"/>
  <c r="AG201" i="5"/>
  <c r="AG202" i="5"/>
  <c r="AG203" i="5"/>
  <c r="AG204" i="5"/>
  <c r="AG205" i="5"/>
  <c r="AG206" i="5"/>
  <c r="AG207" i="5"/>
  <c r="AG208" i="5"/>
  <c r="AG209" i="5"/>
  <c r="AG210" i="5"/>
  <c r="AG211" i="5"/>
  <c r="AG212" i="5"/>
  <c r="AG213" i="5"/>
  <c r="AG214" i="5"/>
  <c r="AG215" i="5"/>
  <c r="AG216" i="5"/>
  <c r="AG217" i="5"/>
  <c r="AG218" i="5"/>
  <c r="AG219" i="5"/>
  <c r="AG220" i="5"/>
  <c r="AG221" i="5"/>
  <c r="AG222" i="5"/>
  <c r="AG223" i="5"/>
  <c r="AG224" i="5"/>
  <c r="AG225" i="5"/>
  <c r="AG226" i="5"/>
  <c r="AG227" i="5"/>
  <c r="AG228" i="5"/>
  <c r="AG229" i="5"/>
  <c r="AG230" i="5"/>
  <c r="AG231" i="5"/>
  <c r="AG232" i="5"/>
  <c r="AG233" i="5"/>
  <c r="AG234" i="5"/>
  <c r="AG235" i="5"/>
  <c r="AG236" i="5"/>
  <c r="AG237" i="5"/>
  <c r="AG238" i="5"/>
  <c r="AG239" i="5"/>
  <c r="AG240" i="5"/>
  <c r="AG241" i="5"/>
  <c r="AG242" i="5"/>
  <c r="AG243" i="5"/>
  <c r="AG244" i="5"/>
  <c r="AG245" i="5"/>
  <c r="AG246" i="5"/>
  <c r="AG247" i="5"/>
  <c r="AG248" i="5"/>
  <c r="AG249" i="5"/>
  <c r="AG250" i="5"/>
  <c r="AG251" i="5"/>
  <c r="AG252" i="5"/>
  <c r="AG253" i="5"/>
  <c r="AG254" i="5"/>
  <c r="AG255" i="5"/>
  <c r="AG256" i="5"/>
  <c r="AG257" i="5"/>
  <c r="AG258" i="5"/>
  <c r="AG259" i="5"/>
  <c r="AG260" i="5"/>
  <c r="AG261" i="5"/>
  <c r="AG262" i="5"/>
  <c r="AG263" i="5"/>
  <c r="AG264" i="5"/>
  <c r="AG265" i="5"/>
  <c r="AG266" i="5"/>
  <c r="AG267" i="5"/>
  <c r="AG268" i="5"/>
  <c r="AG269" i="5"/>
  <c r="AG270" i="5"/>
  <c r="AG271" i="5"/>
  <c r="AG272" i="5"/>
  <c r="AG273" i="5"/>
  <c r="AG274" i="5"/>
  <c r="AG275" i="5"/>
  <c r="AG276" i="5"/>
  <c r="AG277" i="5"/>
  <c r="AG278" i="5"/>
  <c r="AG279" i="5"/>
  <c r="AG280" i="5"/>
  <c r="AG281" i="5"/>
  <c r="AG282" i="5"/>
  <c r="AG283" i="5"/>
  <c r="AG284" i="5"/>
  <c r="AG285" i="5"/>
  <c r="AG286" i="5"/>
  <c r="AG287" i="5"/>
  <c r="AG288" i="5"/>
  <c r="AG289" i="5"/>
  <c r="AG290" i="5"/>
  <c r="AG291" i="5"/>
  <c r="AG292" i="5"/>
  <c r="AG293" i="5"/>
  <c r="AG294" i="5"/>
  <c r="AG295" i="5"/>
  <c r="AG296" i="5"/>
  <c r="AG297" i="5"/>
  <c r="AG298" i="5"/>
  <c r="AG299" i="5"/>
  <c r="AG300" i="5"/>
  <c r="AG301" i="5"/>
  <c r="AG302" i="5"/>
  <c r="AG303" i="5"/>
  <c r="AG304" i="5"/>
  <c r="AG305" i="5"/>
  <c r="AG306" i="5"/>
  <c r="AG307" i="5"/>
  <c r="AG308" i="5"/>
  <c r="AG309" i="5"/>
  <c r="AG310" i="5"/>
  <c r="AG311" i="5"/>
  <c r="AG312" i="5"/>
  <c r="AG313" i="5"/>
  <c r="AG314" i="5"/>
  <c r="AG315" i="5"/>
  <c r="AG316" i="5"/>
  <c r="AG317" i="5"/>
  <c r="AG318" i="5"/>
  <c r="AG319" i="5"/>
  <c r="AG320" i="5"/>
  <c r="AG321" i="5"/>
  <c r="AG322" i="5"/>
  <c r="AG323" i="5"/>
  <c r="AG324" i="5"/>
  <c r="AG325" i="5"/>
  <c r="AG326" i="5"/>
  <c r="AG327" i="5"/>
  <c r="AG328" i="5"/>
  <c r="AG329" i="5"/>
  <c r="AG330" i="5"/>
  <c r="AG331" i="5"/>
  <c r="AG332" i="5"/>
  <c r="AG333" i="5"/>
  <c r="AG334" i="5"/>
  <c r="AG335" i="5"/>
  <c r="AG336" i="5"/>
  <c r="AG337" i="5"/>
  <c r="AG338" i="5"/>
  <c r="AG339" i="5"/>
  <c r="AG340" i="5"/>
  <c r="AG341" i="5"/>
  <c r="AG342" i="5"/>
  <c r="AG343" i="5"/>
  <c r="AG344" i="5"/>
  <c r="AG345" i="5"/>
  <c r="AG346" i="5"/>
  <c r="AG347" i="5"/>
  <c r="AG348" i="5"/>
  <c r="AG349" i="5"/>
  <c r="AG350" i="5"/>
  <c r="AG351" i="5"/>
  <c r="AG352" i="5"/>
  <c r="AG353" i="5"/>
  <c r="AG354" i="5"/>
  <c r="AG355" i="5"/>
  <c r="AG356" i="5"/>
  <c r="AG357" i="5"/>
  <c r="AG358" i="5"/>
  <c r="AG359" i="5"/>
  <c r="AG360" i="5"/>
  <c r="AG361" i="5"/>
  <c r="AG362" i="5"/>
  <c r="AG363" i="5"/>
  <c r="AG364" i="5"/>
  <c r="AG365" i="5"/>
  <c r="AG366" i="5"/>
  <c r="AG367" i="5"/>
  <c r="AG368" i="5"/>
  <c r="AG369" i="5"/>
  <c r="AG370" i="5"/>
  <c r="AG371" i="5"/>
  <c r="AG372" i="5"/>
  <c r="AG373" i="5"/>
  <c r="AG374" i="5"/>
  <c r="AG375" i="5"/>
  <c r="AG376" i="5"/>
  <c r="AG377" i="5"/>
  <c r="AG378" i="5"/>
  <c r="AG379" i="5"/>
  <c r="AG380" i="5"/>
  <c r="AG381" i="5"/>
  <c r="AG382" i="5"/>
  <c r="AG383" i="5"/>
  <c r="AG384" i="5"/>
  <c r="AG385" i="5"/>
  <c r="AG386" i="5"/>
  <c r="AG387" i="5"/>
  <c r="AG388" i="5"/>
  <c r="AG389" i="5"/>
  <c r="AG390" i="5"/>
  <c r="AG391" i="5"/>
  <c r="AG392" i="5"/>
  <c r="AG393" i="5"/>
  <c r="AG394" i="5"/>
  <c r="AG395" i="5"/>
  <c r="AG396" i="5"/>
  <c r="AG397" i="5"/>
  <c r="AG398" i="5"/>
  <c r="AG399" i="5"/>
  <c r="AG400" i="5"/>
  <c r="AG401" i="5"/>
  <c r="AG402" i="5"/>
  <c r="AG403" i="5"/>
  <c r="AG404" i="5"/>
  <c r="AG405" i="5"/>
  <c r="AG406" i="5"/>
  <c r="AG407" i="5"/>
  <c r="AG408" i="5"/>
  <c r="AG409" i="5"/>
  <c r="AG410" i="5"/>
  <c r="AG411" i="5"/>
  <c r="AG412" i="5"/>
  <c r="AG413" i="5"/>
  <c r="AG414" i="5"/>
  <c r="AG415" i="5"/>
  <c r="AG416" i="5"/>
  <c r="AG417" i="5"/>
  <c r="AG418" i="5"/>
  <c r="AG419" i="5"/>
  <c r="AG420" i="5"/>
  <c r="AG421" i="5"/>
  <c r="AG422" i="5"/>
  <c r="AG423" i="5"/>
  <c r="AG424" i="5"/>
  <c r="AG425" i="5"/>
  <c r="AG426" i="5"/>
  <c r="AG427" i="5"/>
  <c r="AG428" i="5"/>
  <c r="AG429" i="5"/>
  <c r="AG430" i="5"/>
  <c r="AG431" i="5"/>
  <c r="AG432" i="5"/>
  <c r="AG433" i="5"/>
  <c r="AG434" i="5"/>
  <c r="AG435" i="5"/>
  <c r="AG436" i="5"/>
  <c r="AG437" i="5"/>
  <c r="AG438" i="5"/>
  <c r="AG439" i="5"/>
  <c r="AG440" i="5"/>
  <c r="AG441" i="5"/>
  <c r="AG442" i="5"/>
  <c r="AG443" i="5"/>
  <c r="AG444" i="5"/>
  <c r="AG445" i="5"/>
  <c r="AG446" i="5"/>
  <c r="AG447" i="5"/>
  <c r="AG448" i="5"/>
  <c r="AG449" i="5"/>
  <c r="AG450" i="5"/>
  <c r="AG451" i="5"/>
  <c r="AG452" i="5"/>
  <c r="AG453" i="5"/>
  <c r="AG454" i="5"/>
  <c r="AG455" i="5"/>
  <c r="AG456" i="5"/>
  <c r="AG457" i="5"/>
  <c r="AG458" i="5"/>
  <c r="AG459" i="5"/>
  <c r="AG460" i="5"/>
  <c r="AG461" i="5"/>
  <c r="AG462" i="5"/>
  <c r="AG463" i="5"/>
  <c r="AG464" i="5"/>
  <c r="AG465" i="5"/>
  <c r="AG466" i="5"/>
  <c r="AG467" i="5"/>
  <c r="AG468" i="5"/>
  <c r="AG469" i="5"/>
  <c r="AG470" i="5"/>
  <c r="AG471" i="5"/>
  <c r="AG472" i="5"/>
  <c r="AG473" i="5"/>
  <c r="AG474" i="5"/>
  <c r="AG475" i="5"/>
  <c r="AG476" i="5"/>
  <c r="AG477" i="5"/>
  <c r="AG478" i="5"/>
  <c r="AG479" i="5"/>
  <c r="AG480" i="5"/>
  <c r="AG481" i="5"/>
  <c r="AG482" i="5"/>
  <c r="AG483" i="5"/>
  <c r="AG484" i="5"/>
  <c r="AG485" i="5"/>
  <c r="AG486" i="5"/>
  <c r="AG487" i="5"/>
  <c r="AG488" i="5"/>
  <c r="AG489" i="5"/>
  <c r="AG490" i="5"/>
  <c r="AG491" i="5"/>
  <c r="AG492" i="5"/>
  <c r="AG493" i="5"/>
  <c r="AG494" i="5"/>
  <c r="AG495" i="5"/>
  <c r="AG496" i="5"/>
  <c r="AG497" i="5"/>
  <c r="AG498" i="5"/>
  <c r="AG499" i="5"/>
  <c r="AG500" i="5"/>
  <c r="AG501" i="5"/>
  <c r="AG502" i="5"/>
  <c r="AG503" i="5"/>
  <c r="AG504" i="5"/>
  <c r="AG505" i="5"/>
  <c r="AG506" i="5"/>
  <c r="AG507" i="5"/>
  <c r="AG508" i="5"/>
  <c r="AG509" i="5"/>
  <c r="AG510" i="5"/>
  <c r="AG511" i="5"/>
  <c r="AG512" i="5"/>
  <c r="AG513" i="5"/>
  <c r="AG514" i="5"/>
  <c r="AG515" i="5"/>
  <c r="AG516" i="5"/>
  <c r="AG517" i="5"/>
  <c r="AG518" i="5"/>
  <c r="AG519" i="5"/>
  <c r="AG520" i="5"/>
  <c r="AG521" i="5"/>
  <c r="AG522" i="5"/>
  <c r="AG523" i="5"/>
  <c r="AG524" i="5"/>
  <c r="AG525" i="5"/>
  <c r="AG526" i="5"/>
  <c r="AG527" i="5"/>
  <c r="AG528" i="5"/>
  <c r="AG529" i="5"/>
  <c r="AG530" i="5"/>
  <c r="AG531" i="5"/>
  <c r="AG532" i="5"/>
  <c r="AG533" i="5"/>
  <c r="AG534" i="5"/>
  <c r="AG535" i="5"/>
  <c r="AG536" i="5"/>
  <c r="AG537" i="5"/>
  <c r="AG538" i="5"/>
  <c r="AG539" i="5"/>
  <c r="AG540" i="5"/>
  <c r="AG541" i="5"/>
  <c r="AG542" i="5"/>
  <c r="AG543" i="5"/>
  <c r="AG544" i="5"/>
  <c r="AG545" i="5"/>
  <c r="AG546" i="5"/>
  <c r="AG547" i="5"/>
  <c r="AG548" i="5"/>
  <c r="AG549" i="5"/>
  <c r="AG550" i="5"/>
  <c r="AG551" i="5"/>
  <c r="AG552" i="5"/>
  <c r="AG553" i="5"/>
  <c r="AG554" i="5"/>
  <c r="AG555" i="5"/>
  <c r="AG556" i="5"/>
  <c r="AG557" i="5"/>
  <c r="AG558" i="5"/>
  <c r="AG559" i="5"/>
  <c r="AG560" i="5"/>
  <c r="AG561" i="5"/>
  <c r="AG562" i="5"/>
  <c r="AG563" i="5"/>
  <c r="AG564" i="5"/>
  <c r="AG565" i="5"/>
  <c r="AG566" i="5"/>
  <c r="AG567" i="5"/>
  <c r="AG568" i="5"/>
  <c r="AG569" i="5"/>
  <c r="AG570" i="5"/>
  <c r="AG571" i="5"/>
  <c r="AG572" i="5"/>
  <c r="AG573" i="5"/>
  <c r="AG574" i="5"/>
  <c r="AG575" i="5"/>
  <c r="AG576" i="5"/>
  <c r="AG577" i="5"/>
  <c r="AG578" i="5"/>
  <c r="AG579" i="5"/>
  <c r="AG580" i="5"/>
  <c r="AG581" i="5"/>
  <c r="AG582" i="5"/>
  <c r="AG583" i="5"/>
  <c r="AG584" i="5"/>
  <c r="AG585" i="5"/>
  <c r="AG586" i="5"/>
  <c r="AG587" i="5"/>
  <c r="AG588" i="5"/>
  <c r="AG589" i="5"/>
  <c r="AG590" i="5"/>
  <c r="AG591" i="5"/>
  <c r="AG592" i="5"/>
  <c r="AG593" i="5"/>
  <c r="AG594" i="5"/>
  <c r="AG595" i="5"/>
  <c r="AG596" i="5"/>
  <c r="AG597" i="5"/>
  <c r="AG598" i="5"/>
  <c r="AG599" i="5"/>
  <c r="AG600" i="5"/>
  <c r="AG601" i="5"/>
  <c r="AG602" i="5"/>
  <c r="AG603" i="5"/>
  <c r="AG604" i="5"/>
  <c r="AG605" i="5"/>
  <c r="AG606" i="5"/>
  <c r="AG607" i="5"/>
  <c r="AG608" i="5"/>
  <c r="AG609" i="5"/>
  <c r="AG610" i="5"/>
  <c r="AG611" i="5"/>
  <c r="AG612" i="5"/>
  <c r="AG613" i="5"/>
  <c r="AG614" i="5"/>
  <c r="AG615" i="5"/>
  <c r="AG616" i="5"/>
  <c r="AG617" i="5"/>
  <c r="AG618" i="5"/>
  <c r="AG619" i="5"/>
  <c r="AG620" i="5"/>
  <c r="AG621" i="5"/>
  <c r="AG622" i="5"/>
  <c r="AG623" i="5"/>
  <c r="AG624" i="5"/>
  <c r="AG625" i="5"/>
  <c r="AG626" i="5"/>
  <c r="AG627" i="5"/>
  <c r="AG628" i="5"/>
  <c r="AG629" i="5"/>
  <c r="AG630" i="5"/>
  <c r="AG631" i="5"/>
  <c r="AG632" i="5"/>
  <c r="AG633" i="5"/>
  <c r="AG634" i="5"/>
  <c r="AG635" i="5"/>
  <c r="AG636" i="5"/>
  <c r="AG637" i="5"/>
  <c r="AG638" i="5"/>
  <c r="AG639" i="5"/>
  <c r="AG640" i="5"/>
  <c r="AG641" i="5"/>
  <c r="AG642" i="5"/>
  <c r="AG643" i="5"/>
  <c r="AG644" i="5"/>
  <c r="AG645" i="5"/>
  <c r="AG646" i="5"/>
  <c r="AG647" i="5"/>
  <c r="AG648" i="5"/>
  <c r="AG649" i="5"/>
  <c r="AG650" i="5"/>
  <c r="AG651" i="5"/>
  <c r="AG652" i="5"/>
  <c r="AG653" i="5"/>
  <c r="AG654" i="5"/>
  <c r="AG655" i="5"/>
  <c r="AG656" i="5"/>
  <c r="AG657" i="5"/>
  <c r="AG658" i="5"/>
  <c r="AG659" i="5"/>
  <c r="AG660" i="5"/>
  <c r="AG661" i="5"/>
  <c r="AG662" i="5"/>
  <c r="AG663" i="5"/>
  <c r="AG664" i="5"/>
  <c r="AG665" i="5"/>
  <c r="AG666" i="5"/>
  <c r="AG667" i="5"/>
  <c r="AG668" i="5"/>
  <c r="AG669" i="5"/>
  <c r="AG670" i="5"/>
  <c r="AG671" i="5"/>
  <c r="AG672" i="5"/>
  <c r="AG673" i="5"/>
  <c r="AG674" i="5"/>
  <c r="AG675" i="5"/>
  <c r="AG676" i="5"/>
  <c r="AG677" i="5"/>
  <c r="AG678" i="5"/>
  <c r="AG679" i="5"/>
  <c r="AG680" i="5"/>
  <c r="AG681" i="5"/>
  <c r="AG682" i="5"/>
  <c r="AG683" i="5"/>
  <c r="AG684" i="5"/>
  <c r="AG685" i="5"/>
  <c r="AG686" i="5"/>
  <c r="AG687" i="5"/>
  <c r="AG688" i="5"/>
  <c r="AG689" i="5"/>
  <c r="AG690" i="5"/>
  <c r="AG691" i="5"/>
  <c r="AG692" i="5"/>
  <c r="AG693" i="5"/>
  <c r="AG694" i="5"/>
  <c r="AG695" i="5"/>
  <c r="AG696" i="5"/>
  <c r="AG697" i="5"/>
  <c r="AG698" i="5"/>
  <c r="AG699" i="5"/>
  <c r="AG700" i="5"/>
  <c r="AG701" i="5"/>
  <c r="AG702" i="5"/>
  <c r="AG703" i="5"/>
  <c r="AG704" i="5"/>
  <c r="AG705" i="5"/>
  <c r="AG706" i="5"/>
  <c r="AG707" i="5"/>
  <c r="AG708" i="5"/>
  <c r="AG709" i="5"/>
  <c r="AG710" i="5"/>
  <c r="AG711" i="5"/>
  <c r="AG712" i="5"/>
  <c r="AG713" i="5"/>
  <c r="AG714" i="5"/>
  <c r="AG715" i="5"/>
  <c r="AG716" i="5"/>
  <c r="AG717" i="5"/>
  <c r="AG718" i="5"/>
  <c r="AG719" i="5"/>
  <c r="AG720" i="5"/>
  <c r="AG721" i="5"/>
  <c r="AG722" i="5"/>
  <c r="AG723" i="5"/>
  <c r="AG724" i="5"/>
  <c r="AG725" i="5"/>
  <c r="AG726" i="5"/>
  <c r="AG727" i="5"/>
  <c r="AG728" i="5"/>
  <c r="AG729" i="5"/>
  <c r="AG730" i="5"/>
  <c r="AG731" i="5"/>
  <c r="AG732" i="5"/>
  <c r="AG733" i="5"/>
  <c r="AG734" i="5"/>
  <c r="AG735" i="5"/>
  <c r="AG736" i="5"/>
  <c r="AG737" i="5"/>
  <c r="AG738" i="5"/>
  <c r="AG739" i="5"/>
  <c r="AG740" i="5"/>
  <c r="AG741" i="5"/>
  <c r="AG742" i="5"/>
  <c r="AG743" i="5"/>
  <c r="AG744" i="5"/>
  <c r="AG745" i="5"/>
  <c r="AG746" i="5"/>
  <c r="AG747" i="5"/>
  <c r="AG748" i="5"/>
  <c r="AG749" i="5"/>
  <c r="AG750" i="5"/>
  <c r="AG751" i="5"/>
  <c r="AG752" i="5"/>
  <c r="AG753" i="5"/>
  <c r="AG754" i="5"/>
  <c r="AG755" i="5"/>
  <c r="AG756" i="5"/>
  <c r="AG757" i="5"/>
  <c r="AG758" i="5"/>
  <c r="AG759" i="5"/>
  <c r="AG760" i="5"/>
  <c r="AG761" i="5"/>
  <c r="AG762" i="5"/>
  <c r="AG763" i="5"/>
  <c r="AG764" i="5"/>
  <c r="AG765" i="5"/>
  <c r="AG766" i="5"/>
  <c r="AG767" i="5"/>
  <c r="AG768" i="5"/>
  <c r="AG769" i="5"/>
  <c r="AG770" i="5"/>
  <c r="AG771" i="5"/>
  <c r="AG772" i="5"/>
  <c r="AG773" i="5"/>
  <c r="AG774" i="5"/>
  <c r="AG775" i="5"/>
  <c r="AG776" i="5"/>
  <c r="AG777" i="5"/>
  <c r="AG778" i="5"/>
  <c r="AG779" i="5"/>
  <c r="AG780" i="5"/>
  <c r="AG781" i="5"/>
  <c r="AG782" i="5"/>
  <c r="AG783" i="5"/>
  <c r="AG784" i="5"/>
  <c r="AG785" i="5"/>
  <c r="AG786" i="5"/>
  <c r="AG787" i="5"/>
  <c r="AG788" i="5"/>
  <c r="AG789" i="5"/>
  <c r="AG790" i="5"/>
  <c r="AG791" i="5"/>
  <c r="AG792" i="5"/>
  <c r="AG793" i="5"/>
  <c r="AG794" i="5"/>
  <c r="AG795" i="5"/>
  <c r="AG796" i="5"/>
  <c r="AG797" i="5"/>
  <c r="AG798" i="5"/>
  <c r="AG799" i="5"/>
  <c r="AG800" i="5"/>
  <c r="AG801" i="5"/>
  <c r="AG802" i="5"/>
  <c r="AG803" i="5"/>
  <c r="AG804" i="5"/>
  <c r="AG805" i="5"/>
  <c r="AG806" i="5"/>
  <c r="AG807" i="5"/>
  <c r="AG808" i="5"/>
  <c r="AG809" i="5"/>
  <c r="AG810" i="5"/>
  <c r="AG811" i="5"/>
  <c r="AG812" i="5"/>
  <c r="AG813" i="5"/>
  <c r="AG814" i="5"/>
  <c r="AG815" i="5"/>
  <c r="AG816" i="5"/>
  <c r="AG817" i="5"/>
  <c r="AG818" i="5"/>
  <c r="AG819" i="5"/>
  <c r="AG820" i="5"/>
  <c r="AG821" i="5"/>
  <c r="AG822" i="5"/>
  <c r="AG823" i="5"/>
  <c r="AG824" i="5"/>
  <c r="AG825" i="5"/>
  <c r="AG826" i="5"/>
  <c r="AG827" i="5"/>
  <c r="AG828" i="5"/>
  <c r="AG829" i="5"/>
  <c r="AG830" i="5"/>
  <c r="AG831" i="5"/>
  <c r="AG832" i="5"/>
  <c r="AG833" i="5"/>
  <c r="AG834" i="5"/>
  <c r="AG835" i="5"/>
  <c r="AG836" i="5"/>
  <c r="AG837" i="5"/>
  <c r="AG838" i="5"/>
  <c r="AG839" i="5"/>
  <c r="AG840" i="5"/>
  <c r="AG841" i="5"/>
  <c r="AG842" i="5"/>
  <c r="AG843" i="5"/>
  <c r="AG844" i="5"/>
  <c r="AG845" i="5"/>
  <c r="AG846" i="5"/>
  <c r="AG847" i="5"/>
  <c r="AG848" i="5"/>
  <c r="AG849" i="5"/>
  <c r="AG850" i="5"/>
  <c r="AG851" i="5"/>
  <c r="AH736" i="5"/>
  <c r="AH737" i="5"/>
  <c r="AH738" i="5"/>
  <c r="AH739" i="5"/>
  <c r="AH740" i="5"/>
  <c r="AH741" i="5"/>
  <c r="AH742" i="5"/>
  <c r="AH743" i="5"/>
  <c r="AH744" i="5"/>
  <c r="AH745" i="5"/>
  <c r="AH746" i="5"/>
  <c r="AH747" i="5"/>
  <c r="AH748" i="5"/>
  <c r="AH749" i="5"/>
  <c r="AH750" i="5"/>
  <c r="AH751" i="5"/>
  <c r="AH752" i="5"/>
  <c r="AH753" i="5"/>
  <c r="AH754" i="5"/>
  <c r="AH755" i="5"/>
  <c r="AH756" i="5"/>
  <c r="AH757" i="5"/>
  <c r="AH758" i="5"/>
  <c r="AH759" i="5"/>
  <c r="AH760" i="5"/>
  <c r="AH761" i="5"/>
  <c r="AH762" i="5"/>
  <c r="AH763" i="5"/>
  <c r="AH764" i="5"/>
  <c r="AH765" i="5"/>
  <c r="AH766" i="5"/>
  <c r="AH767" i="5"/>
  <c r="AH768" i="5"/>
  <c r="AH769" i="5"/>
  <c r="AH770" i="5"/>
  <c r="AH771" i="5"/>
  <c r="AH772" i="5"/>
  <c r="AH773" i="5"/>
  <c r="AH774" i="5"/>
  <c r="AH775" i="5"/>
  <c r="AH776" i="5"/>
  <c r="AH777" i="5"/>
  <c r="AH778" i="5"/>
  <c r="AH779" i="5"/>
  <c r="AH780" i="5"/>
  <c r="AH781" i="5"/>
  <c r="AH782" i="5"/>
  <c r="AH783" i="5"/>
  <c r="AH784" i="5"/>
  <c r="AH785" i="5"/>
  <c r="AH786" i="5"/>
  <c r="AH787" i="5"/>
  <c r="AH788" i="5"/>
  <c r="AH789" i="5"/>
  <c r="AH790" i="5"/>
  <c r="AH791" i="5"/>
  <c r="AH792" i="5"/>
  <c r="AH793" i="5"/>
  <c r="AH794" i="5"/>
  <c r="AH795" i="5"/>
  <c r="AH796" i="5"/>
  <c r="AH797" i="5"/>
  <c r="AH798" i="5"/>
  <c r="AH799" i="5"/>
  <c r="AH800" i="5"/>
  <c r="AH801" i="5"/>
  <c r="AH802" i="5"/>
  <c r="AH803" i="5"/>
  <c r="AH804" i="5"/>
  <c r="AH805" i="5"/>
  <c r="AH806" i="5"/>
  <c r="AH807" i="5"/>
  <c r="AH808" i="5"/>
  <c r="AH809" i="5"/>
  <c r="AH810" i="5"/>
  <c r="AH811" i="5"/>
  <c r="AH812" i="5"/>
  <c r="AH813" i="5"/>
  <c r="AH814" i="5"/>
  <c r="AH815" i="5"/>
  <c r="AH816" i="5"/>
  <c r="AH817" i="5"/>
  <c r="AH818" i="5"/>
  <c r="AH819" i="5"/>
  <c r="AH820" i="5"/>
  <c r="AH821" i="5"/>
  <c r="AH822" i="5"/>
  <c r="AH823" i="5"/>
  <c r="AH824" i="5"/>
  <c r="AH825" i="5"/>
  <c r="AH826" i="5"/>
  <c r="AH827" i="5"/>
  <c r="AH828" i="5"/>
  <c r="AH829" i="5"/>
  <c r="AH830" i="5"/>
  <c r="AH831" i="5"/>
  <c r="AH832" i="5"/>
  <c r="AH833" i="5"/>
  <c r="AH834" i="5"/>
  <c r="AH835" i="5"/>
  <c r="AH836" i="5"/>
  <c r="AH837" i="5"/>
  <c r="AH838" i="5"/>
  <c r="AH839" i="5"/>
  <c r="AH840" i="5"/>
  <c r="AH841" i="5"/>
  <c r="AH842" i="5"/>
  <c r="AH843" i="5"/>
  <c r="AH844" i="5"/>
  <c r="AH845" i="5"/>
  <c r="AH846" i="5"/>
  <c r="AH847" i="5"/>
  <c r="AH848" i="5"/>
  <c r="AH849" i="5"/>
  <c r="AH850" i="5"/>
  <c r="AH851" i="5"/>
  <c r="AH3" i="5" l="1"/>
  <c r="AH4" i="5"/>
  <c r="AG2" i="5"/>
  <c r="AH2" i="5"/>
  <c r="T1" i="2" l="1"/>
  <c r="AH2" i="1" l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G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F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</calcChain>
</file>

<file path=xl/sharedStrings.xml><?xml version="1.0" encoding="utf-8"?>
<sst xmlns="http://schemas.openxmlformats.org/spreadsheetml/2006/main" count="31412" uniqueCount="2746">
  <si>
    <t>Record type</t>
  </si>
  <si>
    <t xml:space="preserve"> Report Number </t>
  </si>
  <si>
    <t xml:space="preserve">Employee ID (Person ID) </t>
  </si>
  <si>
    <t xml:space="preserve">Claim number code </t>
  </si>
  <si>
    <t xml:space="preserve">First Name </t>
  </si>
  <si>
    <t xml:space="preserve">Last Name </t>
  </si>
  <si>
    <t xml:space="preserve">Leave Start Date </t>
  </si>
  <si>
    <t xml:space="preserve">Leave End Date </t>
  </si>
  <si>
    <t xml:space="preserve">Leave Type </t>
  </si>
  <si>
    <t xml:space="preserve">Absence Reason Code </t>
  </si>
  <si>
    <t xml:space="preserve">Absence Reason Description </t>
  </si>
  <si>
    <t xml:space="preserve">Variable Schedule Indicator </t>
  </si>
  <si>
    <t xml:space="preserve">Work Day 1 - Sunday </t>
  </si>
  <si>
    <t xml:space="preserve">Work Day 2 - Monday </t>
  </si>
  <si>
    <t xml:space="preserve">Work Day 3 - Tuesday </t>
  </si>
  <si>
    <t xml:space="preserve">Work Day 4 - Wednesday </t>
  </si>
  <si>
    <t xml:space="preserve">Work Day 5 - Thursday </t>
  </si>
  <si>
    <t xml:space="preserve">Work Day 6 - Friday </t>
  </si>
  <si>
    <t xml:space="preserve">Work Day 7 - Saturday </t>
  </si>
  <si>
    <t xml:space="preserve">Return to Work Date </t>
  </si>
  <si>
    <t xml:space="preserve">Military Pay Amount </t>
  </si>
  <si>
    <t xml:space="preserve">Military Pay Mode </t>
  </si>
  <si>
    <t xml:space="preserve">LES Effective Date </t>
  </si>
  <si>
    <t xml:space="preserve">Workers Comp Indicator </t>
  </si>
  <si>
    <t xml:space="preserve">STD State Offset Amount </t>
  </si>
  <si>
    <t xml:space="preserve">STD State Offset Mode </t>
  </si>
  <si>
    <t xml:space="preserve">Start Date </t>
  </si>
  <si>
    <t xml:space="preserve">End Date </t>
  </si>
  <si>
    <t>Takeover Indicator</t>
  </si>
  <si>
    <t>R</t>
  </si>
  <si>
    <t>KC110FM16427</t>
  </si>
  <si>
    <t>HEIDI</t>
  </si>
  <si>
    <t>GOLDSTEIN</t>
  </si>
  <si>
    <t>US - LOA Closed</t>
  </si>
  <si>
    <t>N</t>
  </si>
  <si>
    <t>Y</t>
  </si>
  <si>
    <t>US - Medical - Unpaid</t>
  </si>
  <si>
    <t>A</t>
  </si>
  <si>
    <t>LUZ</t>
  </si>
  <si>
    <t>CRUZ</t>
  </si>
  <si>
    <t>US - Short Term Disability - Paid</t>
  </si>
  <si>
    <t>VERANDA</t>
  </si>
  <si>
    <t>GAMMAGE</t>
  </si>
  <si>
    <t>US - LOA Denied</t>
  </si>
  <si>
    <t>SANDRA</t>
  </si>
  <si>
    <t>PARLIN</t>
  </si>
  <si>
    <t>G1880RA17587</t>
  </si>
  <si>
    <t>ELIZABETH</t>
  </si>
  <si>
    <t>MILLS</t>
  </si>
  <si>
    <t>US - Family Care - Unpaid</t>
  </si>
  <si>
    <t>EZ3175A17477</t>
  </si>
  <si>
    <t>CRYSTAL</t>
  </si>
  <si>
    <t>ELLIS</t>
  </si>
  <si>
    <t>US - STD Waiting Period - Paid</t>
  </si>
  <si>
    <t>BN196KN16367</t>
  </si>
  <si>
    <t>OLIVIA</t>
  </si>
  <si>
    <t>GOODMAN</t>
  </si>
  <si>
    <t>PHYLLIS</t>
  </si>
  <si>
    <t>NEWTON</t>
  </si>
  <si>
    <t>C3986FM16327</t>
  </si>
  <si>
    <t>ANGELA</t>
  </si>
  <si>
    <t>WITHERSPOON</t>
  </si>
  <si>
    <t>JX313BK16596</t>
  </si>
  <si>
    <t>GWENDELORIS</t>
  </si>
  <si>
    <t>KEARSE</t>
  </si>
  <si>
    <t>ROCIO</t>
  </si>
  <si>
    <t>RODRIGUEZ</t>
  </si>
  <si>
    <t>J9180RA17587</t>
  </si>
  <si>
    <t>NITISICIA</t>
  </si>
  <si>
    <t>DOBBS</t>
  </si>
  <si>
    <t>ANTOINETTE</t>
  </si>
  <si>
    <t>DORIS</t>
  </si>
  <si>
    <t>ALONSO DUQUESNE</t>
  </si>
  <si>
    <t>SAU</t>
  </si>
  <si>
    <t>DABOH</t>
  </si>
  <si>
    <t>JAYNE</t>
  </si>
  <si>
    <t>DUNN</t>
  </si>
  <si>
    <t>H1587VN16867</t>
  </si>
  <si>
    <t>US - Statutory Leave - Unpaid</t>
  </si>
  <si>
    <t>Medical</t>
  </si>
  <si>
    <t>JACQUELINE</t>
  </si>
  <si>
    <t>GIRARD</t>
  </si>
  <si>
    <t>PATRICIA</t>
  </si>
  <si>
    <t>WATSON</t>
  </si>
  <si>
    <t>CARA</t>
  </si>
  <si>
    <t>BURNS-PAN</t>
  </si>
  <si>
    <t>K3571EN16267</t>
  </si>
  <si>
    <t>SAN JUANA</t>
  </si>
  <si>
    <t>BUSTOS</t>
  </si>
  <si>
    <t>HARJAP</t>
  </si>
  <si>
    <t>CHAHAL</t>
  </si>
  <si>
    <t>JC647RA17587</t>
  </si>
  <si>
    <t>TONIE</t>
  </si>
  <si>
    <t>KNIGHT</t>
  </si>
  <si>
    <t>HP105AA17777</t>
  </si>
  <si>
    <t>MICHELE</t>
  </si>
  <si>
    <t>AGER</t>
  </si>
  <si>
    <t>HN969BK16007</t>
  </si>
  <si>
    <t>EDITH</t>
  </si>
  <si>
    <t>LINEBERRY</t>
  </si>
  <si>
    <t>TARYN</t>
  </si>
  <si>
    <t>OROZCO</t>
  </si>
  <si>
    <t>CF133SA17687</t>
  </si>
  <si>
    <t>THERESA</t>
  </si>
  <si>
    <t>WEBER</t>
  </si>
  <si>
    <t>C3004SA17687</t>
  </si>
  <si>
    <t>E7542SA17687</t>
  </si>
  <si>
    <t>DEBRA</t>
  </si>
  <si>
    <t>KUKLA</t>
  </si>
  <si>
    <t>HEATHER</t>
  </si>
  <si>
    <t>GIBBINS</t>
  </si>
  <si>
    <t>EG419NA17487</t>
  </si>
  <si>
    <t>MARIA</t>
  </si>
  <si>
    <t>BARBOSA</t>
  </si>
  <si>
    <t>GLENDORA</t>
  </si>
  <si>
    <t>SAUNDERS</t>
  </si>
  <si>
    <t>LYNN</t>
  </si>
  <si>
    <t>DILLING</t>
  </si>
  <si>
    <t>HN138FM16427</t>
  </si>
  <si>
    <t>DOLORES</t>
  </si>
  <si>
    <t>GONZALES</t>
  </si>
  <si>
    <t>CM620BK16996</t>
  </si>
  <si>
    <t>MONA LISA</t>
  </si>
  <si>
    <t>KEATON</t>
  </si>
  <si>
    <t>CA232CA17087</t>
  </si>
  <si>
    <t>VERONIQUE</t>
  </si>
  <si>
    <t>THURSTON</t>
  </si>
  <si>
    <t>US - Personal - Unpaid</t>
  </si>
  <si>
    <t>JE214BA17877</t>
  </si>
  <si>
    <t>RENEE</t>
  </si>
  <si>
    <t>WHEELER</t>
  </si>
  <si>
    <t>JG5163A17277</t>
  </si>
  <si>
    <t>USHA</t>
  </si>
  <si>
    <t>KANT</t>
  </si>
  <si>
    <t>BK9419A17677</t>
  </si>
  <si>
    <t>ARSENIA</t>
  </si>
  <si>
    <t>TAPALLA</t>
  </si>
  <si>
    <t>ET840FM16727</t>
  </si>
  <si>
    <t>MICHELLE</t>
  </si>
  <si>
    <t>TRAFTON</t>
  </si>
  <si>
    <t>AURORA TOLEN</t>
  </si>
  <si>
    <t>BONGCO</t>
  </si>
  <si>
    <t>SARAH</t>
  </si>
  <si>
    <t>RAYA</t>
  </si>
  <si>
    <t>JG715SA17687</t>
  </si>
  <si>
    <t>EUN</t>
  </si>
  <si>
    <t>KUNG</t>
  </si>
  <si>
    <t>KAREN</t>
  </si>
  <si>
    <t>BRANAM</t>
  </si>
  <si>
    <t>C3515SA17687</t>
  </si>
  <si>
    <t>JENAE</t>
  </si>
  <si>
    <t>PENOLI</t>
  </si>
  <si>
    <t>AD704DN16167</t>
  </si>
  <si>
    <t>LIEU</t>
  </si>
  <si>
    <t>NGUYEN</t>
  </si>
  <si>
    <t>US - Maternity - Paid</t>
  </si>
  <si>
    <t>US - Maternity - Unpaid</t>
  </si>
  <si>
    <t>MZ231RA17587</t>
  </si>
  <si>
    <t>DARLEIN</t>
  </si>
  <si>
    <t>MALDONADO</t>
  </si>
  <si>
    <t>K7062BA17977</t>
  </si>
  <si>
    <t>NADINE</t>
  </si>
  <si>
    <t>CARMODY</t>
  </si>
  <si>
    <t>EJ442XN16077</t>
  </si>
  <si>
    <t>VANTANA</t>
  </si>
  <si>
    <t>CORNICK</t>
  </si>
  <si>
    <t>EZ7514M16917</t>
  </si>
  <si>
    <t>KWI YE</t>
  </si>
  <si>
    <t>AGUILAR</t>
  </si>
  <si>
    <t>JOSE</t>
  </si>
  <si>
    <t>MELENDREZ</t>
  </si>
  <si>
    <t>MARY</t>
  </si>
  <si>
    <t>WARREN</t>
  </si>
  <si>
    <t>LARRY</t>
  </si>
  <si>
    <t>HARVEY</t>
  </si>
  <si>
    <t>HB802SA17687</t>
  </si>
  <si>
    <t>KR221FM16527</t>
  </si>
  <si>
    <t>MARIE</t>
  </si>
  <si>
    <t>SMITH</t>
  </si>
  <si>
    <t>SHAWN</t>
  </si>
  <si>
    <t>CHESLEY</t>
  </si>
  <si>
    <t>FOX</t>
  </si>
  <si>
    <t>D5655FM16627</t>
  </si>
  <si>
    <t>NORMAN</t>
  </si>
  <si>
    <t>SALAS</t>
  </si>
  <si>
    <t>US - Paternity - Unpaid</t>
  </si>
  <si>
    <t>HM464RA17587</t>
  </si>
  <si>
    <t>ALESIA</t>
  </si>
  <si>
    <t>BREEDEN</t>
  </si>
  <si>
    <t>JUAN</t>
  </si>
  <si>
    <t>DORADOR</t>
  </si>
  <si>
    <t>KM041EM16327</t>
  </si>
  <si>
    <t>ERIKA</t>
  </si>
  <si>
    <t>BUITRAGO</t>
  </si>
  <si>
    <t>HA578NN16567</t>
  </si>
  <si>
    <t>MITCHELL</t>
  </si>
  <si>
    <t>JUANA</t>
  </si>
  <si>
    <t>SANTOS</t>
  </si>
  <si>
    <t>GE103FM16727</t>
  </si>
  <si>
    <t>JACOB</t>
  </si>
  <si>
    <t>HENNE</t>
  </si>
  <si>
    <t>US - Military - Unpaid</t>
  </si>
  <si>
    <t>KALEE</t>
  </si>
  <si>
    <t>MOORES</t>
  </si>
  <si>
    <t>CH246FM16427</t>
  </si>
  <si>
    <t>WILLIAM</t>
  </si>
  <si>
    <t>BERMUDEZ</t>
  </si>
  <si>
    <t>H3511SA17687</t>
  </si>
  <si>
    <t>MEGAN</t>
  </si>
  <si>
    <t>TURNER</t>
  </si>
  <si>
    <t>CD9895N16457</t>
  </si>
  <si>
    <t>SANTOSH</t>
  </si>
  <si>
    <t>BALLU</t>
  </si>
  <si>
    <t>EK154EN16267</t>
  </si>
  <si>
    <t>VESNA</t>
  </si>
  <si>
    <t>ABOAGYE</t>
  </si>
  <si>
    <t>B4869JA17287</t>
  </si>
  <si>
    <t>LILY</t>
  </si>
  <si>
    <t>RIVERA</t>
  </si>
  <si>
    <t>Non-Medical</t>
  </si>
  <si>
    <t>CW983EN16267</t>
  </si>
  <si>
    <t>JASON</t>
  </si>
  <si>
    <t>HYMAN</t>
  </si>
  <si>
    <t>US - Paternity - Paid</t>
  </si>
  <si>
    <t>CK3965N16557</t>
  </si>
  <si>
    <t>REKEE TERASH</t>
  </si>
  <si>
    <t>MCGARY</t>
  </si>
  <si>
    <t>FLOR</t>
  </si>
  <si>
    <t>ABELLA</t>
  </si>
  <si>
    <t>GJ1533A17177</t>
  </si>
  <si>
    <t>JOSEPH</t>
  </si>
  <si>
    <t>GITERMAN</t>
  </si>
  <si>
    <t>HF9694A17277</t>
  </si>
  <si>
    <t>RILEY</t>
  </si>
  <si>
    <t>MONAHAN</t>
  </si>
  <si>
    <t>MILLICENT</t>
  </si>
  <si>
    <t>HOOPER</t>
  </si>
  <si>
    <t>K7302BK16786</t>
  </si>
  <si>
    <t>JULIE</t>
  </si>
  <si>
    <t>PENA</t>
  </si>
  <si>
    <t>DT204FM16627</t>
  </si>
  <si>
    <t>KAREL</t>
  </si>
  <si>
    <t>REYES</t>
  </si>
  <si>
    <t>DAMITA</t>
  </si>
  <si>
    <t>MOSLEY</t>
  </si>
  <si>
    <t>AM812BA17977</t>
  </si>
  <si>
    <t>LORI</t>
  </si>
  <si>
    <t>RICE</t>
  </si>
  <si>
    <t>J45663A17277</t>
  </si>
  <si>
    <t>KUN</t>
  </si>
  <si>
    <t>TAO</t>
  </si>
  <si>
    <t>H0774FM16627</t>
  </si>
  <si>
    <t>TENISHA</t>
  </si>
  <si>
    <t>DONAVILLE</t>
  </si>
  <si>
    <t>US - Adoption - Unpaid</t>
  </si>
  <si>
    <t>LESLIE</t>
  </si>
  <si>
    <t>AREVALO-WILSON</t>
  </si>
  <si>
    <t>BY838CA17977</t>
  </si>
  <si>
    <t>JX569VN16867</t>
  </si>
  <si>
    <t>DAISY</t>
  </si>
  <si>
    <t>GARCIA</t>
  </si>
  <si>
    <t>A3024BK16986</t>
  </si>
  <si>
    <t>MEAGANANN</t>
  </si>
  <si>
    <t>JOHNSON</t>
  </si>
  <si>
    <t>MY399JA17287</t>
  </si>
  <si>
    <t>INGRID</t>
  </si>
  <si>
    <t>FLETCHER</t>
  </si>
  <si>
    <t>KW088VN16867</t>
  </si>
  <si>
    <t>BRENDAN</t>
  </si>
  <si>
    <t>BOLDUC</t>
  </si>
  <si>
    <t>CY725KN16367</t>
  </si>
  <si>
    <t>ANNMARIE</t>
  </si>
  <si>
    <t>KEIPER</t>
  </si>
  <si>
    <t>US - Adoption - Paid</t>
  </si>
  <si>
    <t>AN920UN16867</t>
  </si>
  <si>
    <t>LESLY</t>
  </si>
  <si>
    <t>ALAS</t>
  </si>
  <si>
    <t>JUDITH</t>
  </si>
  <si>
    <t>FINOCCHI</t>
  </si>
  <si>
    <t>ZAINABU</t>
  </si>
  <si>
    <t>MALIANI</t>
  </si>
  <si>
    <t>DZ139VN16867</t>
  </si>
  <si>
    <t>MIRANDA</t>
  </si>
  <si>
    <t>CARR</t>
  </si>
  <si>
    <t>DA226RA17587</t>
  </si>
  <si>
    <t>TERAN</t>
  </si>
  <si>
    <t>GZ578SA17587</t>
  </si>
  <si>
    <t>KOZOLOSKI</t>
  </si>
  <si>
    <t>AK755YN16077</t>
  </si>
  <si>
    <t>KATRINA</t>
  </si>
  <si>
    <t>LOCKETT</t>
  </si>
  <si>
    <t>MARK</t>
  </si>
  <si>
    <t>BROWN</t>
  </si>
  <si>
    <t>DT0716A17577</t>
  </si>
  <si>
    <t>LEONARD</t>
  </si>
  <si>
    <t>FRANCIS</t>
  </si>
  <si>
    <t>C75053A17277</t>
  </si>
  <si>
    <t>GONZALEZ</t>
  </si>
  <si>
    <t>MU653BA17977</t>
  </si>
  <si>
    <t>RICHARD</t>
  </si>
  <si>
    <t>MOTA</t>
  </si>
  <si>
    <t>JG303FM16727</t>
  </si>
  <si>
    <t>KEMMERER</t>
  </si>
  <si>
    <t>US - Military - Taxation Change - Paid</t>
  </si>
  <si>
    <t>KIMBERLY</t>
  </si>
  <si>
    <t>BROOKS</t>
  </si>
  <si>
    <t>W7</t>
  </si>
  <si>
    <t>BEATRIZ</t>
  </si>
  <si>
    <t>FAJARDO</t>
  </si>
  <si>
    <t>MP9763A17177</t>
  </si>
  <si>
    <t>CHANTAY</t>
  </si>
  <si>
    <t>HORNE</t>
  </si>
  <si>
    <t>CU303FM16627</t>
  </si>
  <si>
    <t>RYAN</t>
  </si>
  <si>
    <t>HC876KA17387</t>
  </si>
  <si>
    <t>JANAE</t>
  </si>
  <si>
    <t>WALKER</t>
  </si>
  <si>
    <t>HA603JA17387</t>
  </si>
  <si>
    <t>ROGER</t>
  </si>
  <si>
    <t>RAMOS</t>
  </si>
  <si>
    <t>WINNETTE</t>
  </si>
  <si>
    <t>GUNNZ</t>
  </si>
  <si>
    <t>E8314TK16317</t>
  </si>
  <si>
    <t>CHRISTINA</t>
  </si>
  <si>
    <t>JONES</t>
  </si>
  <si>
    <t>J6178FM16627</t>
  </si>
  <si>
    <t>EDDY SAROJ</t>
  </si>
  <si>
    <t>TAENGKAEW</t>
  </si>
  <si>
    <t>HD8674A17277</t>
  </si>
  <si>
    <t>DANIELLE</t>
  </si>
  <si>
    <t>E5934FM16627</t>
  </si>
  <si>
    <t>ANDREW</t>
  </si>
  <si>
    <t>PRESSNALL</t>
  </si>
  <si>
    <t>CD5025A17477</t>
  </si>
  <si>
    <t>JAY</t>
  </si>
  <si>
    <t>HUH</t>
  </si>
  <si>
    <t>C1825KN16367</t>
  </si>
  <si>
    <t>APURVI</t>
  </si>
  <si>
    <t>JOSHI</t>
  </si>
  <si>
    <t>FERNANDO</t>
  </si>
  <si>
    <t>PETERS</t>
  </si>
  <si>
    <t>W5</t>
  </si>
  <si>
    <t>M3124EN16267</t>
  </si>
  <si>
    <t>GUILLERMO</t>
  </si>
  <si>
    <t>RAMIREZ</t>
  </si>
  <si>
    <t>E6740SA17687</t>
  </si>
  <si>
    <t>ANGEL</t>
  </si>
  <si>
    <t>MONK</t>
  </si>
  <si>
    <t>ANTHONY</t>
  </si>
  <si>
    <t>KIMBLE</t>
  </si>
  <si>
    <t>GD138HA17187</t>
  </si>
  <si>
    <t>STEPHANIE</t>
  </si>
  <si>
    <t>NEALEY</t>
  </si>
  <si>
    <t>GF884SA17687</t>
  </si>
  <si>
    <t>LISA</t>
  </si>
  <si>
    <t>M7111DA17187</t>
  </si>
  <si>
    <t>ERIC</t>
  </si>
  <si>
    <t>CHAN</t>
  </si>
  <si>
    <t>J5196PN16667</t>
  </si>
  <si>
    <t>CHELSIE</t>
  </si>
  <si>
    <t>CHIODO</t>
  </si>
  <si>
    <t>A4368FM16527</t>
  </si>
  <si>
    <t>YIYU</t>
  </si>
  <si>
    <t>YANG</t>
  </si>
  <si>
    <t>KEITH</t>
  </si>
  <si>
    <t>DG430SA17687</t>
  </si>
  <si>
    <t>K9172SA17687</t>
  </si>
  <si>
    <t>GOLDMANN</t>
  </si>
  <si>
    <t>HORMOZ</t>
  </si>
  <si>
    <t>NAZARPOUR</t>
  </si>
  <si>
    <t>G98929A17677</t>
  </si>
  <si>
    <t>PENNY</t>
  </si>
  <si>
    <t>PENN</t>
  </si>
  <si>
    <t>RONALD</t>
  </si>
  <si>
    <t>FAX</t>
  </si>
  <si>
    <t>M39579A17577</t>
  </si>
  <si>
    <t>J6021DA17187</t>
  </si>
  <si>
    <t>PETERLEE</t>
  </si>
  <si>
    <t>GEORGES</t>
  </si>
  <si>
    <t>MW565CK16707</t>
  </si>
  <si>
    <t>RODZL</t>
  </si>
  <si>
    <t>DE LOS REYES</t>
  </si>
  <si>
    <t>KRIS</t>
  </si>
  <si>
    <t>GALLAGHER</t>
  </si>
  <si>
    <t>CG7846A17577</t>
  </si>
  <si>
    <t>DANIEL</t>
  </si>
  <si>
    <t>WORKMAN</t>
  </si>
  <si>
    <t>KR337DA17087</t>
  </si>
  <si>
    <t>BRUCE</t>
  </si>
  <si>
    <t>PULLEN</t>
  </si>
  <si>
    <t>E8379DA17087</t>
  </si>
  <si>
    <t>TANNEH</t>
  </si>
  <si>
    <t>MAHSAM</t>
  </si>
  <si>
    <t>GX768FM16527</t>
  </si>
  <si>
    <t>ALEJANDRA</t>
  </si>
  <si>
    <t>MARRACQ</t>
  </si>
  <si>
    <t>CG293CK16707</t>
  </si>
  <si>
    <t>HUMBERTO</t>
  </si>
  <si>
    <t>AGUILERA</t>
  </si>
  <si>
    <t>BX3305N16557</t>
  </si>
  <si>
    <t>STEPHON</t>
  </si>
  <si>
    <t>CARTWRIGHT</t>
  </si>
  <si>
    <t>VALERIA</t>
  </si>
  <si>
    <t>ORTEGA</t>
  </si>
  <si>
    <t>CB634RA17587</t>
  </si>
  <si>
    <t>KENNETH</t>
  </si>
  <si>
    <t>WING</t>
  </si>
  <si>
    <t>SUZANNE</t>
  </si>
  <si>
    <t>RUSSELL</t>
  </si>
  <si>
    <t>CA9205N16557</t>
  </si>
  <si>
    <t>REED</t>
  </si>
  <si>
    <t>MB233RA17587</t>
  </si>
  <si>
    <t>DI</t>
  </si>
  <si>
    <t>JIN</t>
  </si>
  <si>
    <t>BW940GM16827</t>
  </si>
  <si>
    <t>KRYSTAL</t>
  </si>
  <si>
    <t>CAMPOS</t>
  </si>
  <si>
    <t>MP563BA17977</t>
  </si>
  <si>
    <t>MATTHEW</t>
  </si>
  <si>
    <t>MCLAUGHLIN</t>
  </si>
  <si>
    <t>JC685YN16077</t>
  </si>
  <si>
    <t>THOMAS</t>
  </si>
  <si>
    <t>KING</t>
  </si>
  <si>
    <t>US - Military - Paid</t>
  </si>
  <si>
    <t>BM830FM16627</t>
  </si>
  <si>
    <t>BENJAMIN</t>
  </si>
  <si>
    <t>VALLEJO</t>
  </si>
  <si>
    <t>JT731DA17187</t>
  </si>
  <si>
    <t>SHELLY</t>
  </si>
  <si>
    <t>AATER</t>
  </si>
  <si>
    <t>REBECCA</t>
  </si>
  <si>
    <t>MCDANIEL</t>
  </si>
  <si>
    <t>US - Graduated RTW 100 - Paid</t>
  </si>
  <si>
    <t>HR113SA17687</t>
  </si>
  <si>
    <t>ADELE</t>
  </si>
  <si>
    <t>GUSTAFSON</t>
  </si>
  <si>
    <t>KERRY</t>
  </si>
  <si>
    <t>CURRAN</t>
  </si>
  <si>
    <t>DM967RA17587</t>
  </si>
  <si>
    <t>EF905FM16627</t>
  </si>
  <si>
    <t>SIMS</t>
  </si>
  <si>
    <t>KN905AA17777</t>
  </si>
  <si>
    <t>SPELA</t>
  </si>
  <si>
    <t>VERDENIK SMODIS</t>
  </si>
  <si>
    <t>EY398VN16867</t>
  </si>
  <si>
    <t>ESTHER</t>
  </si>
  <si>
    <t>CHUNG DIMAYUGA</t>
  </si>
  <si>
    <t>RITA</t>
  </si>
  <si>
    <t>SEARIGHT-BELLAH</t>
  </si>
  <si>
    <t>DX878CA17977</t>
  </si>
  <si>
    <t>DJ919SA17587</t>
  </si>
  <si>
    <t>PEMBERTON</t>
  </si>
  <si>
    <t>DY029SA17587</t>
  </si>
  <si>
    <t>H2055AA17777</t>
  </si>
  <si>
    <t>SHILPA</t>
  </si>
  <si>
    <t>BHATT</t>
  </si>
  <si>
    <t>WOOLEYHAN</t>
  </si>
  <si>
    <t>SEJLA</t>
  </si>
  <si>
    <t>HADZIABDIC</t>
  </si>
  <si>
    <t>US - Maternity STD - Paid</t>
  </si>
  <si>
    <t>H85605N16557</t>
  </si>
  <si>
    <t>RAGHURAM</t>
  </si>
  <si>
    <t>NEELA</t>
  </si>
  <si>
    <t>EH287FM16627</t>
  </si>
  <si>
    <t>OSCAR</t>
  </si>
  <si>
    <t>MEZA-OCAMPO</t>
  </si>
  <si>
    <t>J2832FM16327</t>
  </si>
  <si>
    <t>CARRIE</t>
  </si>
  <si>
    <t>TURANO</t>
  </si>
  <si>
    <t>EE544RN16767</t>
  </si>
  <si>
    <t>JEFFREY</t>
  </si>
  <si>
    <t>YUN</t>
  </si>
  <si>
    <t>LAURENA</t>
  </si>
  <si>
    <t>HAMMEN</t>
  </si>
  <si>
    <t>CA912CA17087</t>
  </si>
  <si>
    <t>DANY</t>
  </si>
  <si>
    <t>MURILLO</t>
  </si>
  <si>
    <t>LINDSAY</t>
  </si>
  <si>
    <t>TIBLETS</t>
  </si>
  <si>
    <t>GH487HA17187</t>
  </si>
  <si>
    <t>PRICE</t>
  </si>
  <si>
    <t>JD580SA17687</t>
  </si>
  <si>
    <t>GINA</t>
  </si>
  <si>
    <t>DESROSIERS</t>
  </si>
  <si>
    <t>E3903RA17587</t>
  </si>
  <si>
    <t>HERRERA</t>
  </si>
  <si>
    <t>G4841BK16207</t>
  </si>
  <si>
    <t>GUZMAN</t>
  </si>
  <si>
    <t>K1398BA17877</t>
  </si>
  <si>
    <t>LYKESHA</t>
  </si>
  <si>
    <t>ANDREWS</t>
  </si>
  <si>
    <t>URSULA</t>
  </si>
  <si>
    <t>RIVAS</t>
  </si>
  <si>
    <t>AC024FM16627</t>
  </si>
  <si>
    <t>CLEVIE</t>
  </si>
  <si>
    <t>CARTER</t>
  </si>
  <si>
    <t>MT391JA17387</t>
  </si>
  <si>
    <t>PRAYASH</t>
  </si>
  <si>
    <t>BASTOLA</t>
  </si>
  <si>
    <t>ASHLEY</t>
  </si>
  <si>
    <t>FOIL</t>
  </si>
  <si>
    <t>GEORGE</t>
  </si>
  <si>
    <t>DOUGHERTY</t>
  </si>
  <si>
    <t>ADRIANNA</t>
  </si>
  <si>
    <t>RUIZ</t>
  </si>
  <si>
    <t>D42305N16557</t>
  </si>
  <si>
    <t>LEROY</t>
  </si>
  <si>
    <t>CANTLEY</t>
  </si>
  <si>
    <t>E5327BK16896</t>
  </si>
  <si>
    <t>AUGUSTINE</t>
  </si>
  <si>
    <t>ACOSTA</t>
  </si>
  <si>
    <t>BRITTNEY</t>
  </si>
  <si>
    <t>MAULDIN</t>
  </si>
  <si>
    <t>AC703CA17087</t>
  </si>
  <si>
    <t>FAIZALAHMED</t>
  </si>
  <si>
    <t>SHAIKH</t>
  </si>
  <si>
    <t>GJ131CA17087</t>
  </si>
  <si>
    <t>AMREV</t>
  </si>
  <si>
    <t>EDWARDS</t>
  </si>
  <si>
    <t>BB2036A17577</t>
  </si>
  <si>
    <t>JUANITA</t>
  </si>
  <si>
    <t>J9796PN16667</t>
  </si>
  <si>
    <t>ROBERT</t>
  </si>
  <si>
    <t>FRYE</t>
  </si>
  <si>
    <t>DU650SA17687</t>
  </si>
  <si>
    <t>JAIME</t>
  </si>
  <si>
    <t>MARTINEZ</t>
  </si>
  <si>
    <t>BZ891FM16627</t>
  </si>
  <si>
    <t>PRASHANT</t>
  </si>
  <si>
    <t>SAXENA</t>
  </si>
  <si>
    <t>DONNA</t>
  </si>
  <si>
    <t>DRISCOLLI</t>
  </si>
  <si>
    <t>MJ0694M16817</t>
  </si>
  <si>
    <t>TIFFANY</t>
  </si>
  <si>
    <t>B4844GM16727</t>
  </si>
  <si>
    <t>EDGAR</t>
  </si>
  <si>
    <t>URIARTE</t>
  </si>
  <si>
    <t>US - Military - Service Differential - Paid</t>
  </si>
  <si>
    <t>DG792BA17977</t>
  </si>
  <si>
    <t>DIANE</t>
  </si>
  <si>
    <t>STRONG</t>
  </si>
  <si>
    <t>KARLA</t>
  </si>
  <si>
    <t>BURRELL</t>
  </si>
  <si>
    <t>MC335FM16627</t>
  </si>
  <si>
    <t>CHRISTOPHER</t>
  </si>
  <si>
    <t>CANTU</t>
  </si>
  <si>
    <t>M0912EN16267</t>
  </si>
  <si>
    <t>DANYELLE</t>
  </si>
  <si>
    <t>SEARCY</t>
  </si>
  <si>
    <t>BY467RA17587</t>
  </si>
  <si>
    <t>JAMES</t>
  </si>
  <si>
    <t>COWART</t>
  </si>
  <si>
    <t>G54284A17277</t>
  </si>
  <si>
    <t>GARZA</t>
  </si>
  <si>
    <t>SUAREZ</t>
  </si>
  <si>
    <t>ER412SA17687</t>
  </si>
  <si>
    <t>MICHAEL</t>
  </si>
  <si>
    <t>ESEED</t>
  </si>
  <si>
    <t>KN803AA17777</t>
  </si>
  <si>
    <t>VONEKA</t>
  </si>
  <si>
    <t>MARKS</t>
  </si>
  <si>
    <t>G73894A17277</t>
  </si>
  <si>
    <t>ONATHI</t>
  </si>
  <si>
    <t>VELASCO</t>
  </si>
  <si>
    <t>CP934BA17977</t>
  </si>
  <si>
    <t>MARCOS</t>
  </si>
  <si>
    <t>SAUCEDO</t>
  </si>
  <si>
    <t>HY614EN16267</t>
  </si>
  <si>
    <t>KIN MAN</t>
  </si>
  <si>
    <t>WONG</t>
  </si>
  <si>
    <t>HU004GM16727</t>
  </si>
  <si>
    <t>JULIUS</t>
  </si>
  <si>
    <t>ALLEN</t>
  </si>
  <si>
    <t>JJ142FM16427</t>
  </si>
  <si>
    <t>MAXWELL</t>
  </si>
  <si>
    <t>M0025FM16627</t>
  </si>
  <si>
    <t>BALDRIDGE</t>
  </si>
  <si>
    <t>CUNNINGHAM</t>
  </si>
  <si>
    <t>DA600FM16427</t>
  </si>
  <si>
    <t>SHAWANNA</t>
  </si>
  <si>
    <t>CLAIBORNE</t>
  </si>
  <si>
    <t>AG3319A17677</t>
  </si>
  <si>
    <t>D99279A17677</t>
  </si>
  <si>
    <t>VARUN</t>
  </si>
  <si>
    <t>JANGIDI</t>
  </si>
  <si>
    <t>KG648BK16207</t>
  </si>
  <si>
    <t>BRIAN</t>
  </si>
  <si>
    <t>BELAND</t>
  </si>
  <si>
    <t>CARETHA</t>
  </si>
  <si>
    <t>MILLER</t>
  </si>
  <si>
    <t>EH832CA17087</t>
  </si>
  <si>
    <t>BALES</t>
  </si>
  <si>
    <t>MARIANA</t>
  </si>
  <si>
    <t>SARMIENTO</t>
  </si>
  <si>
    <t>K5261SA17687</t>
  </si>
  <si>
    <t>GP402FM16627</t>
  </si>
  <si>
    <t>SHANAHAN</t>
  </si>
  <si>
    <t>BF5635A17477</t>
  </si>
  <si>
    <t>ROSHNI</t>
  </si>
  <si>
    <t>PATEL</t>
  </si>
  <si>
    <t>KG4753A17277</t>
  </si>
  <si>
    <t>SCOTT</t>
  </si>
  <si>
    <t>DUNCAN</t>
  </si>
  <si>
    <t>IESIA</t>
  </si>
  <si>
    <t>IRVING</t>
  </si>
  <si>
    <t>J4222FM16727</t>
  </si>
  <si>
    <t>JESSICA</t>
  </si>
  <si>
    <t>MACIAS</t>
  </si>
  <si>
    <t>EP321UN16867</t>
  </si>
  <si>
    <t>PRINCESS</t>
  </si>
  <si>
    <t>HARRISON</t>
  </si>
  <si>
    <t>AA175FM16627</t>
  </si>
  <si>
    <t>TODD</t>
  </si>
  <si>
    <t>PATTERSON</t>
  </si>
  <si>
    <t>AC674FM16627</t>
  </si>
  <si>
    <t>WELLS</t>
  </si>
  <si>
    <t>K58843A17177</t>
  </si>
  <si>
    <t>FISHER</t>
  </si>
  <si>
    <t>HP3113A17277</t>
  </si>
  <si>
    <t>LAUREN</t>
  </si>
  <si>
    <t>WHITAKER</t>
  </si>
  <si>
    <t>MJ584FN16267</t>
  </si>
  <si>
    <t>JILL</t>
  </si>
  <si>
    <t>BORK</t>
  </si>
  <si>
    <t>BT071CA17087</t>
  </si>
  <si>
    <t>ALLISON</t>
  </si>
  <si>
    <t>PATRICK</t>
  </si>
  <si>
    <t>JF263BK16996</t>
  </si>
  <si>
    <t>EY405SA17687</t>
  </si>
  <si>
    <t>KERENSKY</t>
  </si>
  <si>
    <t>KT526WN16967</t>
  </si>
  <si>
    <t>EMANUEL</t>
  </si>
  <si>
    <t>BALANZAR</t>
  </si>
  <si>
    <t>DM853BA17977</t>
  </si>
  <si>
    <t>PRASANT</t>
  </si>
  <si>
    <t>TANGIRALA</t>
  </si>
  <si>
    <t>COOKE</t>
  </si>
  <si>
    <t>TAYLOR</t>
  </si>
  <si>
    <t>J8174RA17587</t>
  </si>
  <si>
    <t>FINDLAY</t>
  </si>
  <si>
    <t>BP779HA17187</t>
  </si>
  <si>
    <t>DENISE</t>
  </si>
  <si>
    <t>HARMS</t>
  </si>
  <si>
    <t>HZ893RA17587</t>
  </si>
  <si>
    <t>JESSE</t>
  </si>
  <si>
    <t>D'AIELLO</t>
  </si>
  <si>
    <t>C0291GM16827</t>
  </si>
  <si>
    <t>MWILA</t>
  </si>
  <si>
    <t>HY5095N16457</t>
  </si>
  <si>
    <t>TOBY</t>
  </si>
  <si>
    <t>LEBLANC</t>
  </si>
  <si>
    <t>DM6395N16457</t>
  </si>
  <si>
    <t>ISAAC</t>
  </si>
  <si>
    <t>BRITT JR</t>
  </si>
  <si>
    <t>J4898FM16627</t>
  </si>
  <si>
    <t>BOSWELL</t>
  </si>
  <si>
    <t>KY2439A17677</t>
  </si>
  <si>
    <t>BEARD</t>
  </si>
  <si>
    <t>KENYON</t>
  </si>
  <si>
    <t>FRANKS</t>
  </si>
  <si>
    <t>GD294FM16627</t>
  </si>
  <si>
    <t>ARMAND</t>
  </si>
  <si>
    <t>M3324SA17687</t>
  </si>
  <si>
    <t>PEREZ</t>
  </si>
  <si>
    <t>K1613EN16267</t>
  </si>
  <si>
    <t>KEYONA</t>
  </si>
  <si>
    <t>EPPES</t>
  </si>
  <si>
    <t>HR043FM16727</t>
  </si>
  <si>
    <t>BILL</t>
  </si>
  <si>
    <t>BONNER</t>
  </si>
  <si>
    <t>A7315FM16627</t>
  </si>
  <si>
    <t>ELISEO</t>
  </si>
  <si>
    <t>MORALES</t>
  </si>
  <si>
    <t>SYLVIA</t>
  </si>
  <si>
    <t>ARMENDARIZ</t>
  </si>
  <si>
    <t>BW7546A17577</t>
  </si>
  <si>
    <t>TASHA</t>
  </si>
  <si>
    <t>CLARK</t>
  </si>
  <si>
    <t>D8835RA17587</t>
  </si>
  <si>
    <t>MENDES</t>
  </si>
  <si>
    <t>JF489AA17777</t>
  </si>
  <si>
    <t>NICHOLAS</t>
  </si>
  <si>
    <t>WHELPLEY</t>
  </si>
  <si>
    <t>HK643RA17587</t>
  </si>
  <si>
    <t>AARON</t>
  </si>
  <si>
    <t>MARSH</t>
  </si>
  <si>
    <t>G3520DA17187</t>
  </si>
  <si>
    <t>KYLE</t>
  </si>
  <si>
    <t>MORAIN</t>
  </si>
  <si>
    <t>DE754SA17687</t>
  </si>
  <si>
    <t>GB662MN16567</t>
  </si>
  <si>
    <t>OCHOA</t>
  </si>
  <si>
    <t>EDDIE</t>
  </si>
  <si>
    <t>CALERO</t>
  </si>
  <si>
    <t>J91923A17277</t>
  </si>
  <si>
    <t>CASHMAN</t>
  </si>
  <si>
    <t>D0634GM16727</t>
  </si>
  <si>
    <t>ANDY</t>
  </si>
  <si>
    <t>DEBOER</t>
  </si>
  <si>
    <t>AT994KN16367</t>
  </si>
  <si>
    <t>AC999EM16227</t>
  </si>
  <si>
    <t>BETTY</t>
  </si>
  <si>
    <t>SLATER</t>
  </si>
  <si>
    <t>CR071XN16077</t>
  </si>
  <si>
    <t>PAMELA</t>
  </si>
  <si>
    <t>DEAS</t>
  </si>
  <si>
    <t>G20116A17577</t>
  </si>
  <si>
    <t>KARINA</t>
  </si>
  <si>
    <t>BONILLA</t>
  </si>
  <si>
    <t>GX881BK16896</t>
  </si>
  <si>
    <t>IRENE</t>
  </si>
  <si>
    <t>EVETTA</t>
  </si>
  <si>
    <t>HENDERSON</t>
  </si>
  <si>
    <t>GW6245N16557</t>
  </si>
  <si>
    <t>AMBER</t>
  </si>
  <si>
    <t>BARKER</t>
  </si>
  <si>
    <t>KP4626A17577</t>
  </si>
  <si>
    <t>KENNY</t>
  </si>
  <si>
    <t>PIERRE</t>
  </si>
  <si>
    <t>LORRAINE</t>
  </si>
  <si>
    <t>WILSON</t>
  </si>
  <si>
    <t>SANDA</t>
  </si>
  <si>
    <t>CRISAN-TIMBAL</t>
  </si>
  <si>
    <t>ELIANA</t>
  </si>
  <si>
    <t>AMANDA</t>
  </si>
  <si>
    <t>COSTA</t>
  </si>
  <si>
    <t>GA6919A17677</t>
  </si>
  <si>
    <t>LEONARDA</t>
  </si>
  <si>
    <t>BARBARA</t>
  </si>
  <si>
    <t>UBOWSKI</t>
  </si>
  <si>
    <t>CM321BA17977</t>
  </si>
  <si>
    <t>ABU</t>
  </si>
  <si>
    <t>IMTIAZ</t>
  </si>
  <si>
    <t>A7530SA17687</t>
  </si>
  <si>
    <t>IDA</t>
  </si>
  <si>
    <t>KRIVINSKAS</t>
  </si>
  <si>
    <t>KW614UN16867</t>
  </si>
  <si>
    <t>VERONICA</t>
  </si>
  <si>
    <t>PEREDA-BECERRA</t>
  </si>
  <si>
    <t>DX385FM16527</t>
  </si>
  <si>
    <t>EMILY</t>
  </si>
  <si>
    <t>COSTIGAN</t>
  </si>
  <si>
    <t>DR067AA17777</t>
  </si>
  <si>
    <t>KOLSKI</t>
  </si>
  <si>
    <t>KT750HA17287</t>
  </si>
  <si>
    <t>TOMAS</t>
  </si>
  <si>
    <t>AMADOR</t>
  </si>
  <si>
    <t>CH238FM16627</t>
  </si>
  <si>
    <t>RAYBOULD</t>
  </si>
  <si>
    <t>CE514UN16867</t>
  </si>
  <si>
    <t>CECILY</t>
  </si>
  <si>
    <t>TOGBA</t>
  </si>
  <si>
    <t>LAMB</t>
  </si>
  <si>
    <t>DC036FM16427</t>
  </si>
  <si>
    <t>ALFARO</t>
  </si>
  <si>
    <t>MZ076RA17587</t>
  </si>
  <si>
    <t>ALEXANDRA</t>
  </si>
  <si>
    <t>HEATON</t>
  </si>
  <si>
    <t>DA964AA17777</t>
  </si>
  <si>
    <t>KRISTINE</t>
  </si>
  <si>
    <t>MAYER</t>
  </si>
  <si>
    <t>CHARLOTTE</t>
  </si>
  <si>
    <t>MCKAY</t>
  </si>
  <si>
    <t>CRAIG</t>
  </si>
  <si>
    <t>DAYTON</t>
  </si>
  <si>
    <t>M0918JA17287</t>
  </si>
  <si>
    <t>JUSTIN</t>
  </si>
  <si>
    <t>WALSH</t>
  </si>
  <si>
    <t>KX053RA17587</t>
  </si>
  <si>
    <t>LUIS</t>
  </si>
  <si>
    <t>CASTRO</t>
  </si>
  <si>
    <t>KIM</t>
  </si>
  <si>
    <t>COX</t>
  </si>
  <si>
    <t>MA994FM16627</t>
  </si>
  <si>
    <t>CZ284HA17287</t>
  </si>
  <si>
    <t>CYNTHIA</t>
  </si>
  <si>
    <t>WILLIAMSON</t>
  </si>
  <si>
    <t>MH792SA17687</t>
  </si>
  <si>
    <t>ALMIRA</t>
  </si>
  <si>
    <t>SHPILSKAYA</t>
  </si>
  <si>
    <t>MARQUES</t>
  </si>
  <si>
    <t>SHERRICE</t>
  </si>
  <si>
    <t>VEASLEY</t>
  </si>
  <si>
    <t>AK9304A17377</t>
  </si>
  <si>
    <t>LOPEZ PICHARDO</t>
  </si>
  <si>
    <t>BG159KA17387</t>
  </si>
  <si>
    <t>LOPEZ</t>
  </si>
  <si>
    <t>BR169FM16527</t>
  </si>
  <si>
    <t>GERSHON</t>
  </si>
  <si>
    <t>K29144A17377</t>
  </si>
  <si>
    <t>AMY</t>
  </si>
  <si>
    <t>CAULFIELD</t>
  </si>
  <si>
    <t>JANETTE</t>
  </si>
  <si>
    <t>VILLEGAS</t>
  </si>
  <si>
    <t>GISSELLE</t>
  </si>
  <si>
    <t>JE279RA17487</t>
  </si>
  <si>
    <t>TAKAUS</t>
  </si>
  <si>
    <t>HOGAN</t>
  </si>
  <si>
    <t>JJ1289A17677</t>
  </si>
  <si>
    <t>ALICIA</t>
  </si>
  <si>
    <t>DE LOS SANTOS BERNAL</t>
  </si>
  <si>
    <t>DANIELA</t>
  </si>
  <si>
    <t>MOYER</t>
  </si>
  <si>
    <t>TAMAR</t>
  </si>
  <si>
    <t>TATARIAN</t>
  </si>
  <si>
    <t>HR713JA17387</t>
  </si>
  <si>
    <t>PALOS</t>
  </si>
  <si>
    <t>FELICIA</t>
  </si>
  <si>
    <t>WILLIAMS</t>
  </si>
  <si>
    <t>JONNISHIA</t>
  </si>
  <si>
    <t>BROOKS-SIMS</t>
  </si>
  <si>
    <t>HANIFA</t>
  </si>
  <si>
    <t>CARPENTER</t>
  </si>
  <si>
    <t>EF244FM16527</t>
  </si>
  <si>
    <t>ROBERTS</t>
  </si>
  <si>
    <t>MARGARITA</t>
  </si>
  <si>
    <t>ESPINOZA</t>
  </si>
  <si>
    <t>EX9489A17677</t>
  </si>
  <si>
    <t>ANA</t>
  </si>
  <si>
    <t>EW654BA17977</t>
  </si>
  <si>
    <t>LAWRENCE</t>
  </si>
  <si>
    <t>MONTEPIO</t>
  </si>
  <si>
    <t>THOMPSON</t>
  </si>
  <si>
    <t>J9408FM16527</t>
  </si>
  <si>
    <t>JENNIFER</t>
  </si>
  <si>
    <t>OSPINA</t>
  </si>
  <si>
    <t>M8824SA17687</t>
  </si>
  <si>
    <t>GUERRERO</t>
  </si>
  <si>
    <t>J85843A17277</t>
  </si>
  <si>
    <t>SASHO</t>
  </si>
  <si>
    <t>SMILESKI</t>
  </si>
  <si>
    <t>JOY</t>
  </si>
  <si>
    <t>HOVESTADT</t>
  </si>
  <si>
    <t>MEAGHEN</t>
  </si>
  <si>
    <t>AVILA</t>
  </si>
  <si>
    <t>M19533A17277</t>
  </si>
  <si>
    <t>OSGOOD</t>
  </si>
  <si>
    <t>MARGARET</t>
  </si>
  <si>
    <t>ALCALA</t>
  </si>
  <si>
    <t>KJ357FM16627</t>
  </si>
  <si>
    <t>JAMAL</t>
  </si>
  <si>
    <t>MORRIS</t>
  </si>
  <si>
    <t>HC832EN16267</t>
  </si>
  <si>
    <t>ACHOLONU</t>
  </si>
  <si>
    <t>DA283FM16627</t>
  </si>
  <si>
    <t>DRAGICH</t>
  </si>
  <si>
    <t>CHAVONICA</t>
  </si>
  <si>
    <t>JAMES-MERIT</t>
  </si>
  <si>
    <t>AH569FM16627</t>
  </si>
  <si>
    <t>CHRISTIE</t>
  </si>
  <si>
    <t>WALTON</t>
  </si>
  <si>
    <t>CY554GM16727</t>
  </si>
  <si>
    <t>GARCES</t>
  </si>
  <si>
    <t>YI</t>
  </si>
  <si>
    <t>LU</t>
  </si>
  <si>
    <t>TAMMY</t>
  </si>
  <si>
    <t>KA663SA17687</t>
  </si>
  <si>
    <t>OBERMANN</t>
  </si>
  <si>
    <t>ALYAA</t>
  </si>
  <si>
    <t>ALKHALEEL</t>
  </si>
  <si>
    <t>KR443TK16417</t>
  </si>
  <si>
    <t>SELINA</t>
  </si>
  <si>
    <t>LUGO</t>
  </si>
  <si>
    <t>M6847BK16586</t>
  </si>
  <si>
    <t>FORESHEE</t>
  </si>
  <si>
    <t>ALESHA</t>
  </si>
  <si>
    <t>CHATMAN-WHITE</t>
  </si>
  <si>
    <t>KK454BA17977</t>
  </si>
  <si>
    <t>RUSLAN</t>
  </si>
  <si>
    <t>MOLDAVSKIY</t>
  </si>
  <si>
    <t>MARCO</t>
  </si>
  <si>
    <t>GM078AA17777</t>
  </si>
  <si>
    <t>BRANDON</t>
  </si>
  <si>
    <t>HUFFMAN</t>
  </si>
  <si>
    <t>MARCUS</t>
  </si>
  <si>
    <t>GARDNER</t>
  </si>
  <si>
    <t>EG155AA17777</t>
  </si>
  <si>
    <t>MORIN</t>
  </si>
  <si>
    <t>MW900JA17387</t>
  </si>
  <si>
    <t>ROSEMARIE</t>
  </si>
  <si>
    <t>FLEISCHMAN-SCOTT</t>
  </si>
  <si>
    <t>KEYSHLA</t>
  </si>
  <si>
    <t>KZ566JA17287</t>
  </si>
  <si>
    <t>JERRILYNN</t>
  </si>
  <si>
    <t>CJ294DN16167</t>
  </si>
  <si>
    <t>ROJAS</t>
  </si>
  <si>
    <t>KE516KA17387</t>
  </si>
  <si>
    <t>ALLYN</t>
  </si>
  <si>
    <t>JANNEY</t>
  </si>
  <si>
    <t>JN229NN16567</t>
  </si>
  <si>
    <t>ROSS</t>
  </si>
  <si>
    <t>MA933SA17687</t>
  </si>
  <si>
    <t>KEVIN</t>
  </si>
  <si>
    <t>ALVERNIA</t>
  </si>
  <si>
    <t>CN772FM16727</t>
  </si>
  <si>
    <t>JONATHAN</t>
  </si>
  <si>
    <t>TORRES</t>
  </si>
  <si>
    <t>AH6979A17577</t>
  </si>
  <si>
    <t>COPES</t>
  </si>
  <si>
    <t>TIRSA</t>
  </si>
  <si>
    <t>JF800RA17587</t>
  </si>
  <si>
    <t>CATHERINE</t>
  </si>
  <si>
    <t>NICOLAIDES</t>
  </si>
  <si>
    <t>K7074RA17587</t>
  </si>
  <si>
    <t>LOUIS</t>
  </si>
  <si>
    <t>LAVECCHIA</t>
  </si>
  <si>
    <t>A1001RA17587</t>
  </si>
  <si>
    <t>HERNANDEZ</t>
  </si>
  <si>
    <t>CD243HA17287</t>
  </si>
  <si>
    <t>NICKALAUS</t>
  </si>
  <si>
    <t>BARTOLI</t>
  </si>
  <si>
    <t>CODY</t>
  </si>
  <si>
    <t>YOUNG</t>
  </si>
  <si>
    <t>SINGER</t>
  </si>
  <si>
    <t>KEZIAH</t>
  </si>
  <si>
    <t>EA970SA17687</t>
  </si>
  <si>
    <t>CM212RA17587</t>
  </si>
  <si>
    <t>JASWINDER</t>
  </si>
  <si>
    <t>KAUR</t>
  </si>
  <si>
    <t>CZ536GM16727</t>
  </si>
  <si>
    <t>FELIPE</t>
  </si>
  <si>
    <t>CRESPO</t>
  </si>
  <si>
    <t>M3157HA17187</t>
  </si>
  <si>
    <t>AJLA</t>
  </si>
  <si>
    <t>ZIGIC</t>
  </si>
  <si>
    <t>JACQUELENE</t>
  </si>
  <si>
    <t>HARLAN</t>
  </si>
  <si>
    <t>H6829AA17777</t>
  </si>
  <si>
    <t>JORDAN</t>
  </si>
  <si>
    <t>ANDRADE</t>
  </si>
  <si>
    <t>C1598SA17587</t>
  </si>
  <si>
    <t>MULCAHY</t>
  </si>
  <si>
    <t>GG698SA17587</t>
  </si>
  <si>
    <t>DW143FM16727</t>
  </si>
  <si>
    <t>ANDREA</t>
  </si>
  <si>
    <t>MIDDLEMAN</t>
  </si>
  <si>
    <t>SHAREKA</t>
  </si>
  <si>
    <t>SULLIVAN</t>
  </si>
  <si>
    <t>E08363A17277</t>
  </si>
  <si>
    <t>AURISTELA</t>
  </si>
  <si>
    <t>GZ7245A17477</t>
  </si>
  <si>
    <t>IVAN</t>
  </si>
  <si>
    <t>GZ693EN16267</t>
  </si>
  <si>
    <t>LANCE</t>
  </si>
  <si>
    <t>K7546TK16317</t>
  </si>
  <si>
    <t>JURADO</t>
  </si>
  <si>
    <t>BZ898BK16796</t>
  </si>
  <si>
    <t>HP841RA17587</t>
  </si>
  <si>
    <t>JEREMY</t>
  </si>
  <si>
    <t>BENNETT</t>
  </si>
  <si>
    <t>KP610EN16267</t>
  </si>
  <si>
    <t>WHITE</t>
  </si>
  <si>
    <t>EJ411BK16696</t>
  </si>
  <si>
    <t>SONYA</t>
  </si>
  <si>
    <t>EB925HA17287</t>
  </si>
  <si>
    <t>SANCHEZ</t>
  </si>
  <si>
    <t>AE954SA17687</t>
  </si>
  <si>
    <t>IAN</t>
  </si>
  <si>
    <t>CHAMBERLAIN</t>
  </si>
  <si>
    <t>VICTORIA</t>
  </si>
  <si>
    <t>BUCKMAN</t>
  </si>
  <si>
    <t>MJ410RA17587</t>
  </si>
  <si>
    <t>TRACY</t>
  </si>
  <si>
    <t>HAGUES</t>
  </si>
  <si>
    <t>K9357GM16727</t>
  </si>
  <si>
    <t>KRISTIANE</t>
  </si>
  <si>
    <t>SAWYER</t>
  </si>
  <si>
    <t>H1289SA17587</t>
  </si>
  <si>
    <t>JENNICE</t>
  </si>
  <si>
    <t>MELANIE</t>
  </si>
  <si>
    <t>GUYER</t>
  </si>
  <si>
    <t>CHELSEA</t>
  </si>
  <si>
    <t>SPENSER</t>
  </si>
  <si>
    <t>ALICE</t>
  </si>
  <si>
    <t>BREEMAN</t>
  </si>
  <si>
    <t>HY508AA17777</t>
  </si>
  <si>
    <t>COURTNEY</t>
  </si>
  <si>
    <t>MULLER</t>
  </si>
  <si>
    <t>ORDONEZ-GARCIA</t>
  </si>
  <si>
    <t>ANITA</t>
  </si>
  <si>
    <t>SATTERFIELD</t>
  </si>
  <si>
    <t>JF1105N16557</t>
  </si>
  <si>
    <t>KD848CK16707</t>
  </si>
  <si>
    <t>COLM</t>
  </si>
  <si>
    <t>DE BURCA</t>
  </si>
  <si>
    <t>C4380SA17687</t>
  </si>
  <si>
    <t>ADAMSKI</t>
  </si>
  <si>
    <t>J9480SA17687</t>
  </si>
  <si>
    <t>H1825FM16627</t>
  </si>
  <si>
    <t>BLAKE</t>
  </si>
  <si>
    <t>SUTTIE</t>
  </si>
  <si>
    <t>D8945KA17387</t>
  </si>
  <si>
    <t>LARE</t>
  </si>
  <si>
    <t>O'MARA</t>
  </si>
  <si>
    <t>RODNEY</t>
  </si>
  <si>
    <t>WILCOXEN</t>
  </si>
  <si>
    <t>BT332RA17587</t>
  </si>
  <si>
    <t>MANGRUM</t>
  </si>
  <si>
    <t>QUIROZ</t>
  </si>
  <si>
    <t>APARICIO</t>
  </si>
  <si>
    <t>KD569GM16727</t>
  </si>
  <si>
    <t>VINCENT</t>
  </si>
  <si>
    <t>ARENAS</t>
  </si>
  <si>
    <t>TILLMAN</t>
  </si>
  <si>
    <t>SOUTH</t>
  </si>
  <si>
    <t>HY861HA17287</t>
  </si>
  <si>
    <t>ANGELICA</t>
  </si>
  <si>
    <t>FALCON</t>
  </si>
  <si>
    <t>HE525FM16527</t>
  </si>
  <si>
    <t>ASHLEE</t>
  </si>
  <si>
    <t>DELEON</t>
  </si>
  <si>
    <t>ET687AA17777</t>
  </si>
  <si>
    <t>NATASHA</t>
  </si>
  <si>
    <t>MENDRIN</t>
  </si>
  <si>
    <t>GB2144A17377</t>
  </si>
  <si>
    <t>ROMERO</t>
  </si>
  <si>
    <t>MB351EN16267</t>
  </si>
  <si>
    <t>ZANITA</t>
  </si>
  <si>
    <t>HAMILTON</t>
  </si>
  <si>
    <t>E7825SA17687</t>
  </si>
  <si>
    <t>TAJAH</t>
  </si>
  <si>
    <t>FLEMING</t>
  </si>
  <si>
    <t>WENDY</t>
  </si>
  <si>
    <t>MIRCOVICH</t>
  </si>
  <si>
    <t>CR673YN16077</t>
  </si>
  <si>
    <t>SERNA</t>
  </si>
  <si>
    <t>YAU</t>
  </si>
  <si>
    <t>HH743SA17687</t>
  </si>
  <si>
    <t>ROSARIO</t>
  </si>
  <si>
    <t>TINOCO</t>
  </si>
  <si>
    <t>BM3706A17577</t>
  </si>
  <si>
    <t>NATHAN</t>
  </si>
  <si>
    <t>KRAMER</t>
  </si>
  <si>
    <t>FERREIRA</t>
  </si>
  <si>
    <t>DURGIN</t>
  </si>
  <si>
    <t>TEYONA</t>
  </si>
  <si>
    <t>ANDERSON</t>
  </si>
  <si>
    <t>DAMION</t>
  </si>
  <si>
    <t>GOLDBERG</t>
  </si>
  <si>
    <t>H5951BK16696</t>
  </si>
  <si>
    <t>BROOK</t>
  </si>
  <si>
    <t>JOYCE</t>
  </si>
  <si>
    <t>KINJAL</t>
  </si>
  <si>
    <t>BAYANI</t>
  </si>
  <si>
    <t>ATIENZA</t>
  </si>
  <si>
    <t>SHANEE</t>
  </si>
  <si>
    <t>LEWIS</t>
  </si>
  <si>
    <t>MJ232DA17187</t>
  </si>
  <si>
    <t>ROCHELLE</t>
  </si>
  <si>
    <t>BR404KA17387</t>
  </si>
  <si>
    <t>GIA</t>
  </si>
  <si>
    <t>SPAIN</t>
  </si>
  <si>
    <t>CN556FN16267</t>
  </si>
  <si>
    <t>PENNEY</t>
  </si>
  <si>
    <t>AA144SA17687</t>
  </si>
  <si>
    <t>SUSAN</t>
  </si>
  <si>
    <t>GREENE</t>
  </si>
  <si>
    <t>GU014EN16267</t>
  </si>
  <si>
    <t>GABRIEL</t>
  </si>
  <si>
    <t>NAVARRETE-BRAMBILA</t>
  </si>
  <si>
    <t>JD823FM16627</t>
  </si>
  <si>
    <t>OSE</t>
  </si>
  <si>
    <t>MUKENGE</t>
  </si>
  <si>
    <t>KN914SA17687</t>
  </si>
  <si>
    <t>KARIN</t>
  </si>
  <si>
    <t>CARRILLO</t>
  </si>
  <si>
    <t>DC704GM16727</t>
  </si>
  <si>
    <t>ANDRES</t>
  </si>
  <si>
    <t>PIZARRO</t>
  </si>
  <si>
    <t>MA951RA17587</t>
  </si>
  <si>
    <t>BUFKIN</t>
  </si>
  <si>
    <t>H1567JA17287</t>
  </si>
  <si>
    <t>ALYSSA</t>
  </si>
  <si>
    <t>FRANKLIN</t>
  </si>
  <si>
    <t>GG342RA17587</t>
  </si>
  <si>
    <t>KIZIS</t>
  </si>
  <si>
    <t>ARIEL</t>
  </si>
  <si>
    <t>A8517AA17777</t>
  </si>
  <si>
    <t>TERESITA</t>
  </si>
  <si>
    <t>CASAS</t>
  </si>
  <si>
    <t>BE563SA17687</t>
  </si>
  <si>
    <t>CANDRA</t>
  </si>
  <si>
    <t>COOKS</t>
  </si>
  <si>
    <t>HK631FM16627</t>
  </si>
  <si>
    <t>GUILFRE</t>
  </si>
  <si>
    <t>ALMENDAREZ</t>
  </si>
  <si>
    <t>DX781RA17587</t>
  </si>
  <si>
    <t>SAUL</t>
  </si>
  <si>
    <t>BARRIENTOS</t>
  </si>
  <si>
    <t>ROBINSON</t>
  </si>
  <si>
    <t>AT2609A17677</t>
  </si>
  <si>
    <t>ROBIN</t>
  </si>
  <si>
    <t>MARRERO ORTIZ</t>
  </si>
  <si>
    <t>CP5224N16457</t>
  </si>
  <si>
    <t>HAZEM</t>
  </si>
  <si>
    <t>SHOKAIR</t>
  </si>
  <si>
    <t>CAROLINA</t>
  </si>
  <si>
    <t>FABELA</t>
  </si>
  <si>
    <t>KR0943A17277</t>
  </si>
  <si>
    <t>MEAGAN</t>
  </si>
  <si>
    <t>GLODT</t>
  </si>
  <si>
    <t>GW576RA17587</t>
  </si>
  <si>
    <t>CHRISTINE</t>
  </si>
  <si>
    <t>COADY</t>
  </si>
  <si>
    <t>C8819FM16527</t>
  </si>
  <si>
    <t>MARINA</t>
  </si>
  <si>
    <t>GARABEDYAN</t>
  </si>
  <si>
    <t>A5076JA17287</t>
  </si>
  <si>
    <t>LAKEISHA</t>
  </si>
  <si>
    <t>HOOVER-BAPTIST</t>
  </si>
  <si>
    <t>K5033BK16107</t>
  </si>
  <si>
    <t>JOSSIE</t>
  </si>
  <si>
    <t>SHARON</t>
  </si>
  <si>
    <t>BLADE</t>
  </si>
  <si>
    <t>AM5385A17477</t>
  </si>
  <si>
    <t>HECTOR</t>
  </si>
  <si>
    <t>SALOMON</t>
  </si>
  <si>
    <t>AMARESCU</t>
  </si>
  <si>
    <t>GODINA</t>
  </si>
  <si>
    <t>J18925A17477</t>
  </si>
  <si>
    <t>GERONIMO - SANTANA</t>
  </si>
  <si>
    <t>BRUNO</t>
  </si>
  <si>
    <t>RUBY</t>
  </si>
  <si>
    <t>FOSTER</t>
  </si>
  <si>
    <t>M9525BK16896</t>
  </si>
  <si>
    <t>GABRIELLA</t>
  </si>
  <si>
    <t>AGOSTO</t>
  </si>
  <si>
    <t>HH072SA17687</t>
  </si>
  <si>
    <t>CARI</t>
  </si>
  <si>
    <t>HINTON</t>
  </si>
  <si>
    <t>B97793A17177</t>
  </si>
  <si>
    <t>TROU</t>
  </si>
  <si>
    <t>CLOCK</t>
  </si>
  <si>
    <t>BARNETT</t>
  </si>
  <si>
    <t>FATIMA</t>
  </si>
  <si>
    <t>MEDINA</t>
  </si>
  <si>
    <t>HR654RA17587</t>
  </si>
  <si>
    <t>LATIA</t>
  </si>
  <si>
    <t>ST JULIEN</t>
  </si>
  <si>
    <t>K5406KA17387</t>
  </si>
  <si>
    <t>DAVID</t>
  </si>
  <si>
    <t>PATTON</t>
  </si>
  <si>
    <t>D UNDRE</t>
  </si>
  <si>
    <t>BAYONE</t>
  </si>
  <si>
    <t>J9902HA17287</t>
  </si>
  <si>
    <t>LIDIA</t>
  </si>
  <si>
    <t>GUERRERO DIAZ</t>
  </si>
  <si>
    <t>EM519SA17587</t>
  </si>
  <si>
    <t>BLEVINS</t>
  </si>
  <si>
    <t>EM303SA17687</t>
  </si>
  <si>
    <t>GORDON-CLARK</t>
  </si>
  <si>
    <t>DEBORAH</t>
  </si>
  <si>
    <t>OSTEDT</t>
  </si>
  <si>
    <t>BE553GM16727</t>
  </si>
  <si>
    <t>DAN</t>
  </si>
  <si>
    <t>FRISCH</t>
  </si>
  <si>
    <t>Semi-Monthly</t>
  </si>
  <si>
    <t>KB039GM16727</t>
  </si>
  <si>
    <t>SONIA</t>
  </si>
  <si>
    <t>AYON ROJAS</t>
  </si>
  <si>
    <t>BRITTANY</t>
  </si>
  <si>
    <t>CADO</t>
  </si>
  <si>
    <t>JD399AA17777</t>
  </si>
  <si>
    <t>JAN</t>
  </si>
  <si>
    <t>POKLAD</t>
  </si>
  <si>
    <t>KD047CA17977</t>
  </si>
  <si>
    <t>MEHBUBA</t>
  </si>
  <si>
    <t>TONMOY</t>
  </si>
  <si>
    <t>GN273HA17287</t>
  </si>
  <si>
    <t>LETICIA</t>
  </si>
  <si>
    <t>FERNANDEZ</t>
  </si>
  <si>
    <t>SU TING</t>
  </si>
  <si>
    <t>CHENG</t>
  </si>
  <si>
    <t>PELETI</t>
  </si>
  <si>
    <t>H28545A17477</t>
  </si>
  <si>
    <t>BARRERA</t>
  </si>
  <si>
    <t>MELANY</t>
  </si>
  <si>
    <t>MELENDEZ</t>
  </si>
  <si>
    <t>AN381SA17687</t>
  </si>
  <si>
    <t>J9964FM16427</t>
  </si>
  <si>
    <t>HEIL</t>
  </si>
  <si>
    <t>GABRIELA</t>
  </si>
  <si>
    <t>JIMENEZ</t>
  </si>
  <si>
    <t>A98413A17277</t>
  </si>
  <si>
    <t>MJ2226A17577</t>
  </si>
  <si>
    <t>D19609A17677</t>
  </si>
  <si>
    <t>YOUSEFIAN</t>
  </si>
  <si>
    <t>EG0706A17577</t>
  </si>
  <si>
    <t>DEVRIES</t>
  </si>
  <si>
    <t>HUSE-SMITH</t>
  </si>
  <si>
    <t>EH1816A17577</t>
  </si>
  <si>
    <t>JAMIL</t>
  </si>
  <si>
    <t>K1454GM16727</t>
  </si>
  <si>
    <t>JESUS</t>
  </si>
  <si>
    <t>CASTRELLON</t>
  </si>
  <si>
    <t>GN223FM16627</t>
  </si>
  <si>
    <t>ALONZO</t>
  </si>
  <si>
    <t>DENT</t>
  </si>
  <si>
    <t>BROOKE</t>
  </si>
  <si>
    <t>YELLOWDY</t>
  </si>
  <si>
    <t>DJ724EN16267</t>
  </si>
  <si>
    <t>REMI</t>
  </si>
  <si>
    <t>PATERAKIS</t>
  </si>
  <si>
    <t>H2316JA17287</t>
  </si>
  <si>
    <t>UNIQUE</t>
  </si>
  <si>
    <t>CURRENT</t>
  </si>
  <si>
    <t>WHITLEY</t>
  </si>
  <si>
    <t>BLYTHE</t>
  </si>
  <si>
    <t>MARCIA</t>
  </si>
  <si>
    <t>JACOBS</t>
  </si>
  <si>
    <t>EK013JA17387</t>
  </si>
  <si>
    <t>HAN</t>
  </si>
  <si>
    <t>KK625SA17687</t>
  </si>
  <si>
    <t>BLAYRE</t>
  </si>
  <si>
    <t>TOLEDO</t>
  </si>
  <si>
    <t>GB088MA17487</t>
  </si>
  <si>
    <t>SAMANTHA</t>
  </si>
  <si>
    <t>LLORA</t>
  </si>
  <si>
    <t>DIMAS</t>
  </si>
  <si>
    <t>JOHN</t>
  </si>
  <si>
    <t>GR055FM16527</t>
  </si>
  <si>
    <t>HAHN</t>
  </si>
  <si>
    <t>ESTRELLA</t>
  </si>
  <si>
    <t>BERGESON</t>
  </si>
  <si>
    <t>E1028FM16627</t>
  </si>
  <si>
    <t>CHARLES</t>
  </si>
  <si>
    <t>GARMAN</t>
  </si>
  <si>
    <t>ASHLEIGH</t>
  </si>
  <si>
    <t>REID</t>
  </si>
  <si>
    <t>D4219NA17487</t>
  </si>
  <si>
    <t>GRETCHEN</t>
  </si>
  <si>
    <t>SCHUNK</t>
  </si>
  <si>
    <t>K2355RN16767</t>
  </si>
  <si>
    <t>VILMA</t>
  </si>
  <si>
    <t>STACEY ANNE</t>
  </si>
  <si>
    <t>CHRISTIAN</t>
  </si>
  <si>
    <t>A4184RA17587</t>
  </si>
  <si>
    <t>ROOPAK</t>
  </si>
  <si>
    <t>CHAUHAN</t>
  </si>
  <si>
    <t>GB282RA17587</t>
  </si>
  <si>
    <t>NOEMI</t>
  </si>
  <si>
    <t>GUDINO</t>
  </si>
  <si>
    <t>KZ187NN16567</t>
  </si>
  <si>
    <t>JULIAN</t>
  </si>
  <si>
    <t>VILLADA C</t>
  </si>
  <si>
    <t>BELTRAN</t>
  </si>
  <si>
    <t>VANESSA</t>
  </si>
  <si>
    <t>M02334A17377</t>
  </si>
  <si>
    <t>ASTRID</t>
  </si>
  <si>
    <t>AT218DA17087</t>
  </si>
  <si>
    <t>GEBHART</t>
  </si>
  <si>
    <t>ISABELL</t>
  </si>
  <si>
    <t>JEROME</t>
  </si>
  <si>
    <t>JM8273A17177</t>
  </si>
  <si>
    <t>KRISTEN</t>
  </si>
  <si>
    <t>WALTERS</t>
  </si>
  <si>
    <t>E65263A17277</t>
  </si>
  <si>
    <t>MIGUEL</t>
  </si>
  <si>
    <t>SEGURA</t>
  </si>
  <si>
    <t>KB972BK16896</t>
  </si>
  <si>
    <t>TRAVIS</t>
  </si>
  <si>
    <t>MOORE</t>
  </si>
  <si>
    <t>BY994SA17687</t>
  </si>
  <si>
    <t>ROBBY</t>
  </si>
  <si>
    <t>LE</t>
  </si>
  <si>
    <t>CAMPBELL</t>
  </si>
  <si>
    <t>H9248FM16627</t>
  </si>
  <si>
    <t>ALAN</t>
  </si>
  <si>
    <t>RICKER</t>
  </si>
  <si>
    <t>KC522UN16867</t>
  </si>
  <si>
    <t>CANDACE</t>
  </si>
  <si>
    <t>CLEMENT</t>
  </si>
  <si>
    <t>KIWANDA</t>
  </si>
  <si>
    <t>VELASQUEZ</t>
  </si>
  <si>
    <t>J1403RA17587</t>
  </si>
  <si>
    <t>NICOLE</t>
  </si>
  <si>
    <t>ARTAVIA</t>
  </si>
  <si>
    <t>AE205RA17587</t>
  </si>
  <si>
    <t>DESARENA</t>
  </si>
  <si>
    <t>MARNER</t>
  </si>
  <si>
    <t>CAROLENA</t>
  </si>
  <si>
    <t>ELYADES</t>
  </si>
  <si>
    <t>H54244A17377</t>
  </si>
  <si>
    <t>C53995N16457</t>
  </si>
  <si>
    <t>RANDALL</t>
  </si>
  <si>
    <t>GN463RA17587</t>
  </si>
  <si>
    <t>RAFAEL</t>
  </si>
  <si>
    <t>MICHEL</t>
  </si>
  <si>
    <t>C3040RA17587</t>
  </si>
  <si>
    <t>PITA</t>
  </si>
  <si>
    <t>EG707CA17977</t>
  </si>
  <si>
    <t>BELINDA</t>
  </si>
  <si>
    <t>AZ965BK16986</t>
  </si>
  <si>
    <t>BRIEANNA</t>
  </si>
  <si>
    <t>EW801UN16867</t>
  </si>
  <si>
    <t>MCMULLEN</t>
  </si>
  <si>
    <t>MARISSA</t>
  </si>
  <si>
    <t>ALCANTARA</t>
  </si>
  <si>
    <t>CORMACK</t>
  </si>
  <si>
    <t>HF871DA17187</t>
  </si>
  <si>
    <t>ELLISSA</t>
  </si>
  <si>
    <t>SALM</t>
  </si>
  <si>
    <t>DY814RA17587</t>
  </si>
  <si>
    <t>MC162FM16727</t>
  </si>
  <si>
    <t>BRABENEC</t>
  </si>
  <si>
    <t>SUHEY</t>
  </si>
  <si>
    <t>SNELL</t>
  </si>
  <si>
    <t>GK8346A17577</t>
  </si>
  <si>
    <t>EDWARD</t>
  </si>
  <si>
    <t>RESTAINO</t>
  </si>
  <si>
    <t>DA VITORIA</t>
  </si>
  <si>
    <t>MARICELA</t>
  </si>
  <si>
    <t>C98714N16457</t>
  </si>
  <si>
    <t>MAYRA</t>
  </si>
  <si>
    <t>AA9979A17577</t>
  </si>
  <si>
    <t>MISSI</t>
  </si>
  <si>
    <t>CJ779FM16627</t>
  </si>
  <si>
    <t>TAWANDA</t>
  </si>
  <si>
    <t>RODDY</t>
  </si>
  <si>
    <t>H3462RA17587</t>
  </si>
  <si>
    <t>RACHEL</t>
  </si>
  <si>
    <t>EX4565A17477</t>
  </si>
  <si>
    <t>JEHNNY</t>
  </si>
  <si>
    <t>SEGUI</t>
  </si>
  <si>
    <t>MZ132FM16627</t>
  </si>
  <si>
    <t>STOUT</t>
  </si>
  <si>
    <t>LENA</t>
  </si>
  <si>
    <t>BERRI</t>
  </si>
  <si>
    <t>D8878AA17777</t>
  </si>
  <si>
    <t>TERESA</t>
  </si>
  <si>
    <t>KITCHINGS</t>
  </si>
  <si>
    <t>KY339SA17587</t>
  </si>
  <si>
    <t>K43935A17477</t>
  </si>
  <si>
    <t>BRENDA</t>
  </si>
  <si>
    <t>CASTELLANOS</t>
  </si>
  <si>
    <t>CY130AA17777</t>
  </si>
  <si>
    <t>NICOSIA</t>
  </si>
  <si>
    <t>E5613BK16307</t>
  </si>
  <si>
    <t>BRYAN</t>
  </si>
  <si>
    <t>JOELL</t>
  </si>
  <si>
    <t>H7535SA17687</t>
  </si>
  <si>
    <t>LILLIAN</t>
  </si>
  <si>
    <t>TAWZER</t>
  </si>
  <si>
    <t>KRISTI</t>
  </si>
  <si>
    <t>SAIENNI</t>
  </si>
  <si>
    <t>AK941SA17687</t>
  </si>
  <si>
    <t>GIBSON</t>
  </si>
  <si>
    <t>E2263UK16517</t>
  </si>
  <si>
    <t>NANA</t>
  </si>
  <si>
    <t>AGYEI-TWUM</t>
  </si>
  <si>
    <t>ED297BA17877</t>
  </si>
  <si>
    <t>BRADFORD</t>
  </si>
  <si>
    <t>EDWIN</t>
  </si>
  <si>
    <t>CASTILLO</t>
  </si>
  <si>
    <t>AK361FM16427</t>
  </si>
  <si>
    <t>BELL</t>
  </si>
  <si>
    <t>TALIT</t>
  </si>
  <si>
    <t>SPECK</t>
  </si>
  <si>
    <t>VASQUEZ</t>
  </si>
  <si>
    <t>DP968MA17487</t>
  </si>
  <si>
    <t>SEAN</t>
  </si>
  <si>
    <t>D9833FM16627</t>
  </si>
  <si>
    <t>KEARNS</t>
  </si>
  <si>
    <t>CINDY</t>
  </si>
  <si>
    <t>CASTO</t>
  </si>
  <si>
    <t>E3710FM16627</t>
  </si>
  <si>
    <t>LOMBARDO</t>
  </si>
  <si>
    <t>IRAHETA</t>
  </si>
  <si>
    <t>EE098DA17087</t>
  </si>
  <si>
    <t>DOROTHY</t>
  </si>
  <si>
    <t>JARRETT</t>
  </si>
  <si>
    <t>CARPENTIER</t>
  </si>
  <si>
    <t>BE8033A17277</t>
  </si>
  <si>
    <t>GRACE</t>
  </si>
  <si>
    <t>DD861RA17587</t>
  </si>
  <si>
    <t>MAILLOUX</t>
  </si>
  <si>
    <t>HY783RA17587</t>
  </si>
  <si>
    <t>GERMAN</t>
  </si>
  <si>
    <t>ZAPATA</t>
  </si>
  <si>
    <t>SANDY</t>
  </si>
  <si>
    <t>MAS-FERNANDEZ</t>
  </si>
  <si>
    <t>HELEN</t>
  </si>
  <si>
    <t>CHANG</t>
  </si>
  <si>
    <t>JN697AA17777</t>
  </si>
  <si>
    <t>C2644BK16107</t>
  </si>
  <si>
    <t>LEON</t>
  </si>
  <si>
    <t>MIKE</t>
  </si>
  <si>
    <t>CIANI</t>
  </si>
  <si>
    <t>MA764DN16167</t>
  </si>
  <si>
    <t>LA</t>
  </si>
  <si>
    <t>MD214SA17687</t>
  </si>
  <si>
    <t>RANGANATH</t>
  </si>
  <si>
    <t>CHAKRAVARTHULA</t>
  </si>
  <si>
    <t>D2696KN16367</t>
  </si>
  <si>
    <t>ASEL</t>
  </si>
  <si>
    <t>MUKHAMEJAROVA</t>
  </si>
  <si>
    <t>VANIA</t>
  </si>
  <si>
    <t>ME749SA17587</t>
  </si>
  <si>
    <t>D2873BA17977</t>
  </si>
  <si>
    <t>CHIGOZIE</t>
  </si>
  <si>
    <t>OGWUEGBU-STEPHENS</t>
  </si>
  <si>
    <t>C8977AA17777</t>
  </si>
  <si>
    <t>SHEENA</t>
  </si>
  <si>
    <t>G3824EN16267</t>
  </si>
  <si>
    <t>DARILYN</t>
  </si>
  <si>
    <t>FURTADO</t>
  </si>
  <si>
    <t>GINNY</t>
  </si>
  <si>
    <t>A9648FM16527</t>
  </si>
  <si>
    <t>PACHECO</t>
  </si>
  <si>
    <t>D81733A17277</t>
  </si>
  <si>
    <t>LATONYA</t>
  </si>
  <si>
    <t>JENKINS</t>
  </si>
  <si>
    <t>MT134GM16727</t>
  </si>
  <si>
    <t>BR795AA17777</t>
  </si>
  <si>
    <t>MU2949A17677</t>
  </si>
  <si>
    <t>ST VINCENT</t>
  </si>
  <si>
    <t>HE2099A17577</t>
  </si>
  <si>
    <t>MELO</t>
  </si>
  <si>
    <t>PINDER</t>
  </si>
  <si>
    <t>B20059A17677</t>
  </si>
  <si>
    <t>JOHNNY</t>
  </si>
  <si>
    <t>MENJIVAR</t>
  </si>
  <si>
    <t>M4234BK16307</t>
  </si>
  <si>
    <t>ALVARADO</t>
  </si>
  <si>
    <t>MW938RA17587</t>
  </si>
  <si>
    <t>MARTHA</t>
  </si>
  <si>
    <t>JACKSON</t>
  </si>
  <si>
    <t>SHAKIR</t>
  </si>
  <si>
    <t>LEATHERBURY</t>
  </si>
  <si>
    <t>HARDISON</t>
  </si>
  <si>
    <t>ERICKA</t>
  </si>
  <si>
    <t>WILLIS</t>
  </si>
  <si>
    <t>C0819BA17877</t>
  </si>
  <si>
    <t>JORDY</t>
  </si>
  <si>
    <t>FLORES</t>
  </si>
  <si>
    <t>LEATHERWOOD</t>
  </si>
  <si>
    <t>JU462FM16627</t>
  </si>
  <si>
    <t>DEL GIUDICE</t>
  </si>
  <si>
    <t>YVONNE</t>
  </si>
  <si>
    <t>HALSANA</t>
  </si>
  <si>
    <t>HR716HA17187</t>
  </si>
  <si>
    <t>ALMEIDA</t>
  </si>
  <si>
    <t>EH722DN16167</t>
  </si>
  <si>
    <t>POLEN</t>
  </si>
  <si>
    <t>CZ2163A17277</t>
  </si>
  <si>
    <t>DARREN</t>
  </si>
  <si>
    <t>BEHM</t>
  </si>
  <si>
    <t>EX834GM16727</t>
  </si>
  <si>
    <t>CLARKSON</t>
  </si>
  <si>
    <t>LYNNE</t>
  </si>
  <si>
    <t>AT531RA17587</t>
  </si>
  <si>
    <t>DEZZI</t>
  </si>
  <si>
    <t>EF622DA17187</t>
  </si>
  <si>
    <t>KERR-GAUDETTE</t>
  </si>
  <si>
    <t>J0794YN16077</t>
  </si>
  <si>
    <t>CSASZAR</t>
  </si>
  <si>
    <t>GW044SA17687</t>
  </si>
  <si>
    <t>C8669KA17387</t>
  </si>
  <si>
    <t>RAVENN</t>
  </si>
  <si>
    <t>CR886RA17587</t>
  </si>
  <si>
    <t>VALBONA</t>
  </si>
  <si>
    <t>HOXHA</t>
  </si>
  <si>
    <t>AUNDREA</t>
  </si>
  <si>
    <t>FAVELA</t>
  </si>
  <si>
    <t>WANDA</t>
  </si>
  <si>
    <t>RINGEL</t>
  </si>
  <si>
    <t>K9173RA17587</t>
  </si>
  <si>
    <t>PETROLLI</t>
  </si>
  <si>
    <t>BF3774A17277</t>
  </si>
  <si>
    <t>FLORETTA</t>
  </si>
  <si>
    <t>LADOWSKI</t>
  </si>
  <si>
    <t>JZ004HA17287</t>
  </si>
  <si>
    <t>JERELL</t>
  </si>
  <si>
    <t>ST CLAIR</t>
  </si>
  <si>
    <t>FLORENCE</t>
  </si>
  <si>
    <t>MCCAULEY</t>
  </si>
  <si>
    <t>MJ129DA17087</t>
  </si>
  <si>
    <t>LACEY</t>
  </si>
  <si>
    <t>GARFIELD</t>
  </si>
  <si>
    <t>AR462EN16267</t>
  </si>
  <si>
    <t>CHOU</t>
  </si>
  <si>
    <t>CORDOVA</t>
  </si>
  <si>
    <t>HX108MA17487</t>
  </si>
  <si>
    <t>TRACIE</t>
  </si>
  <si>
    <t>CAROLIN</t>
  </si>
  <si>
    <t>D0588AA17777</t>
  </si>
  <si>
    <t>COVARRUBIAS</t>
  </si>
  <si>
    <t>TENIELLE</t>
  </si>
  <si>
    <t>CG458DA17087</t>
  </si>
  <si>
    <t>DX3205N16557</t>
  </si>
  <si>
    <t>RAMP</t>
  </si>
  <si>
    <t>M9407GM16727</t>
  </si>
  <si>
    <t>KEYSHAWNDA</t>
  </si>
  <si>
    <t>HOLMES</t>
  </si>
  <si>
    <t>MELINDA</t>
  </si>
  <si>
    <t>ROLLINS</t>
  </si>
  <si>
    <t>JP004UN16867</t>
  </si>
  <si>
    <t>MAHMOUD</t>
  </si>
  <si>
    <t>IBRAHIM</t>
  </si>
  <si>
    <t>PENDLETON</t>
  </si>
  <si>
    <t>C2973EN16267</t>
  </si>
  <si>
    <t>JOSHUA</t>
  </si>
  <si>
    <t>CK724GM16727</t>
  </si>
  <si>
    <t>CHEVYN</t>
  </si>
  <si>
    <t>BRYANT</t>
  </si>
  <si>
    <t>DU844EN16267</t>
  </si>
  <si>
    <t>VIJAY</t>
  </si>
  <si>
    <t>MAHAJAN</t>
  </si>
  <si>
    <t>M8817JA17287</t>
  </si>
  <si>
    <t>EM393SA17687</t>
  </si>
  <si>
    <t>O'CONNOR</t>
  </si>
  <si>
    <t>SARA</t>
  </si>
  <si>
    <t>VALENTIN</t>
  </si>
  <si>
    <t>KR801RA17587</t>
  </si>
  <si>
    <t>CHIQUITA</t>
  </si>
  <si>
    <t>GARNER</t>
  </si>
  <si>
    <t>TRIBOU</t>
  </si>
  <si>
    <t>JT713FM16627</t>
  </si>
  <si>
    <t>GUNN</t>
  </si>
  <si>
    <t>OROCIO</t>
  </si>
  <si>
    <t>BW906CA17977</t>
  </si>
  <si>
    <t>OWEN</t>
  </si>
  <si>
    <t>EVANS</t>
  </si>
  <si>
    <t>DINA</t>
  </si>
  <si>
    <t>ELBIHERIE</t>
  </si>
  <si>
    <t>DW923SA17687</t>
  </si>
  <si>
    <t>ACREE</t>
  </si>
  <si>
    <t>A8880HA17287</t>
  </si>
  <si>
    <t>CONSTANTINA</t>
  </si>
  <si>
    <t>DZ4739A17677</t>
  </si>
  <si>
    <t>KELLY</t>
  </si>
  <si>
    <t>HD435FN16267</t>
  </si>
  <si>
    <t>JOSEPHINE</t>
  </si>
  <si>
    <t>COBIAN</t>
  </si>
  <si>
    <t>JASMYN</t>
  </si>
  <si>
    <t>ALMA</t>
  </si>
  <si>
    <t>HARRIS</t>
  </si>
  <si>
    <t>RHONDA</t>
  </si>
  <si>
    <t>HICKMOND</t>
  </si>
  <si>
    <t>GILBERTO</t>
  </si>
  <si>
    <t>PEDROZA</t>
  </si>
  <si>
    <t>LAQUASIA</t>
  </si>
  <si>
    <t>GR782FM16727</t>
  </si>
  <si>
    <t>WASEE</t>
  </si>
  <si>
    <t>FENIX</t>
  </si>
  <si>
    <t>BD4463A17277</t>
  </si>
  <si>
    <t>ASHWIN</t>
  </si>
  <si>
    <t>JB603BA17977</t>
  </si>
  <si>
    <t>DORIAN</t>
  </si>
  <si>
    <t>KOIYA</t>
  </si>
  <si>
    <t>NICKERSON</t>
  </si>
  <si>
    <t>GANAS</t>
  </si>
  <si>
    <t>YUNIESKA</t>
  </si>
  <si>
    <t>GOMEZ</t>
  </si>
  <si>
    <t>A0015KA17387</t>
  </si>
  <si>
    <t>MJ622UN16867</t>
  </si>
  <si>
    <t>HORACIO</t>
  </si>
  <si>
    <t>VELADOR</t>
  </si>
  <si>
    <t>H6612FM16727</t>
  </si>
  <si>
    <t>SETH</t>
  </si>
  <si>
    <t>GRIFFIN</t>
  </si>
  <si>
    <t>EZ681BA17977</t>
  </si>
  <si>
    <t>BHARATH</t>
  </si>
  <si>
    <t>JIDIGAM</t>
  </si>
  <si>
    <t>H50853A17277</t>
  </si>
  <si>
    <t>MARTINA</t>
  </si>
  <si>
    <t>SAAD</t>
  </si>
  <si>
    <t>AW3626A17577</t>
  </si>
  <si>
    <t>DG170FM16627</t>
  </si>
  <si>
    <t>SCHOEN</t>
  </si>
  <si>
    <t>M3192FM16727</t>
  </si>
  <si>
    <t>KERVIN</t>
  </si>
  <si>
    <t>SIMON</t>
  </si>
  <si>
    <t>LIANA</t>
  </si>
  <si>
    <t>JANE</t>
  </si>
  <si>
    <t>HARFORD</t>
  </si>
  <si>
    <t>EK8665N16557</t>
  </si>
  <si>
    <t>PERROTTA</t>
  </si>
  <si>
    <t>J6462BA17877</t>
  </si>
  <si>
    <t>LANE</t>
  </si>
  <si>
    <t>BROWER</t>
  </si>
  <si>
    <t>JF134SA17687</t>
  </si>
  <si>
    <t>MAZALEWSKI</t>
  </si>
  <si>
    <t>M85175A17477</t>
  </si>
  <si>
    <t>H3047MA17487</t>
  </si>
  <si>
    <t>STEPHEN</t>
  </si>
  <si>
    <t>DK286FM16627</t>
  </si>
  <si>
    <t>MORENO</t>
  </si>
  <si>
    <t>G7523BK16496</t>
  </si>
  <si>
    <t>KELLEY</t>
  </si>
  <si>
    <t>M8171DN16167</t>
  </si>
  <si>
    <t>JK828MA17487</t>
  </si>
  <si>
    <t>SHAW</t>
  </si>
  <si>
    <t>BJ804EN16267</t>
  </si>
  <si>
    <t>FADY</t>
  </si>
  <si>
    <t>GIRGIS</t>
  </si>
  <si>
    <t>C7921UN16867</t>
  </si>
  <si>
    <t>MORGAN</t>
  </si>
  <si>
    <t>HARGRAVE</t>
  </si>
  <si>
    <t>J4477RA17587</t>
  </si>
  <si>
    <t>FURLONG</t>
  </si>
  <si>
    <t>H0088BK16296</t>
  </si>
  <si>
    <t>AZ459BA17877</t>
  </si>
  <si>
    <t>CIOBANU</t>
  </si>
  <si>
    <t>AM8824A17377</t>
  </si>
  <si>
    <t>SNOOK</t>
  </si>
  <si>
    <t>K7501UN16867</t>
  </si>
  <si>
    <t>MZ322HA17287</t>
  </si>
  <si>
    <t>ABBY</t>
  </si>
  <si>
    <t>LINDA</t>
  </si>
  <si>
    <t>FISETTE</t>
  </si>
  <si>
    <t>H7997FM16627</t>
  </si>
  <si>
    <t>PAUL</t>
  </si>
  <si>
    <t>BLASI</t>
  </si>
  <si>
    <t>GT8989A17577</t>
  </si>
  <si>
    <t>GUADALUPE</t>
  </si>
  <si>
    <t>SANDOVAL</t>
  </si>
  <si>
    <t>HU1889A17577</t>
  </si>
  <si>
    <t>TARICE</t>
  </si>
  <si>
    <t>BRADLEY</t>
  </si>
  <si>
    <t>VAMOS</t>
  </si>
  <si>
    <t>EY062CA17087</t>
  </si>
  <si>
    <t>BALLESTEROS</t>
  </si>
  <si>
    <t>TOY</t>
  </si>
  <si>
    <t>K9450FM16627</t>
  </si>
  <si>
    <t>BELCHER</t>
  </si>
  <si>
    <t>HUNTLEY</t>
  </si>
  <si>
    <t>KK7043A17277</t>
  </si>
  <si>
    <t>KERRI</t>
  </si>
  <si>
    <t>EK912DA17187</t>
  </si>
  <si>
    <t>STEVE</t>
  </si>
  <si>
    <t>ROSELLO</t>
  </si>
  <si>
    <t>PARIE</t>
  </si>
  <si>
    <t>KELLIE</t>
  </si>
  <si>
    <t>WENTZ</t>
  </si>
  <si>
    <t>J8784FM16427</t>
  </si>
  <si>
    <t>WESTHEIMER</t>
  </si>
  <si>
    <t>RODERICK</t>
  </si>
  <si>
    <t>SPILLER</t>
  </si>
  <si>
    <t>EG095RA17587</t>
  </si>
  <si>
    <t>JB0663A17277</t>
  </si>
  <si>
    <t>FATTOUMA</t>
  </si>
  <si>
    <t>TALEB AHMAD</t>
  </si>
  <si>
    <t>KF018RA17587</t>
  </si>
  <si>
    <t>G71723A17277</t>
  </si>
  <si>
    <t>THOVNEVILAY</t>
  </si>
  <si>
    <t>KEOMANYKOUTH</t>
  </si>
  <si>
    <t>G1569SA17587</t>
  </si>
  <si>
    <t>DU4263A17277</t>
  </si>
  <si>
    <t>ROSALIE</t>
  </si>
  <si>
    <t>EF829FM16327</t>
  </si>
  <si>
    <t>HAVERBACK</t>
  </si>
  <si>
    <t>JON</t>
  </si>
  <si>
    <t>COGER</t>
  </si>
  <si>
    <t>M6998FM16427</t>
  </si>
  <si>
    <t>DESIREE</t>
  </si>
  <si>
    <t>SANCHEZ-RHOTEN</t>
  </si>
  <si>
    <t>CB587RA17587</t>
  </si>
  <si>
    <t>VALERIO</t>
  </si>
  <si>
    <t>TERI</t>
  </si>
  <si>
    <t>CRAWFORD</t>
  </si>
  <si>
    <t>KW129CA17977</t>
  </si>
  <si>
    <t>HOFFARTH</t>
  </si>
  <si>
    <t>KIMISHA</t>
  </si>
  <si>
    <t>STEVENSON</t>
  </si>
  <si>
    <t>ELENA</t>
  </si>
  <si>
    <t>MATAKOVA-PANTCHEVA</t>
  </si>
  <si>
    <t>G30894N16357</t>
  </si>
  <si>
    <t>SATYA NARAYA</t>
  </si>
  <si>
    <t>KAROTHI</t>
  </si>
  <si>
    <t>B5632XN16077</t>
  </si>
  <si>
    <t>SAUNDRA</t>
  </si>
  <si>
    <t>FINLEY</t>
  </si>
  <si>
    <t>A6629SA17587</t>
  </si>
  <si>
    <t>KERRIANN</t>
  </si>
  <si>
    <t>BUCKLEY</t>
  </si>
  <si>
    <t>CHARLENE</t>
  </si>
  <si>
    <t>WOODS</t>
  </si>
  <si>
    <t>G4108DA17087</t>
  </si>
  <si>
    <t>HUNT</t>
  </si>
  <si>
    <t>D87414N16457</t>
  </si>
  <si>
    <t>ANEXIS</t>
  </si>
  <si>
    <t>C1802FM16627</t>
  </si>
  <si>
    <t>PACEK</t>
  </si>
  <si>
    <t>KP4134A17377</t>
  </si>
  <si>
    <t>KEONNA</t>
  </si>
  <si>
    <t>DIGGS</t>
  </si>
  <si>
    <t>HD3367A17577</t>
  </si>
  <si>
    <t>AR5649A17677</t>
  </si>
  <si>
    <t>NASRIN</t>
  </si>
  <si>
    <t>GHAZARI</t>
  </si>
  <si>
    <t>KA093HA17287</t>
  </si>
  <si>
    <t>JAMIE</t>
  </si>
  <si>
    <t>CANNON</t>
  </si>
  <si>
    <t>DZ118NN16567</t>
  </si>
  <si>
    <t>ASHMITA</t>
  </si>
  <si>
    <t>TIWARI</t>
  </si>
  <si>
    <t>J7728HA17187</t>
  </si>
  <si>
    <t>APRIL</t>
  </si>
  <si>
    <t>HIGGINS</t>
  </si>
  <si>
    <t>ANURADHA</t>
  </si>
  <si>
    <t>ALISETTY</t>
  </si>
  <si>
    <t>H0280FM16727</t>
  </si>
  <si>
    <t>SHANE</t>
  </si>
  <si>
    <t>DUDASH</t>
  </si>
  <si>
    <t>G5924EN16267</t>
  </si>
  <si>
    <t>YAM</t>
  </si>
  <si>
    <t>JN4603A17277</t>
  </si>
  <si>
    <t>LONG</t>
  </si>
  <si>
    <t>A5779EM16227</t>
  </si>
  <si>
    <t>ALEIZA</t>
  </si>
  <si>
    <t>HAMID</t>
  </si>
  <si>
    <t>EY652BA17977</t>
  </si>
  <si>
    <t>TERCEIRA</t>
  </si>
  <si>
    <t>AF570GN16367</t>
  </si>
  <si>
    <t>ALECK</t>
  </si>
  <si>
    <t>SARKISSIAN</t>
  </si>
  <si>
    <t>JD578CA17977</t>
  </si>
  <si>
    <t>CHANDA</t>
  </si>
  <si>
    <t>HR9496A17477</t>
  </si>
  <si>
    <t>STACEY</t>
  </si>
  <si>
    <t>MISSOURI</t>
  </si>
  <si>
    <t>DR1925N16557</t>
  </si>
  <si>
    <t>TYFFANI</t>
  </si>
  <si>
    <t>G3664KA17387</t>
  </si>
  <si>
    <t>CALLAHAN</t>
  </si>
  <si>
    <t>GD479FM16327</t>
  </si>
  <si>
    <t>THEODORE</t>
  </si>
  <si>
    <t>D60599A17577</t>
  </si>
  <si>
    <t>MAUREEN</t>
  </si>
  <si>
    <t>O'CONNELL</t>
  </si>
  <si>
    <t>MK8955N16557</t>
  </si>
  <si>
    <t>MANUEL</t>
  </si>
  <si>
    <t>RAMIREZ JR</t>
  </si>
  <si>
    <t>KRISELL</t>
  </si>
  <si>
    <t>VALENZUELA</t>
  </si>
  <si>
    <t>BB734SA17687</t>
  </si>
  <si>
    <t>SHEBA</t>
  </si>
  <si>
    <t>KH963GM16727</t>
  </si>
  <si>
    <t>DAVIS</t>
  </si>
  <si>
    <t>CONSTANTINE</t>
  </si>
  <si>
    <t>MR378KA17387</t>
  </si>
  <si>
    <t>WEYMOUTH</t>
  </si>
  <si>
    <t>A4340BA17977</t>
  </si>
  <si>
    <t>HA979VN16867</t>
  </si>
  <si>
    <t>SHAUNITA</t>
  </si>
  <si>
    <t>SINGH</t>
  </si>
  <si>
    <t>DAMARIS</t>
  </si>
  <si>
    <t>MY1346A17577</t>
  </si>
  <si>
    <t>JILLIAN</t>
  </si>
  <si>
    <t>ROSADO</t>
  </si>
  <si>
    <t>BN9996A17477</t>
  </si>
  <si>
    <t>LEOPOLD</t>
  </si>
  <si>
    <t>PRENDERGAST</t>
  </si>
  <si>
    <t>AX301JA17387</t>
  </si>
  <si>
    <t>TANEISHA</t>
  </si>
  <si>
    <t>ADAMS</t>
  </si>
  <si>
    <t>DE343RA17587</t>
  </si>
  <si>
    <t>RICKY</t>
  </si>
  <si>
    <t>DT543RA17587</t>
  </si>
  <si>
    <t>KOURTNEY</t>
  </si>
  <si>
    <t>E5835SA17687</t>
  </si>
  <si>
    <t>KORNITKI</t>
  </si>
  <si>
    <t>HILL</t>
  </si>
  <si>
    <t>K6322CA17087</t>
  </si>
  <si>
    <t>GRAY</t>
  </si>
  <si>
    <t>K9944RA17587</t>
  </si>
  <si>
    <t>DOVE</t>
  </si>
  <si>
    <t>GU603FM16627</t>
  </si>
  <si>
    <t>SPRINGS</t>
  </si>
  <si>
    <t>EP948FM16627</t>
  </si>
  <si>
    <t>SAENZ</t>
  </si>
  <si>
    <t>ROSA</t>
  </si>
  <si>
    <t>MARIDUENA</t>
  </si>
  <si>
    <t>B6099RA17487</t>
  </si>
  <si>
    <t>MARYJO</t>
  </si>
  <si>
    <t>GAETA</t>
  </si>
  <si>
    <t>C4369PA17487</t>
  </si>
  <si>
    <t>BRANDI</t>
  </si>
  <si>
    <t>HARDIN</t>
  </si>
  <si>
    <t>ANNA</t>
  </si>
  <si>
    <t>RENO</t>
  </si>
  <si>
    <t>KATHY</t>
  </si>
  <si>
    <t>C65495N16457</t>
  </si>
  <si>
    <t>PREET</t>
  </si>
  <si>
    <t>GARG</t>
  </si>
  <si>
    <t>XI</t>
  </si>
  <si>
    <t>HONG</t>
  </si>
  <si>
    <t>HAILEY</t>
  </si>
  <si>
    <t>SMYTH</t>
  </si>
  <si>
    <t>GD649FM16627</t>
  </si>
  <si>
    <t>SAMAREL</t>
  </si>
  <si>
    <t>ESTRADA</t>
  </si>
  <si>
    <t>A5006RA17587</t>
  </si>
  <si>
    <t>SHERRI</t>
  </si>
  <si>
    <t>CROSS</t>
  </si>
  <si>
    <t>KEESE</t>
  </si>
  <si>
    <t>CU6314M16917</t>
  </si>
  <si>
    <t>J7511CA17087</t>
  </si>
  <si>
    <t>E8015SA17687</t>
  </si>
  <si>
    <t>DE LEON</t>
  </si>
  <si>
    <t>JB789SA17587</t>
  </si>
  <si>
    <t>TIMOTHY</t>
  </si>
  <si>
    <t>KRAATZ</t>
  </si>
  <si>
    <t>MB3136A17577</t>
  </si>
  <si>
    <t>ESPARZA-ARAMBULA</t>
  </si>
  <si>
    <t>BRIDGET</t>
  </si>
  <si>
    <t>WRIGHT</t>
  </si>
  <si>
    <t>KT767RA17587</t>
  </si>
  <si>
    <t>TRYSHAVETTE</t>
  </si>
  <si>
    <t>TRIMBLE</t>
  </si>
  <si>
    <t>GE621SA17687</t>
  </si>
  <si>
    <t>HR611SA17687</t>
  </si>
  <si>
    <t>LEE</t>
  </si>
  <si>
    <t>D50924A17377</t>
  </si>
  <si>
    <t>CX070RA17587</t>
  </si>
  <si>
    <t>GROOMS</t>
  </si>
  <si>
    <t>E4852UN16867</t>
  </si>
  <si>
    <t>SUNDBY</t>
  </si>
  <si>
    <t>KT625FM16627</t>
  </si>
  <si>
    <t>AMIL</t>
  </si>
  <si>
    <t>SPENCER - BERRY</t>
  </si>
  <si>
    <t>HR501CA17087</t>
  </si>
  <si>
    <t>ALAIN</t>
  </si>
  <si>
    <t>REENA</t>
  </si>
  <si>
    <t>MANNING</t>
  </si>
  <si>
    <t>HJ419GM16727</t>
  </si>
  <si>
    <t>GRACIANO</t>
  </si>
  <si>
    <t>C4179RA17487</t>
  </si>
  <si>
    <t>KILLEEN</t>
  </si>
  <si>
    <t>E0186AA17777</t>
  </si>
  <si>
    <t>COLLIER</t>
  </si>
  <si>
    <t>DENETRA</t>
  </si>
  <si>
    <t>KN269JA17287</t>
  </si>
  <si>
    <t>CARLYLE</t>
  </si>
  <si>
    <t>D9158FM16627</t>
  </si>
  <si>
    <t>HOOBERRY</t>
  </si>
  <si>
    <t>MARLENE</t>
  </si>
  <si>
    <t>ALEXANDER</t>
  </si>
  <si>
    <t>CN571XN16077</t>
  </si>
  <si>
    <t>ALONDRA</t>
  </si>
  <si>
    <t>NADIA</t>
  </si>
  <si>
    <t>BEAVER</t>
  </si>
  <si>
    <t>C9822FM16627</t>
  </si>
  <si>
    <t>MORAN</t>
  </si>
  <si>
    <t>LATOYA</t>
  </si>
  <si>
    <t>BOYD</t>
  </si>
  <si>
    <t>CB761SA17687</t>
  </si>
  <si>
    <t>C4362FM16727</t>
  </si>
  <si>
    <t>LIMA</t>
  </si>
  <si>
    <t>G7976BK16207</t>
  </si>
  <si>
    <t>LIM</t>
  </si>
  <si>
    <t>JR473RA17587</t>
  </si>
  <si>
    <t>PAULA</t>
  </si>
  <si>
    <t>DOWDING</t>
  </si>
  <si>
    <t>COLEMAN</t>
  </si>
  <si>
    <t>CZ700FM16627</t>
  </si>
  <si>
    <t>VIOSELIN</t>
  </si>
  <si>
    <t>HC644BA17877</t>
  </si>
  <si>
    <t>AC820TK16417</t>
  </si>
  <si>
    <t>JALIA</t>
  </si>
  <si>
    <t>RIORDAN</t>
  </si>
  <si>
    <t>SHARI</t>
  </si>
  <si>
    <t>COOK</t>
  </si>
  <si>
    <t>SHERJUAN</t>
  </si>
  <si>
    <t>ER685AA17777</t>
  </si>
  <si>
    <t>Report Number</t>
  </si>
  <si>
    <t>Payroll Cycle</t>
  </si>
  <si>
    <t>Bi-Weekly</t>
  </si>
  <si>
    <t>Paid</t>
  </si>
  <si>
    <t>Unpaid</t>
  </si>
  <si>
    <t>Closed</t>
  </si>
  <si>
    <t>Denied</t>
  </si>
  <si>
    <t>Last 6 Char</t>
  </si>
  <si>
    <t>Type</t>
  </si>
  <si>
    <t>Pay Type</t>
  </si>
  <si>
    <t>Payroll</t>
  </si>
  <si>
    <t>File Date</t>
  </si>
  <si>
    <t>Delta</t>
  </si>
  <si>
    <t>RTWDateExists</t>
  </si>
  <si>
    <t>FileOrder</t>
  </si>
  <si>
    <t>FeedRunDate</t>
  </si>
  <si>
    <t>Row Labels</t>
  </si>
  <si>
    <t>Grand Total</t>
  </si>
  <si>
    <t>Record #</t>
  </si>
  <si>
    <t>RecordType</t>
  </si>
  <si>
    <t>FILE SUMMARY</t>
  </si>
  <si>
    <t>RTW date</t>
  </si>
  <si>
    <t>LOA Closed</t>
  </si>
  <si>
    <t>Statutory Leave</t>
  </si>
  <si>
    <t xml:space="preserve">RTW date </t>
  </si>
  <si>
    <t>US - Medical - Unpaid - Accommodation Leave</t>
  </si>
  <si>
    <t>US - Short Term Disability 70% - Paid</t>
  </si>
  <si>
    <t>US - Maternity STD MAT - Paid</t>
  </si>
  <si>
    <t>US - Graduated RTW 70 - Paid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</si>
  <si>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</si>
  <si>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</si>
  <si>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</si>
  <si>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JUDY</t>
  </si>
  <si>
    <t>INGLE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</si>
  <si>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</si>
  <si>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</si>
  <si>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</si>
  <si>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STEVEN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</si>
  <si>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</si>
  <si>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</si>
  <si>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CAROLYN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</si>
  <si>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</si>
  <si>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</si>
  <si>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SHIRELL</t>
  </si>
  <si>
    <t>HICKS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</si>
  <si>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</si>
  <si>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</si>
  <si>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</si>
  <si>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</si>
  <si>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</si>
  <si>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</si>
  <si>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</si>
  <si>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</si>
  <si>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TONYA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</si>
  <si>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</si>
  <si>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</si>
  <si>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</si>
  <si>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</si>
  <si>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</si>
  <si>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</si>
  <si>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QUIGLEY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</si>
  <si>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</si>
  <si>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</si>
  <si>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</si>
  <si>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VALERIE</t>
  </si>
  <si>
    <t>SANDERS</t>
  </si>
  <si>
    <t>AM1812C17608</t>
  </si>
  <si>
    <t>MELISSA ANN</t>
  </si>
  <si>
    <t>BECK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</si>
  <si>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</si>
  <si>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</si>
  <si>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JANELLE</t>
  </si>
  <si>
    <t>OLSON</t>
  </si>
  <si>
    <t>ORTIZ</t>
  </si>
  <si>
    <t>KG834SA17687</t>
  </si>
  <si>
    <t>JANICE</t>
  </si>
  <si>
    <t>STILLER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</si>
  <si>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</si>
  <si>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</si>
  <si>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</si>
  <si>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</si>
  <si>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MICAH</t>
  </si>
  <si>
    <t>FIELDS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</si>
  <si>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</si>
  <si>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ALBERS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</si>
  <si>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</si>
  <si>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</si>
  <si>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ERICA</t>
  </si>
  <si>
    <t>DUARTE</t>
  </si>
  <si>
    <t>IRVIN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</si>
  <si>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</si>
  <si>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</si>
  <si>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</si>
  <si>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ALISON</t>
  </si>
  <si>
    <t>JK691WC17328</t>
  </si>
  <si>
    <t>BARVITZ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</si>
  <si>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</si>
  <si>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</si>
  <si>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</si>
  <si>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</si>
  <si>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EILEEN</t>
  </si>
  <si>
    <t>ESPARZA</t>
  </si>
  <si>
    <t>JG512RB17208</t>
  </si>
  <si>
    <t>CD216VC17228</t>
  </si>
  <si>
    <t>JACELY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</si>
  <si>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</si>
  <si>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</si>
  <si>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GUTIERREZ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</si>
  <si>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</si>
  <si>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</si>
  <si>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</si>
  <si>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KATIRIA</t>
  </si>
  <si>
    <t>NOGUERAS MELENDEZ</t>
  </si>
  <si>
    <t>HAMPTON</t>
  </si>
  <si>
    <t>CB048YA17887</t>
  </si>
  <si>
    <t>STRATTON</t>
  </si>
  <si>
    <t>MATTHEWS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</si>
  <si>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</si>
  <si>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B0064CD17138</t>
  </si>
  <si>
    <t>CUMMINGS</t>
  </si>
  <si>
    <t>HK044CD17138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</si>
  <si>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</si>
  <si>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</si>
  <si>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</si>
  <si>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VICTOR</t>
  </si>
  <si>
    <t>MARSHALL</t>
  </si>
  <si>
    <t>NANCY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</si>
  <si>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</si>
  <si>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GZ7118C17908</t>
  </si>
  <si>
    <t>KATIE</t>
  </si>
  <si>
    <t>KRESS</t>
  </si>
  <si>
    <t>ERIN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</si>
  <si>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</si>
  <si>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K47633C17608</t>
  </si>
  <si>
    <t>DELORA</t>
  </si>
  <si>
    <t>WASHINGTON</t>
  </si>
  <si>
    <t>KATHLEEN</t>
  </si>
  <si>
    <t>RUTH</t>
  </si>
  <si>
    <t>VARGAS</t>
  </si>
  <si>
    <t>AISPURO</t>
  </si>
  <si>
    <t>RICHARDSON</t>
  </si>
  <si>
    <t>SHAWNDA</t>
  </si>
  <si>
    <t>HURST</t>
  </si>
  <si>
    <t>GABRIELLE</t>
  </si>
  <si>
    <t>CARLA</t>
  </si>
  <si>
    <t>MCGHEE</t>
  </si>
  <si>
    <t>MY1694A17277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</si>
  <si>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</si>
  <si>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AILETHA</t>
  </si>
  <si>
    <t>LETESHIA</t>
  </si>
  <si>
    <t>MONICA</t>
  </si>
  <si>
    <t>B4548DC17018</t>
  </si>
  <si>
    <t>HD705CD17138</t>
  </si>
  <si>
    <t>DEVON</t>
  </si>
  <si>
    <t>SLOCUM</t>
  </si>
  <si>
    <t>KF495MC17418</t>
  </si>
  <si>
    <t>RAHEIM</t>
  </si>
  <si>
    <t>GRIDER</t>
  </si>
  <si>
    <t>DANA</t>
  </si>
  <si>
    <t>VON GOEBEN</t>
  </si>
  <si>
    <t>JASMINE</t>
  </si>
  <si>
    <t>BN059GC17218</t>
  </si>
  <si>
    <t>TOOMEY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</si>
  <si>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</si>
  <si>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E60973D17628</t>
  </si>
  <si>
    <t>LAKESHIA</t>
  </si>
  <si>
    <t>SUSANA</t>
  </si>
  <si>
    <t>GUY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</si>
  <si>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</si>
  <si>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CHINYERE</t>
  </si>
  <si>
    <t>ELMORE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</si>
  <si>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</si>
  <si>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ET6913D17628</t>
  </si>
  <si>
    <t>LILIA</t>
  </si>
  <si>
    <t>RAYGOZA</t>
  </si>
  <si>
    <t>LEAH</t>
  </si>
  <si>
    <t>GATTS</t>
  </si>
  <si>
    <t>VALDEZ</t>
  </si>
  <si>
    <t>JA122KA17487</t>
  </si>
  <si>
    <t>ANDRE</t>
  </si>
  <si>
    <t>DUPRE</t>
  </si>
  <si>
    <t>GF263CD17138</t>
  </si>
  <si>
    <t>H2517JA17287</t>
  </si>
  <si>
    <t>KAYE</t>
  </si>
  <si>
    <t>Maternity</t>
  </si>
  <si>
    <t>NATALIE</t>
  </si>
  <si>
    <t>KB203VC17228</t>
  </si>
  <si>
    <t>GA559KA17387</t>
  </si>
  <si>
    <t>PARVEEN</t>
  </si>
  <si>
    <t>GILDA</t>
  </si>
  <si>
    <t>LAPID</t>
  </si>
  <si>
    <t>MELVIN</t>
  </si>
  <si>
    <t>SANTAMARIA</t>
  </si>
  <si>
    <t>TARA</t>
  </si>
  <si>
    <t>PARKER</t>
  </si>
  <si>
    <t>MEGHAN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</si>
  <si>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</si>
  <si>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D65406B17397</t>
  </si>
  <si>
    <t>AMIRAH</t>
  </si>
  <si>
    <t>HJ382MB17008</t>
  </si>
  <si>
    <t>TYONNA</t>
  </si>
  <si>
    <t>DARRIN</t>
  </si>
  <si>
    <t>WARD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</si>
  <si>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</si>
  <si>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SINNOTT</t>
  </si>
  <si>
    <t>PAOLO</t>
  </si>
  <si>
    <t>DIANA</t>
  </si>
  <si>
    <t>SCHNEIDER</t>
  </si>
  <si>
    <t>DONNETTE</t>
  </si>
  <si>
    <t>G5903NC17518</t>
  </si>
  <si>
    <t>MURRAY</t>
  </si>
  <si>
    <t>DACSHA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</si>
  <si>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</si>
  <si>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BURKE</t>
  </si>
  <si>
    <t>JOSETTA</t>
  </si>
  <si>
    <t>FORMAN</t>
  </si>
  <si>
    <t>KR3398C17808</t>
  </si>
  <si>
    <t>AMEETA</t>
  </si>
  <si>
    <t>KOTHARE</t>
  </si>
  <si>
    <t>ZELAYA</t>
  </si>
  <si>
    <t>BARBRA</t>
  </si>
  <si>
    <t>CX329HC17318</t>
  </si>
  <si>
    <t>FELTON</t>
  </si>
  <si>
    <t>DAWN</t>
  </si>
  <si>
    <t>WESTBROOK</t>
  </si>
  <si>
    <t>DANIELS</t>
  </si>
  <si>
    <t>KN889HA17187</t>
  </si>
  <si>
    <t>KISHA</t>
  </si>
  <si>
    <t>MB4269C17908</t>
  </si>
  <si>
    <t>MASSEY</t>
  </si>
  <si>
    <t>SOLEDAD</t>
  </si>
  <si>
    <t>CIGLIUTI</t>
  </si>
  <si>
    <t>ELEANOR</t>
  </si>
  <si>
    <t>CREQUE</t>
  </si>
  <si>
    <t>K6508MA17487</t>
  </si>
  <si>
    <t>MESTLER</t>
  </si>
  <si>
    <t>CASE</t>
  </si>
  <si>
    <t>FOUNTAINE</t>
  </si>
  <si>
    <t>KU632EN16267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</si>
  <si>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</si>
  <si>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CJ124RB17208</t>
  </si>
  <si>
    <t>ALI</t>
  </si>
  <si>
    <t>BALALI</t>
  </si>
  <si>
    <t>JA369DB17697</t>
  </si>
  <si>
    <t>YIP</t>
  </si>
  <si>
    <t>H9680GM16827</t>
  </si>
  <si>
    <t>EDNA</t>
  </si>
  <si>
    <t>PALACIOS</t>
  </si>
  <si>
    <t>MIROSLAVA</t>
  </si>
  <si>
    <t>NAVARRO</t>
  </si>
  <si>
    <t>SOUSA</t>
  </si>
  <si>
    <t>SMULLEN</t>
  </si>
  <si>
    <t>K60555N16557</t>
  </si>
  <si>
    <t>MARQUETTA</t>
  </si>
  <si>
    <t>B0445BA17877</t>
  </si>
  <si>
    <t>EY602DD17238</t>
  </si>
  <si>
    <t>ROWLEY</t>
  </si>
  <si>
    <t>DX3466C17708</t>
  </si>
  <si>
    <t>WILBUR</t>
  </si>
  <si>
    <t>WALAUSKI</t>
  </si>
  <si>
    <t>B6035AD17928</t>
  </si>
  <si>
    <t>DEISI</t>
  </si>
  <si>
    <t>CHAVEZ-TREVIZO</t>
  </si>
  <si>
    <t>HZ3795D17728</t>
  </si>
  <si>
    <t>FEATHERSTONE</t>
  </si>
  <si>
    <t>KQUEMURA</t>
  </si>
  <si>
    <t>BUFFORD</t>
  </si>
  <si>
    <t>ZAIN</t>
  </si>
  <si>
    <t>IRFAN</t>
  </si>
  <si>
    <t>TORPEY</t>
  </si>
  <si>
    <t>LAUTH</t>
  </si>
  <si>
    <t>KE5651C17508</t>
  </si>
  <si>
    <t>KORIANN</t>
  </si>
  <si>
    <t>BISHOP</t>
  </si>
  <si>
    <t>AU9156D17828</t>
  </si>
  <si>
    <t>BM206MA17487</t>
  </si>
  <si>
    <t>HG0885D17728</t>
  </si>
  <si>
    <t>ARACELI</t>
  </si>
  <si>
    <t>SHAMIKA</t>
  </si>
  <si>
    <t>NASHA</t>
  </si>
  <si>
    <t>PALM</t>
  </si>
  <si>
    <t>JJ0267A17577</t>
  </si>
  <si>
    <t>MAXCELIA</t>
  </si>
  <si>
    <t>NATOYA</t>
  </si>
  <si>
    <t>GC898DD17138</t>
  </si>
  <si>
    <t>ALBA</t>
  </si>
  <si>
    <t>LANA</t>
  </si>
  <si>
    <t>CARMADELLO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</si>
  <si>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</si>
  <si>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FIRANZI</t>
  </si>
  <si>
    <t>MJ128DD17138</t>
  </si>
  <si>
    <t>MONSERRAT</t>
  </si>
  <si>
    <t>MOYANO</t>
  </si>
  <si>
    <t>RYANNE</t>
  </si>
  <si>
    <t>MORABITO</t>
  </si>
  <si>
    <t>CHENELL</t>
  </si>
  <si>
    <t>VARELA</t>
  </si>
  <si>
    <t>JY0362C17508</t>
  </si>
  <si>
    <t>K2010TA17787</t>
  </si>
  <si>
    <t>ARIYIBI</t>
  </si>
  <si>
    <t>EK0148C17908</t>
  </si>
  <si>
    <t>DEZARN</t>
  </si>
  <si>
    <t>FELONG</t>
  </si>
  <si>
    <t>NASSER</t>
  </si>
  <si>
    <t>AR6445N16557</t>
  </si>
  <si>
    <t>BREA</t>
  </si>
  <si>
    <t>FAIRLEY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</si>
  <si>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</si>
  <si>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DW9233A17277</t>
  </si>
  <si>
    <t>CHARRISMA</t>
  </si>
  <si>
    <t>ALSTON</t>
  </si>
  <si>
    <t>STALCUP</t>
  </si>
  <si>
    <t>B8484XC17428</t>
  </si>
  <si>
    <t>SHARDAY</t>
  </si>
  <si>
    <t>DAUGHERTY</t>
  </si>
  <si>
    <t>OCONNELL</t>
  </si>
  <si>
    <t>SHERVIN</t>
  </si>
  <si>
    <t>DIRINPOUR</t>
  </si>
  <si>
    <t>J82974C17608</t>
  </si>
  <si>
    <t>FLYNN</t>
  </si>
  <si>
    <t>BM109DB17697</t>
  </si>
  <si>
    <t>MARIAN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</si>
  <si>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</si>
  <si>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</si>
  <si>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ESCARSEGA</t>
  </si>
  <si>
    <t>D9094VA17887</t>
  </si>
  <si>
    <t>C5390PC17618</t>
  </si>
  <si>
    <t>HIPSHER</t>
  </si>
  <si>
    <t>GUNYUZLU</t>
  </si>
  <si>
    <t>JN314XC17428</t>
  </si>
  <si>
    <t>CHERI</t>
  </si>
  <si>
    <t>NELMS</t>
  </si>
  <si>
    <t>HW424WC17328</t>
  </si>
  <si>
    <t>JARED</t>
  </si>
  <si>
    <t>THORNE</t>
  </si>
  <si>
    <t>M48619A17677</t>
  </si>
  <si>
    <t>MASON EARLE</t>
  </si>
  <si>
    <t>CZARZASTY</t>
  </si>
  <si>
    <t>G53514A17377</t>
  </si>
  <si>
    <t>MICHELE SHEL</t>
  </si>
  <si>
    <t>HERMSEN</t>
  </si>
  <si>
    <t>JAMISON</t>
  </si>
  <si>
    <t>JA667HB17997</t>
  </si>
  <si>
    <t>COONCE</t>
  </si>
  <si>
    <t>ASIF</t>
  </si>
  <si>
    <t>LAKHANI</t>
  </si>
  <si>
    <t>GX099XC17328</t>
  </si>
  <si>
    <t>VALKANOS</t>
  </si>
  <si>
    <t>JK759XC17328</t>
  </si>
  <si>
    <t>ALANDIS JERE</t>
  </si>
  <si>
    <t>DONNELL</t>
  </si>
  <si>
    <t>JK565FC17218</t>
  </si>
  <si>
    <t>ROCCO</t>
  </si>
  <si>
    <t>RUSSOMANNO</t>
  </si>
  <si>
    <t>KF8179A17677</t>
  </si>
  <si>
    <t>STANDFIELD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</si>
  <si>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</si>
  <si>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RACHAEL</t>
  </si>
  <si>
    <t>BARNES</t>
  </si>
  <si>
    <t>EM1862B17197</t>
  </si>
  <si>
    <t>FACTORA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</si>
  <si>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</si>
  <si>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H4932DC17118</t>
  </si>
  <si>
    <t>BG198FM16527</t>
  </si>
  <si>
    <t>MONTALVO</t>
  </si>
  <si>
    <t>GLORIA</t>
  </si>
  <si>
    <t>CANO</t>
  </si>
  <si>
    <t>E88041B17097</t>
  </si>
  <si>
    <t>JOHNSON-BARKER</t>
  </si>
  <si>
    <t>B2560VC17328</t>
  </si>
  <si>
    <t>SHEILA</t>
  </si>
  <si>
    <t>ARMENTANO</t>
  </si>
  <si>
    <t>HF7279A17677</t>
  </si>
  <si>
    <t>SAMUEL KYLE</t>
  </si>
  <si>
    <t>HM814BA17877</t>
  </si>
  <si>
    <t>JH299AB17597</t>
  </si>
  <si>
    <t>MOLOSKY</t>
  </si>
  <si>
    <t>MARLON</t>
  </si>
  <si>
    <t>ALANIZ</t>
  </si>
  <si>
    <t>H72463C17608</t>
  </si>
  <si>
    <t>RANDAL</t>
  </si>
  <si>
    <t>GREGOR</t>
  </si>
  <si>
    <t>KR490DB17697</t>
  </si>
  <si>
    <t>JENISE</t>
  </si>
  <si>
    <t>AW972DD17238</t>
  </si>
  <si>
    <t>HZ277FM16527</t>
  </si>
  <si>
    <t>REYNA</t>
  </si>
  <si>
    <t>TUCCI</t>
  </si>
  <si>
    <t>GT291DB17697</t>
  </si>
  <si>
    <t>MARCHEGIANO</t>
  </si>
  <si>
    <t>SHURELDS</t>
  </si>
  <si>
    <t>DJ466EC17118</t>
  </si>
  <si>
    <t>RICHARDS</t>
  </si>
  <si>
    <t>GT1427B17497</t>
  </si>
  <si>
    <t>TATYANA</t>
  </si>
  <si>
    <t>QUIROS</t>
  </si>
  <si>
    <t>KW109AB17597</t>
  </si>
  <si>
    <t>M0208RC17618</t>
  </si>
  <si>
    <t>YAIRI</t>
  </si>
  <si>
    <t>SUNITA</t>
  </si>
  <si>
    <t>MONEY</t>
  </si>
  <si>
    <t>MH865RB17208</t>
  </si>
  <si>
    <t>ALMANZA</t>
  </si>
  <si>
    <t>BW027HA17187</t>
  </si>
  <si>
    <t>BG8843C17608</t>
  </si>
  <si>
    <t>JAVIER</t>
  </si>
  <si>
    <t>CASTANEDA</t>
  </si>
  <si>
    <t>WELTER</t>
  </si>
  <si>
    <t>AX592EN16267</t>
  </si>
  <si>
    <t>KC948DD17138</t>
  </si>
  <si>
    <t>ADRIENNE</t>
  </si>
  <si>
    <t>G3272XC17428</t>
  </si>
  <si>
    <t>CARMEN</t>
  </si>
  <si>
    <t>GAMBOA</t>
  </si>
  <si>
    <t>M1556VB17308</t>
  </si>
  <si>
    <t>J59366C17708</t>
  </si>
  <si>
    <t>MARGETSON</t>
  </si>
  <si>
    <t>AP2245N16557</t>
  </si>
  <si>
    <t>LATASHA</t>
  </si>
  <si>
    <t>MCCLAIN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</si>
  <si>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</si>
  <si>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M0911DD17238</t>
  </si>
  <si>
    <t>JAZMINE</t>
  </si>
  <si>
    <t>CASEY</t>
  </si>
  <si>
    <t>MCDOWELL</t>
  </si>
  <si>
    <t>BB070AA17877</t>
  </si>
  <si>
    <t>BOATES</t>
  </si>
  <si>
    <t>ADAIR</t>
  </si>
  <si>
    <t>DZ297DD17138</t>
  </si>
  <si>
    <t>LYNCH</t>
  </si>
  <si>
    <t>RIOS</t>
  </si>
  <si>
    <t>JD938EC17118</t>
  </si>
  <si>
    <t>M24596C17608</t>
  </si>
  <si>
    <t>WOOLARD</t>
  </si>
  <si>
    <t>EC686WB17408</t>
  </si>
  <si>
    <t>MARTELLI</t>
  </si>
  <si>
    <t>CD752NB17108</t>
  </si>
  <si>
    <t>ALPHONZO</t>
  </si>
  <si>
    <t>GARLAND</t>
  </si>
  <si>
    <t>PENMAN</t>
  </si>
  <si>
    <t>JAD</t>
  </si>
  <si>
    <t>TULANDA</t>
  </si>
  <si>
    <t>WARNOCK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</si>
  <si>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</si>
  <si>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CK9488B17497</t>
  </si>
  <si>
    <t>SANTO PIETRO</t>
  </si>
  <si>
    <t>BR958BD17038</t>
  </si>
  <si>
    <t>HOUSER</t>
  </si>
  <si>
    <t>GZ733DC17118</t>
  </si>
  <si>
    <t>DJ085HB17997</t>
  </si>
  <si>
    <t>KARYN</t>
  </si>
  <si>
    <t>SOROA</t>
  </si>
  <si>
    <t>BAIRD</t>
  </si>
  <si>
    <t>HK1477B17397</t>
  </si>
  <si>
    <t>HYATT</t>
  </si>
  <si>
    <t>JW492DD17238</t>
  </si>
  <si>
    <t>STEWART</t>
  </si>
  <si>
    <t>DREW</t>
  </si>
  <si>
    <t>MILLSAPS</t>
  </si>
  <si>
    <t>CROWDER</t>
  </si>
  <si>
    <t>KIOANTE</t>
  </si>
  <si>
    <t>BROADNAX.</t>
  </si>
  <si>
    <t>KF750MC17418</t>
  </si>
  <si>
    <t>AYANNA</t>
  </si>
  <si>
    <t>STEPHENSON</t>
  </si>
  <si>
    <t>ANTOINE</t>
  </si>
  <si>
    <t>POZNIAK</t>
  </si>
  <si>
    <t>C04597B17397</t>
  </si>
  <si>
    <t>LISSETTE</t>
  </si>
  <si>
    <t>M0515KA17387</t>
  </si>
  <si>
    <t>NAOMI</t>
  </si>
  <si>
    <t>GOUDELOCK</t>
  </si>
  <si>
    <t>HD5689A17677</t>
  </si>
  <si>
    <t>MAHDI</t>
  </si>
  <si>
    <t>BEHROUZPOUR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</si>
  <si>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</si>
  <si>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VALDES</t>
  </si>
  <si>
    <t>KB672CD17138</t>
  </si>
  <si>
    <t>MF920RB17208</t>
  </si>
  <si>
    <t>D1370AC17018</t>
  </si>
  <si>
    <t>QUINTANA ANGULO</t>
  </si>
  <si>
    <t>B08146C17708</t>
  </si>
  <si>
    <t>WHITE-LLOYD</t>
  </si>
  <si>
    <t>EMMY</t>
  </si>
  <si>
    <t>PASTRANA</t>
  </si>
  <si>
    <t>VIALE</t>
  </si>
  <si>
    <t>M0098DD17138</t>
  </si>
  <si>
    <t>KESHA</t>
  </si>
  <si>
    <t>K0092DD17238</t>
  </si>
  <si>
    <t>MAJOR</t>
  </si>
  <si>
    <t>DR3195D17728</t>
  </si>
  <si>
    <t>STEVENS</t>
  </si>
  <si>
    <t>DEWITT</t>
  </si>
  <si>
    <t>K9113AC17018</t>
  </si>
  <si>
    <t>XIN</t>
  </si>
  <si>
    <t>ZHAO</t>
  </si>
  <si>
    <t>E9182DD17238</t>
  </si>
  <si>
    <t>PALINCSAR</t>
  </si>
  <si>
    <t>ED632AA17877</t>
  </si>
  <si>
    <t>RONDEAU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</si>
  <si>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</si>
  <si>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JACQUELINE J</t>
  </si>
  <si>
    <t>SIMPSON</t>
  </si>
  <si>
    <t>SEJAL</t>
  </si>
  <si>
    <t>KADAKIA</t>
  </si>
  <si>
    <t>AG9122C17608</t>
  </si>
  <si>
    <t>KAI</t>
  </si>
  <si>
    <t>RONNIE</t>
  </si>
  <si>
    <t>TAN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</si>
  <si>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</si>
  <si>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HILLS</t>
  </si>
  <si>
    <t>STROH</t>
  </si>
  <si>
    <t>MW151DD17238</t>
  </si>
  <si>
    <t>SUMMERS</t>
  </si>
  <si>
    <t>MILNER</t>
  </si>
  <si>
    <t>BD064MC17418</t>
  </si>
  <si>
    <t>DB1453D17628</t>
  </si>
  <si>
    <t>GILLINGHAM</t>
  </si>
  <si>
    <t>MY7997D17828</t>
  </si>
  <si>
    <t>RENA</t>
  </si>
  <si>
    <t>ODEH</t>
  </si>
  <si>
    <t>FONTAN</t>
  </si>
  <si>
    <t>ADEOLA</t>
  </si>
  <si>
    <t>AWOSANYA</t>
  </si>
  <si>
    <t>B7195CC17018</t>
  </si>
  <si>
    <t>JESSIE</t>
  </si>
  <si>
    <t>LIN</t>
  </si>
  <si>
    <t>D9761DD17238</t>
  </si>
  <si>
    <t>ASTRUP</t>
  </si>
  <si>
    <t>LAURETTA</t>
  </si>
  <si>
    <t>HIGH</t>
  </si>
  <si>
    <t>CM873GM16727</t>
  </si>
  <si>
    <t>CHAMBLISS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</si>
  <si>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</si>
  <si>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J45385D17728</t>
  </si>
  <si>
    <t>CHELSEY</t>
  </si>
  <si>
    <t>QUINN</t>
  </si>
  <si>
    <t>CU490UN16867</t>
  </si>
  <si>
    <t>ANGELENA</t>
  </si>
  <si>
    <t>VANN</t>
  </si>
  <si>
    <t>TANISHA</t>
  </si>
  <si>
    <t>HINDMAN</t>
  </si>
  <si>
    <t>EF120DB17697</t>
  </si>
  <si>
    <t>GREENWOOD</t>
  </si>
  <si>
    <t>EG452DD17238</t>
  </si>
  <si>
    <t>J06343A17177</t>
  </si>
  <si>
    <t>FOTE</t>
  </si>
  <si>
    <t>AJ7886C17708</t>
  </si>
  <si>
    <t>WENGER</t>
  </si>
  <si>
    <t>B1608PC17518</t>
  </si>
  <si>
    <t>GLENN</t>
  </si>
  <si>
    <t>FORD</t>
  </si>
  <si>
    <t>COLLEEN</t>
  </si>
  <si>
    <t>HUTCHINSON</t>
  </si>
  <si>
    <t>DANAYA</t>
  </si>
  <si>
    <t>HARRELSON</t>
  </si>
  <si>
    <t>SHAPPY</t>
  </si>
  <si>
    <t>GE8123B17297</t>
  </si>
  <si>
    <t>SAMUEL</t>
  </si>
  <si>
    <t>H6726ZC17528</t>
  </si>
  <si>
    <t>AN</t>
  </si>
  <si>
    <t>K8012YC17528</t>
  </si>
  <si>
    <t>BRENDALYN</t>
  </si>
  <si>
    <t>DYE</t>
  </si>
  <si>
    <t>AX173DN16167</t>
  </si>
  <si>
    <t>RONG</t>
  </si>
  <si>
    <t>LIU</t>
  </si>
  <si>
    <t>J3049NB17008</t>
  </si>
  <si>
    <t>POTTS</t>
  </si>
  <si>
    <t>E4487DD17138</t>
  </si>
  <si>
    <t>CARLOS</t>
  </si>
  <si>
    <t>HOWARD</t>
  </si>
  <si>
    <t>H7100PB17208</t>
  </si>
  <si>
    <t>ADAM</t>
  </si>
  <si>
    <t>HOLLINGER</t>
  </si>
  <si>
    <t>MG124XC17428</t>
  </si>
  <si>
    <t>MCCOLLUM</t>
  </si>
  <si>
    <t>HC349KA17387</t>
  </si>
  <si>
    <t>MALIKA</t>
  </si>
  <si>
    <t>BUGGS</t>
  </si>
  <si>
    <t>MARISOL</t>
  </si>
  <si>
    <t>PARRA</t>
  </si>
  <si>
    <t>BF053VA17887</t>
  </si>
  <si>
    <t>PHAM</t>
  </si>
  <si>
    <t>AW6033D17628</t>
  </si>
  <si>
    <t>EFREN</t>
  </si>
  <si>
    <t>BANDIN</t>
  </si>
  <si>
    <t>MG3566C17708</t>
  </si>
  <si>
    <t>KARAPETYAN</t>
  </si>
  <si>
    <t>G2441DD17238</t>
  </si>
  <si>
    <t>HARROD</t>
  </si>
  <si>
    <t>TAZIANNE</t>
  </si>
  <si>
    <t>BN9838C17908</t>
  </si>
  <si>
    <t>RAMY</t>
  </si>
  <si>
    <t>NAGY</t>
  </si>
  <si>
    <t>RADICA</t>
  </si>
  <si>
    <t xml:space="preserve">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</si>
  <si>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K2297YA17887</t>
  </si>
  <si>
    <t>LESTER</t>
  </si>
  <si>
    <t>GILES</t>
  </si>
  <si>
    <t>BU133VA17887</t>
  </si>
  <si>
    <t>CHIMENTO</t>
  </si>
  <si>
    <t>GN390DD17238</t>
  </si>
  <si>
    <t>JI SOO</t>
  </si>
  <si>
    <t>PARK</t>
  </si>
  <si>
    <t>DE4286D17828</t>
  </si>
  <si>
    <t>COLENBURG</t>
  </si>
  <si>
    <t>DT2917C17808</t>
  </si>
  <si>
    <t>MH238DD17138</t>
  </si>
  <si>
    <t>KATHERINE</t>
  </si>
  <si>
    <t>WHITCOMBE</t>
  </si>
  <si>
    <t>CB8603D17628</t>
  </si>
  <si>
    <t>WILLCOX</t>
  </si>
  <si>
    <t>MN362DD17238</t>
  </si>
  <si>
    <t>OTTMER</t>
  </si>
  <si>
    <t>ERUM</t>
  </si>
  <si>
    <t>ALFRED</t>
  </si>
  <si>
    <t>H3366ZC17528</t>
  </si>
  <si>
    <t>BETH</t>
  </si>
  <si>
    <t>STARGARDT</t>
  </si>
  <si>
    <t>RAMON</t>
  </si>
  <si>
    <t>DR0873D17628</t>
  </si>
  <si>
    <t>CHIEN</t>
  </si>
  <si>
    <t>BK451YA17987</t>
  </si>
  <si>
    <t>JULIENE</t>
  </si>
  <si>
    <t>JOANELIX</t>
  </si>
  <si>
    <t>ESPADA RODRIGUEZ</t>
  </si>
  <si>
    <t>SHANNON</t>
  </si>
  <si>
    <t>BARBEAU</t>
  </si>
  <si>
    <t>GN0233B17297</t>
  </si>
  <si>
    <t>BRIGHT</t>
  </si>
  <si>
    <t>NWIDAG</t>
  </si>
  <si>
    <t>A6618SB17208</t>
  </si>
  <si>
    <t>CAMEY</t>
  </si>
  <si>
    <t>G4082DD17238</t>
  </si>
  <si>
    <t>JN738GC17218</t>
  </si>
  <si>
    <t>HEIDIE</t>
  </si>
  <si>
    <t>BUDNY</t>
  </si>
  <si>
    <t>BY469ZA17987</t>
  </si>
  <si>
    <t>ALMONTE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</si>
  <si>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</si>
  <si>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</si>
  <si>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YEKATERINA</t>
  </si>
  <si>
    <t>PARTIKEVICH</t>
  </si>
  <si>
    <t>WILT</t>
  </si>
  <si>
    <t>DM730DD17238</t>
  </si>
  <si>
    <t>BLANCO-TORRES</t>
  </si>
  <si>
    <t>MASSIMO</t>
  </si>
  <si>
    <t>PAONE</t>
  </si>
  <si>
    <t>HU667NB17008</t>
  </si>
  <si>
    <t>SHAUNNA</t>
  </si>
  <si>
    <t>CHERRY</t>
  </si>
  <si>
    <t>SHERRIE</t>
  </si>
  <si>
    <t>KNISKERN</t>
  </si>
  <si>
    <t>JD2163D17628</t>
  </si>
  <si>
    <t>JERMIA</t>
  </si>
  <si>
    <t>JUPITER</t>
  </si>
  <si>
    <t>EX2372B17197</t>
  </si>
  <si>
    <t>YAN</t>
  </si>
  <si>
    <t>LI</t>
  </si>
  <si>
    <t>BLANCA</t>
  </si>
  <si>
    <t>SHARP</t>
  </si>
  <si>
    <t>BK388BD17038</t>
  </si>
  <si>
    <t>ERNEST</t>
  </si>
  <si>
    <t>MACCORMACK</t>
  </si>
  <si>
    <t>G9448EC17118</t>
  </si>
  <si>
    <t>DENZEL</t>
  </si>
  <si>
    <t>ENOCH</t>
  </si>
  <si>
    <t>KA672DD17238</t>
  </si>
  <si>
    <t>COAKLEY</t>
  </si>
  <si>
    <t>WILCHAR</t>
  </si>
  <si>
    <t>A07789A17577</t>
  </si>
  <si>
    <t>TOMASZ</t>
  </si>
  <si>
    <t>GIZA</t>
  </si>
  <si>
    <t>CK8726C17708</t>
  </si>
  <si>
    <t>FABIO</t>
  </si>
  <si>
    <t>MARANHAO A COELHO</t>
  </si>
  <si>
    <t>CP9363A17277</t>
  </si>
  <si>
    <t>T MARION</t>
  </si>
  <si>
    <t>DAVENPORT</t>
  </si>
  <si>
    <t>CURBELO</t>
  </si>
  <si>
    <t>MANNIS</t>
  </si>
  <si>
    <t>RAMENA</t>
  </si>
  <si>
    <t>DE LA PAZ</t>
  </si>
  <si>
    <t>TALYIA</t>
  </si>
  <si>
    <t>FLINT</t>
  </si>
  <si>
    <t>B2230AC17018</t>
  </si>
  <si>
    <t>AVALOS</t>
  </si>
  <si>
    <t>TOYA</t>
  </si>
  <si>
    <t>ROCKAMORE</t>
  </si>
  <si>
    <t>HJ3743C17608</t>
  </si>
  <si>
    <t>DG6953A17277</t>
  </si>
  <si>
    <t>QUINONES</t>
  </si>
  <si>
    <t>CLINTON</t>
  </si>
  <si>
    <t>D8992DD17238</t>
  </si>
  <si>
    <t>ADELA</t>
  </si>
  <si>
    <t>PRIETO</t>
  </si>
  <si>
    <t>B2400GC17318</t>
  </si>
  <si>
    <t>HUTCHINS</t>
  </si>
  <si>
    <t>KX948YC17428</t>
  </si>
  <si>
    <t>KNUTSON</t>
  </si>
  <si>
    <t>M2392BA17877</t>
  </si>
  <si>
    <t>SVETLANA</t>
  </si>
  <si>
    <t>LAWLOR</t>
  </si>
  <si>
    <t>JR170FM16527</t>
  </si>
  <si>
    <t>PRISCILLA</t>
  </si>
  <si>
    <t>BALDARI</t>
  </si>
  <si>
    <t>A2354RA17587</t>
  </si>
  <si>
    <t>XIAOQING</t>
  </si>
  <si>
    <t>RICK</t>
  </si>
  <si>
    <t>OWENS</t>
  </si>
  <si>
    <t>JW9263A17277</t>
  </si>
  <si>
    <t>JUENGER</t>
  </si>
  <si>
    <t>SANA</t>
  </si>
  <si>
    <t>JIMERSON</t>
  </si>
  <si>
    <t>MONA</t>
  </si>
  <si>
    <t>BOLEN</t>
  </si>
  <si>
    <t>G5591DD17238</t>
  </si>
  <si>
    <t>EBONY</t>
  </si>
  <si>
    <t>BOOKER</t>
  </si>
  <si>
    <t>MH026NC17518</t>
  </si>
  <si>
    <t>LINDSEY</t>
  </si>
  <si>
    <t>JAKUBOWSKI</t>
  </si>
  <si>
    <t>MEKAYLA</t>
  </si>
  <si>
    <t>BRAND</t>
  </si>
  <si>
    <t>MX204RA17587</t>
  </si>
  <si>
    <t>G9548SB17208</t>
  </si>
  <si>
    <t>PARAMO</t>
  </si>
  <si>
    <t>JOHNSTON-NIKITENKO</t>
  </si>
  <si>
    <t>LAMSON</t>
  </si>
  <si>
    <t>DP221AC17018</t>
  </si>
  <si>
    <t>GW952DD17238</t>
  </si>
  <si>
    <t>HILLEY</t>
  </si>
  <si>
    <t>B1367DB17697</t>
  </si>
  <si>
    <t>GT3566D17828</t>
  </si>
  <si>
    <t>M16146D17828</t>
  </si>
  <si>
    <t>B6300DD17238</t>
  </si>
  <si>
    <t>MERIDA</t>
  </si>
  <si>
    <t>DE LA PENA</t>
  </si>
  <si>
    <t>BT5467C17808</t>
  </si>
  <si>
    <t>URRUSTIETA</t>
  </si>
  <si>
    <t>KZ711PC17618</t>
  </si>
  <si>
    <t>WALDINA</t>
  </si>
  <si>
    <t>ZALDIVAR</t>
  </si>
  <si>
    <t>GLADYS</t>
  </si>
  <si>
    <t>CUFRE</t>
  </si>
  <si>
    <t>AK084ZA17987</t>
  </si>
  <si>
    <t>LABUGUEN</t>
  </si>
  <si>
    <t>HU519DC17018</t>
  </si>
  <si>
    <t>LYDIA</t>
  </si>
  <si>
    <t>TRAHAN</t>
  </si>
  <si>
    <t>HOLLIS</t>
  </si>
  <si>
    <t>HD658GB17897</t>
  </si>
  <si>
    <t>E URIQUE</t>
  </si>
  <si>
    <t>BAKER</t>
  </si>
  <si>
    <t>MANLAPAZ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</si>
  <si>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</si>
  <si>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BD2539B17597</t>
  </si>
  <si>
    <t>PRENTICE</t>
  </si>
  <si>
    <t>TYNIESHA</t>
  </si>
  <si>
    <t>BURLEY</t>
  </si>
  <si>
    <t>CATRESHA</t>
  </si>
  <si>
    <t>TERRY</t>
  </si>
  <si>
    <t>KENYA</t>
  </si>
  <si>
    <t>KNIGHTON</t>
  </si>
  <si>
    <t>G31517B17497</t>
  </si>
  <si>
    <t>PETTY</t>
  </si>
  <si>
    <t>E8028BK16896</t>
  </si>
  <si>
    <t>KJ1085D17728</t>
  </si>
  <si>
    <t>GALLARDO-GREEN</t>
  </si>
  <si>
    <t>CX289GC17218</t>
  </si>
  <si>
    <t>GLICK</t>
  </si>
  <si>
    <t>EX8123D17628</t>
  </si>
  <si>
    <t>FAITH</t>
  </si>
  <si>
    <t>HALE</t>
  </si>
  <si>
    <t>ROZMARYNOSKI</t>
  </si>
  <si>
    <t>HW332CA17087</t>
  </si>
  <si>
    <t>DRUELINGER</t>
  </si>
  <si>
    <t>MORENO-GAMBOA</t>
  </si>
  <si>
    <t>E0079EC17118</t>
  </si>
  <si>
    <t>B5112NB17108</t>
  </si>
  <si>
    <t>KOPINSKY</t>
  </si>
  <si>
    <t>HP217CD17138</t>
  </si>
  <si>
    <t>LILIANA</t>
  </si>
  <si>
    <t>BB2617C17808</t>
  </si>
  <si>
    <t>C45005D17828</t>
  </si>
  <si>
    <t>TENHAGEN</t>
  </si>
  <si>
    <t>AY411WB17408</t>
  </si>
  <si>
    <t>LIZAMARIE</t>
  </si>
  <si>
    <t>FERRER-GONZALEZ</t>
  </si>
  <si>
    <t>HM469EM16227</t>
  </si>
  <si>
    <t>DAVQUATYAH</t>
  </si>
  <si>
    <t>YEHUDAH</t>
  </si>
  <si>
    <t>BESSLING</t>
  </si>
  <si>
    <t>BP192YC17528</t>
  </si>
  <si>
    <t>MARGUERITE</t>
  </si>
  <si>
    <t>MARTINSON</t>
  </si>
  <si>
    <t>A5863TA17787</t>
  </si>
  <si>
    <t>AY120MB17008</t>
  </si>
  <si>
    <t>SHERYL ANN</t>
  </si>
  <si>
    <t>AKINWUNMI</t>
  </si>
  <si>
    <t>HP4341C17508</t>
  </si>
  <si>
    <t>CIERA</t>
  </si>
  <si>
    <t>MP958HC17318</t>
  </si>
  <si>
    <t>CRUMP</t>
  </si>
  <si>
    <t>URQUIDEZ</t>
  </si>
  <si>
    <t>BN684EC17118</t>
  </si>
  <si>
    <t>GRAMICCIONI</t>
  </si>
  <si>
    <t>JT1827D17928</t>
  </si>
  <si>
    <t>GLOVER</t>
  </si>
  <si>
    <t>MZ472GC17318</t>
  </si>
  <si>
    <t>REYNOSO</t>
  </si>
  <si>
    <t>IRA</t>
  </si>
  <si>
    <t>HANDLER</t>
  </si>
  <si>
    <t>BX133BA17877</t>
  </si>
  <si>
    <t>AILEEN</t>
  </si>
  <si>
    <t>TERRAZAS</t>
  </si>
  <si>
    <t>ALDO</t>
  </si>
  <si>
    <t>AU7333D17628</t>
  </si>
  <si>
    <t>TANYIA</t>
  </si>
  <si>
    <t>BC430MC17418</t>
  </si>
  <si>
    <t>MARIO</t>
  </si>
  <si>
    <t>ZULUAGA</t>
  </si>
  <si>
    <t>YESICA</t>
  </si>
  <si>
    <t>BENITEZ</t>
  </si>
  <si>
    <t>LOVETT</t>
  </si>
  <si>
    <t>G7081AA17877</t>
  </si>
  <si>
    <t>LAURIANO</t>
  </si>
  <si>
    <t>BARAJAS</t>
  </si>
  <si>
    <t>D6195WC17328</t>
  </si>
  <si>
    <t>YOLANDA</t>
  </si>
  <si>
    <t>MJ485EB17797</t>
  </si>
  <si>
    <t>H2489KC17318</t>
  </si>
  <si>
    <t>PAKIZER</t>
  </si>
  <si>
    <t>LOWE</t>
  </si>
  <si>
    <t>A6989YC17428</t>
  </si>
  <si>
    <t>GREENWALD</t>
  </si>
  <si>
    <t>H1225XC17428</t>
  </si>
  <si>
    <t>TRENT</t>
  </si>
  <si>
    <t>AC7965D17728</t>
  </si>
  <si>
    <t>DALY</t>
  </si>
  <si>
    <t>K8187EM16227</t>
  </si>
  <si>
    <t>PROVOST</t>
  </si>
  <si>
    <t>LATRISHA</t>
  </si>
  <si>
    <t>SUTTON</t>
  </si>
  <si>
    <t>JT7418C17908</t>
  </si>
  <si>
    <t>MORAN VARGAS</t>
  </si>
  <si>
    <t>GZ9927D17928</t>
  </si>
  <si>
    <t>TERRANCE</t>
  </si>
  <si>
    <t>GRAHAM</t>
  </si>
  <si>
    <t>JT797GC17218</t>
  </si>
  <si>
    <t>NARDIN</t>
  </si>
  <si>
    <t>PERRETT</t>
  </si>
  <si>
    <t>CATTS</t>
  </si>
  <si>
    <t>SETO</t>
  </si>
  <si>
    <t>ASATOURIAN</t>
  </si>
  <si>
    <t>K38451C17508</t>
  </si>
  <si>
    <t>M10517B17497</t>
  </si>
  <si>
    <t>SHEPHERD</t>
  </si>
  <si>
    <t>MG380AC17018</t>
  </si>
  <si>
    <t>LEAL</t>
  </si>
  <si>
    <t>K5501FB17897</t>
  </si>
  <si>
    <t>GLYNIS</t>
  </si>
  <si>
    <t>A6105FC17218</t>
  </si>
  <si>
    <t>FARMER</t>
  </si>
  <si>
    <t>AA440UN16867</t>
  </si>
  <si>
    <t>JAIMAAL</t>
  </si>
  <si>
    <t>MUNIR</t>
  </si>
  <si>
    <t>D2892AC17018</t>
  </si>
  <si>
    <t>SACCAMANGO</t>
  </si>
  <si>
    <t>CHERYL</t>
  </si>
  <si>
    <t>CLAUDIO</t>
  </si>
  <si>
    <t>BK6121B17097</t>
  </si>
  <si>
    <t>KJERSGARD</t>
  </si>
  <si>
    <t>HOLLY</t>
  </si>
  <si>
    <t>AMATUZIO</t>
  </si>
  <si>
    <t>JU029AB17597</t>
  </si>
  <si>
    <t>HAZEL</t>
  </si>
  <si>
    <t>KA489HA17187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</si>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</sst>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8"/>
      <color theme="0"/>
      <name val="Arial Black"/>
      <family val="2"/>
    </font>
    <font>
      <b/>
      <sz val="18"/>
      <color theme="0"/>
      <name val="Arial Black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0" applyFont="1"/>
    <xf numFmtId="0" fontId="1" fillId="0" borderId="0" xfId="0" quotePrefix="1" applyFont="1"/>
    <xf numFmtId="0" fontId="0" fillId="2" borderId="0" xfId="0" applyFill="1"/>
    <xf numFmtId="0" fontId="2" fillId="3" borderId="1" xfId="0" applyFont="1" applyFill="1" applyBorder="1"/>
    <xf numFmtId="0" fontId="1" fillId="4" borderId="1" xfId="0" quotePrefix="1" applyFont="1" applyFill="1" applyBorder="1"/>
    <xf numFmtId="0" fontId="4" fillId="0" borderId="0" xfId="0" pivotButton="1" applyFont="1"/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horizontal="left" indent="1"/>
    </xf>
    <xf numFmtId="0" fontId="5" fillId="6" borderId="0" xfId="0" applyFont="1" applyFill="1"/>
    <xf numFmtId="0" fontId="6" fillId="6" borderId="0" xfId="0" applyFont="1" applyFill="1"/>
    <xf numFmtId="0" fontId="4" fillId="7" borderId="0" xfId="0" applyFont="1" applyFill="1"/>
    <xf numFmtId="0" fontId="0" fillId="0" borderId="3" xfId="0" applyBorder="1"/>
    <xf numFmtId="0" fontId="0" fillId="0" borderId="4" xfId="0" applyBorder="1"/>
    <xf numFmtId="164" fontId="0" fillId="0" borderId="4" xfId="0" applyNumberFormat="1" applyBorder="1" applyAlignment="1">
      <alignment horizontal="left"/>
    </xf>
    <xf numFmtId="0" fontId="0" fillId="2" borderId="4" xfId="0" applyFill="1" applyBorder="1"/>
    <xf numFmtId="0" fontId="3" fillId="5" borderId="4" xfId="0" applyFont="1" applyFill="1" applyBorder="1"/>
    <xf numFmtId="0" fontId="3" fillId="5" borderId="5" xfId="0" quotePrefix="1" applyFont="1" applyFill="1" applyBorder="1"/>
    <xf numFmtId="0" fontId="0" fillId="0" borderId="6" xfId="0" applyBorder="1"/>
    <xf numFmtId="0" fontId="0" fillId="0" borderId="2" xfId="0" applyBorder="1"/>
    <xf numFmtId="164" fontId="0" fillId="0" borderId="2" xfId="0" applyNumberFormat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1" fillId="0" borderId="0" xfId="0" applyNumberFormat="1" applyFont="1"/>
    <xf numFmtId="0" fontId="0" fillId="0" borderId="2" xfId="0" applyNumberFormat="1" applyBorder="1"/>
  </cellXfs>
  <cellStyles count="1">
    <cellStyle name="Normal" xfId="0" builtinId="0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64" formatCode="00000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1</xdr:row>
      <xdr:rowOff>95250</xdr:rowOff>
    </xdr:from>
    <xdr:to>
      <xdr:col>10</xdr:col>
      <xdr:colOff>419100</xdr:colOff>
      <xdr:row>3</xdr:row>
      <xdr:rowOff>76200</xdr:rowOff>
    </xdr:to>
    <xdr:sp macro="[0]!BOA_Reports" textlink="">
      <xdr:nvSpPr>
        <xdr:cNvPr id="2" name="Rounded Rectangle 1"/>
        <xdr:cNvSpPr/>
      </xdr:nvSpPr>
      <xdr:spPr>
        <a:xfrm>
          <a:off x="6010275" y="257175"/>
          <a:ext cx="151447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CLICK HERE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842.492521990738" createdVersion="5" refreshedVersion="5" minRefreshableVersion="3" recordCount="850">
  <cacheSource type="worksheet">
    <worksheetSource name="TblFeedFile"/>
  </cacheSource>
  <cacheFields count="37">
    <cacheField name="Record type" numFmtId="0">
      <sharedItems containsBlank="1" count="3">
        <s v="A"/>
        <s v="R"/>
        <m u="1"/>
      </sharedItems>
    </cacheField>
    <cacheField name=" Report Number " numFmtId="0">
      <sharedItems containsSemiMixedTypes="0" containsString="0" containsNumber="1" containsInteger="1" minValue="164331" maxValue="314310"/>
    </cacheField>
    <cacheField name="Employee ID (Person ID) " numFmtId="0">
      <sharedItems containsSemiMixedTypes="0" containsString="0" containsNumber="1" containsInteger="1" minValue="10108549" maxValue="30076141"/>
    </cacheField>
    <cacheField name="Claim number code " numFmtId="164">
      <sharedItems containsMixedTypes="1" containsNumber="1" containsInteger="1" minValue="201704128590" maxValue="571704138677"/>
    </cacheField>
    <cacheField name="First Name " numFmtId="0">
      <sharedItems/>
    </cacheField>
    <cacheField name="Last Name " numFmtId="0">
      <sharedItems/>
    </cacheField>
    <cacheField name="Leave Start Date " numFmtId="0">
      <sharedItems containsSemiMixedTypes="0" containsString="0" containsNumber="1" containsInteger="1" minValue="20160318" maxValue="20170413"/>
    </cacheField>
    <cacheField name="Leave End Date " numFmtId="0">
      <sharedItems containsSemiMixedTypes="0" containsString="0" containsNumber="1" containsInteger="1" minValue="20160621" maxValue="20171204"/>
    </cacheField>
    <cacheField name="Leave Type " numFmtId="0">
      <sharedItems containsBlank="1" count="25">
        <s v="US - STD Waiting Period - Paid"/>
        <s v="US - Short Term Disability - Paid"/>
        <s v="US - Short Term Disability 70% - Paid"/>
        <s v="US - Medical - Unpaid"/>
        <s v="US - LOA Closed"/>
        <s v="US - LOA Denied"/>
        <s v="US - Family Care - Unpaid"/>
        <s v="US - Statutory Leave - Unpaid"/>
        <s v="US - Maternity - Paid"/>
        <s v="US - Paternity - Paid"/>
        <s v="US - Maternity - Unpaid"/>
        <s v="US - Maternity STD - Paid"/>
        <s v="US - Paternity - Unpaid"/>
        <s v="US - Maternity STD MAT - Paid"/>
        <s v="US - Military - Paid"/>
        <s v="US - Personal - Unpaid"/>
        <s v="US - Military - Service Differential - Paid"/>
        <s v="US - Graduated RTW 100 - Paid"/>
        <s v="US - Medical - Unpaid - Accommodation Leave" u="1"/>
        <m u="1"/>
        <s v="US - Adoption - Paid" u="1"/>
        <s v="US - Graduated RTW 70 - Paid" u="1"/>
        <s v="US - Adoption - Unpaid" u="1"/>
        <s v="US - Military - Unpaid" u="1"/>
        <s v="US - Military - Taxation Change - Paid" u="1"/>
      </sharedItems>
    </cacheField>
    <cacheField name="Absence Reason Code " numFmtId="0">
      <sharedItems containsNonDate="0" containsString="0" containsBlank="1"/>
    </cacheField>
    <cacheField name="Absence Reason Description " numFmtId="0">
      <sharedItems containsBlank="1"/>
    </cacheField>
    <cacheField name="Variable Schedule Indicator " numFmtId="0">
      <sharedItems containsBlank="1"/>
    </cacheField>
    <cacheField name="Work Day 1 - Sunday " numFmtId="0">
      <sharedItems containsBlank="1"/>
    </cacheField>
    <cacheField name="Work Day 2 - Monday " numFmtId="0">
      <sharedItems containsBlank="1"/>
    </cacheField>
    <cacheField name="Work Day 3 - Tuesday " numFmtId="0">
      <sharedItems containsBlank="1"/>
    </cacheField>
    <cacheField name="Work Day 4 - Wednesday " numFmtId="0">
      <sharedItems containsBlank="1"/>
    </cacheField>
    <cacheField name="Work Day 5 - Thursday " numFmtId="0">
      <sharedItems containsBlank="1"/>
    </cacheField>
    <cacheField name="Work Day 6 - Friday " numFmtId="0">
      <sharedItems containsBlank="1"/>
    </cacheField>
    <cacheField name="Work Day 7 - Saturday " numFmtId="0">
      <sharedItems containsBlank="1"/>
    </cacheField>
    <cacheField name="Return to Work Date " numFmtId="0">
      <sharedItems containsString="0" containsBlank="1" containsNumber="1" containsInteger="1" minValue="20161130" maxValue="20170417"/>
    </cacheField>
    <cacheField name="Military Pay Amount " numFmtId="0">
      <sharedItems containsNonDate="0" containsString="0" containsBlank="1"/>
    </cacheField>
    <cacheField name="Military Pay Mode " numFmtId="0">
      <sharedItems containsNonDate="0" containsString="0" containsBlank="1"/>
    </cacheField>
    <cacheField name="LES Effective Date " numFmtId="0">
      <sharedItems containsNonDate="0" containsString="0" containsBlank="1"/>
    </cacheField>
    <cacheField name="Workers Comp Indicator " numFmtId="0">
      <sharedItems containsBlank="1"/>
    </cacheField>
    <cacheField name="STD State Offset Amount " numFmtId="0">
      <sharedItems containsString="0" containsBlank="1" containsNumber="1" containsInteger="1" minValue="170" maxValue="1173"/>
    </cacheField>
    <cacheField name="STD State Offset Mode " numFmtId="0">
      <sharedItems containsBlank="1"/>
    </cacheField>
    <cacheField name="Start Date " numFmtId="0">
      <sharedItems containsString="0" containsBlank="1" containsNumber="1" containsInteger="1" minValue="20170124" maxValue="20170411"/>
    </cacheField>
    <cacheField name="End Date " numFmtId="0">
      <sharedItems containsString="0" containsBlank="1" containsNumber="1" containsInteger="1" minValue="20170402" maxValue="20171002"/>
    </cacheField>
    <cacheField name="Takeover Indicator" numFmtId="0">
      <sharedItems longText="1"/>
    </cacheField>
    <cacheField name="File Date" numFmtId="0">
      <sharedItems containsSemiMixedTypes="0" containsString="0" containsNumber="1" containsInteger="1" minValue="20170413" maxValue="20170413"/>
    </cacheField>
    <cacheField name="FileOrder" numFmtId="0">
      <sharedItems containsSemiMixedTypes="0" containsString="0" containsNumber="1" containsInteger="1" minValue="1" maxValue="850"/>
    </cacheField>
    <cacheField name="Delta" numFmtId="0">
      <sharedItems containsNonDate="0" containsString="0" containsBlank="1"/>
    </cacheField>
    <cacheField name="Pay Type" numFmtId="0">
      <sharedItems containsBlank="1" count="6">
        <s v="Paid"/>
        <s v="Unpaid"/>
        <s v="Closed"/>
        <s v="Denied"/>
        <m u="1"/>
        <s v="TBD" u="1"/>
      </sharedItems>
    </cacheField>
    <cacheField name="Payroll" numFmtId="0">
      <sharedItems containsBlank="1" count="3">
        <s v="Semi-Monthly"/>
        <m/>
        <s v="Bi-Weekly"/>
      </sharedItems>
    </cacheField>
    <cacheField name="LOA Closed" numFmtId="0">
      <sharedItems containsBlank="1"/>
    </cacheField>
    <cacheField name="Statutory Leave" numFmtId="0">
      <sharedItems containsBlank="1"/>
    </cacheField>
    <cacheField name="RTW date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50">
  <r>
    <x v="0"/>
    <n v="314301"/>
    <n v="10108549"/>
    <n v="511703148321"/>
    <s v="DIANA"/>
    <s v="HERNANDEZ"/>
    <n v="20170401"/>
    <n v="2017051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"/>
    <m/>
    <x v="0"/>
    <x v="0"/>
    <m/>
    <m/>
    <m/>
  </r>
  <r>
    <x v="1"/>
    <n v="314301"/>
    <n v="10109361"/>
    <n v="501703038420"/>
    <s v="JUDY"/>
    <s v="INGLE"/>
    <n v="20170313"/>
    <n v="2017081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"/>
    <m/>
    <x v="0"/>
    <x v="0"/>
    <m/>
    <m/>
    <m/>
  </r>
  <r>
    <x v="1"/>
    <n v="314301"/>
    <n v="10109361"/>
    <n v="501703038420"/>
    <s v="JUDY"/>
    <s v="INGLE"/>
    <n v="20170306"/>
    <n v="20170819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"/>
    <m/>
    <x v="0"/>
    <x v="0"/>
    <m/>
    <m/>
    <m/>
  </r>
  <r>
    <x v="0"/>
    <n v="314301"/>
    <n v="10109361"/>
    <n v="501703038420"/>
    <s v="JUDY"/>
    <s v="INGLE"/>
    <n v="20170304"/>
    <n v="20170819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"/>
    <m/>
    <x v="0"/>
    <x v="1"/>
    <m/>
    <m/>
    <m/>
  </r>
  <r>
    <x v="0"/>
    <n v="314301"/>
    <n v="10109361"/>
    <n v="501703038420"/>
    <s v="JUDY"/>
    <s v="INGLE"/>
    <n v="20170311"/>
    <n v="2017081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"/>
    <m/>
    <x v="0"/>
    <x v="1"/>
    <m/>
    <m/>
    <m/>
  </r>
  <r>
    <x v="1"/>
    <n v="314301"/>
    <n v="10138827"/>
    <n v="531703238873"/>
    <s v="ANGELA"/>
    <s v="SCHNEIDER"/>
    <n v="20170322"/>
    <n v="20170415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"/>
    <m/>
    <x v="0"/>
    <x v="1"/>
    <m/>
    <m/>
    <m/>
  </r>
  <r>
    <x v="0"/>
    <n v="314301"/>
    <n v="10138827"/>
    <n v="531703238873"/>
    <s v="ANGELA"/>
    <s v="SCHNEIDER"/>
    <n v="20170322"/>
    <n v="20170515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"/>
    <m/>
    <x v="0"/>
    <x v="1"/>
    <m/>
    <m/>
    <m/>
  </r>
  <r>
    <x v="0"/>
    <n v="314304"/>
    <n v="10154238"/>
    <n v="521702148152"/>
    <s v="LORI"/>
    <s v="LAMB"/>
    <n v="20170308"/>
    <n v="20170416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"/>
    <m/>
    <x v="0"/>
    <x v="1"/>
    <m/>
    <m/>
    <s v="Y"/>
  </r>
  <r>
    <x v="1"/>
    <n v="314304"/>
    <n v="10157427"/>
    <n v="561701178916"/>
    <s v="PHYLLIS"/>
    <s v="NEWTON"/>
    <n v="20170321"/>
    <n v="20170331"/>
    <x v="2"/>
    <m/>
    <m/>
    <s v="N"/>
    <s v="N"/>
    <s v="Y"/>
    <s v="Y"/>
    <s v="Y"/>
    <s v="Y"/>
    <s v="Y"/>
    <s v="N"/>
    <n v="20170401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9"/>
    <m/>
    <x v="0"/>
    <x v="1"/>
    <m/>
    <m/>
    <m/>
  </r>
  <r>
    <x v="0"/>
    <n v="314304"/>
    <n v="10157427"/>
    <n v="561701178916"/>
    <s v="PHYLLIS"/>
    <s v="NEWTON"/>
    <n v="20170321"/>
    <n v="20170514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0"/>
    <m/>
    <x v="0"/>
    <x v="1"/>
    <m/>
    <m/>
    <m/>
  </r>
  <r>
    <x v="0"/>
    <n v="314304"/>
    <n v="10173960"/>
    <n v="571703138067"/>
    <s v="SHIRELL"/>
    <s v="HICKS"/>
    <n v="20170412"/>
    <n v="2017051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1"/>
    <m/>
    <x v="0"/>
    <x v="1"/>
    <m/>
    <m/>
    <m/>
  </r>
  <r>
    <x v="0"/>
    <n v="314304"/>
    <n v="10205343"/>
    <n v="511701058359"/>
    <s v="DONNETTE"/>
    <s v="SMITH"/>
    <n v="20170309"/>
    <n v="20170416"/>
    <x v="2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2"/>
    <m/>
    <x v="0"/>
    <x v="1"/>
    <m/>
    <m/>
    <s v="Y"/>
  </r>
  <r>
    <x v="1"/>
    <n v="314304"/>
    <n v="10206030"/>
    <s v="G5903NC17518"/>
    <s v="AMY"/>
    <s v="MURRAY"/>
    <n v="20170330"/>
    <n v="20170426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3"/>
    <m/>
    <x v="1"/>
    <x v="1"/>
    <m/>
    <m/>
    <m/>
  </r>
  <r>
    <x v="0"/>
    <n v="314304"/>
    <n v="10206030"/>
    <s v="G5903NC17518"/>
    <s v="AMY"/>
    <s v="MURRAY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4"/>
    <m/>
    <x v="2"/>
    <x v="1"/>
    <m/>
    <m/>
    <m/>
  </r>
  <r>
    <x v="0"/>
    <n v="314304"/>
    <n v="10206271"/>
    <n v="531701108023"/>
    <s v="DACSHA"/>
    <s v="TAYLOR"/>
    <n v="20170307"/>
    <n v="20170416"/>
    <x v="2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5"/>
    <m/>
    <x v="0"/>
    <x v="1"/>
    <m/>
    <m/>
    <s v="Y"/>
  </r>
  <r>
    <x v="1"/>
    <n v="314304"/>
    <n v="10211451"/>
    <n v="501702088308"/>
    <s v="KIMBERLY"/>
    <s v="BURKE"/>
    <n v="20170208"/>
    <n v="2017040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6"/>
    <m/>
    <x v="0"/>
    <x v="1"/>
    <m/>
    <m/>
    <m/>
  </r>
  <r>
    <x v="0"/>
    <n v="314304"/>
    <n v="10211451"/>
    <n v="501702088308"/>
    <s v="KIMBERLY"/>
    <s v="BURKE"/>
    <n v="20170208"/>
    <n v="20170417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7"/>
    <m/>
    <x v="0"/>
    <x v="1"/>
    <m/>
    <m/>
    <m/>
  </r>
  <r>
    <x v="0"/>
    <n v="314304"/>
    <n v="10211451"/>
    <n v="501702088308"/>
    <s v="KIMBERLY"/>
    <s v="BURKE"/>
    <n v="20170405"/>
    <n v="20170417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8"/>
    <m/>
    <x v="0"/>
    <x v="1"/>
    <m/>
    <m/>
    <m/>
  </r>
  <r>
    <x v="1"/>
    <n v="314304"/>
    <n v="10236605"/>
    <n v="511703088241"/>
    <s v="JOSETTA"/>
    <s v="FORMAN"/>
    <n v="20170302"/>
    <n v="20170302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9"/>
    <m/>
    <x v="3"/>
    <x v="1"/>
    <m/>
    <m/>
    <m/>
  </r>
  <r>
    <x v="0"/>
    <n v="314304"/>
    <n v="10236605"/>
    <s v="KR3398C17808"/>
    <s v="JOSETTA"/>
    <s v="FORMAN"/>
    <n v="20170302"/>
    <n v="20170302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0"/>
    <m/>
    <x v="2"/>
    <x v="1"/>
    <m/>
    <m/>
    <m/>
  </r>
  <r>
    <x v="0"/>
    <n v="314304"/>
    <n v="10236605"/>
    <n v="511703088241"/>
    <s v="JOSETTA"/>
    <s v="FORMAN"/>
    <n v="20170302"/>
    <n v="20170417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1"/>
    <m/>
    <x v="0"/>
    <x v="1"/>
    <m/>
    <m/>
    <m/>
  </r>
  <r>
    <x v="0"/>
    <n v="314304"/>
    <n v="10236605"/>
    <s v="KR3398C17808"/>
    <s v="JOSETTA"/>
    <s v="FORMAN"/>
    <n v="20170309"/>
    <n v="20170417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2"/>
    <m/>
    <x v="1"/>
    <x v="1"/>
    <m/>
    <m/>
    <m/>
  </r>
  <r>
    <x v="0"/>
    <n v="314301"/>
    <n v="10240162"/>
    <n v="501704048890"/>
    <s v="VALERIE"/>
    <s v="JOHNSON"/>
    <n v="20170407"/>
    <n v="2017051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3"/>
    <m/>
    <x v="0"/>
    <x v="1"/>
    <m/>
    <m/>
    <m/>
  </r>
  <r>
    <x v="0"/>
    <n v="314304"/>
    <n v="10241134"/>
    <n v="511703228821"/>
    <s v="AMEETA"/>
    <s v="KOTHARE"/>
    <n v="20170321"/>
    <n v="20170416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4"/>
    <m/>
    <x v="0"/>
    <x v="1"/>
    <m/>
    <m/>
    <s v="Y"/>
  </r>
  <r>
    <x v="0"/>
    <n v="314304"/>
    <n v="10251903"/>
    <n v="521702218372"/>
    <s v="DOLORES"/>
    <s v="ZELAYA"/>
    <n v="20170413"/>
    <n v="20170503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5"/>
    <m/>
    <x v="0"/>
    <x v="1"/>
    <m/>
    <m/>
    <m/>
  </r>
  <r>
    <x v="0"/>
    <n v="314301"/>
    <n v="10254646"/>
    <n v="551703228815"/>
    <s v="BARBRA"/>
    <s v="BUSTOS"/>
    <n v="20170412"/>
    <n v="2017061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6"/>
    <m/>
    <x v="0"/>
    <x v="1"/>
    <m/>
    <m/>
    <m/>
  </r>
  <r>
    <x v="1"/>
    <n v="314304"/>
    <n v="10257969"/>
    <s v="CX329HC17318"/>
    <s v="VICTORIA"/>
    <s v="FELTON"/>
    <n v="20170317"/>
    <n v="20170321"/>
    <x v="6"/>
    <m/>
    <m/>
    <s v="N"/>
    <s v="N"/>
    <s v="Y"/>
    <s v="Y"/>
    <s v="Y"/>
    <s v="Y"/>
    <s v="Y"/>
    <s v="N"/>
    <n v="2017032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7"/>
    <m/>
    <x v="1"/>
    <x v="1"/>
    <m/>
    <m/>
    <m/>
  </r>
  <r>
    <x v="0"/>
    <n v="314304"/>
    <n v="10257969"/>
    <s v="CX329HC17318"/>
    <s v="VICTORIA"/>
    <s v="FELTON"/>
    <n v="20170317"/>
    <n v="20170317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8"/>
    <m/>
    <x v="3"/>
    <x v="1"/>
    <m/>
    <m/>
    <m/>
  </r>
  <r>
    <x v="0"/>
    <n v="314304"/>
    <n v="10298372"/>
    <n v="501704128630"/>
    <s v="DAWN"/>
    <s v="WESTBROOK"/>
    <n v="20170413"/>
    <n v="20170513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9"/>
    <m/>
    <x v="0"/>
    <x v="1"/>
    <m/>
    <m/>
    <m/>
  </r>
  <r>
    <x v="0"/>
    <n v="314304"/>
    <n v="10300067"/>
    <n v="541702278354"/>
    <s v="CAROLYN"/>
    <s v="DANIELS"/>
    <n v="20170404"/>
    <n v="20170529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0"/>
    <m/>
    <x v="0"/>
    <x v="1"/>
    <m/>
    <m/>
    <m/>
  </r>
  <r>
    <x v="1"/>
    <n v="314304"/>
    <n v="10303823"/>
    <s v="KN889HA17187"/>
    <s v="KISHA"/>
    <s v="HARRIS"/>
    <n v="20170320"/>
    <n v="20170319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1"/>
    <m/>
    <x v="1"/>
    <x v="1"/>
    <m/>
    <m/>
    <m/>
  </r>
  <r>
    <x v="1"/>
    <n v="314304"/>
    <n v="10303823"/>
    <s v="KN889HA17187"/>
    <s v="KISHA"/>
    <s v="HARRIS"/>
    <n v="20170320"/>
    <n v="2017032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2"/>
    <m/>
    <x v="2"/>
    <x v="1"/>
    <m/>
    <m/>
    <m/>
  </r>
  <r>
    <x v="1"/>
    <n v="314304"/>
    <n v="10303823"/>
    <s v="KN889HA17187"/>
    <s v="KISHA"/>
    <s v="HARRIS"/>
    <n v="20170320"/>
    <n v="2017032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3"/>
    <m/>
    <x v="2"/>
    <x v="1"/>
    <m/>
    <m/>
    <m/>
  </r>
  <r>
    <x v="1"/>
    <n v="314304"/>
    <n v="10303823"/>
    <n v="551701178095"/>
    <s v="KISHA"/>
    <s v="HARRIS"/>
    <n v="20170315"/>
    <n v="20170319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4"/>
    <m/>
    <x v="0"/>
    <x v="1"/>
    <m/>
    <m/>
    <m/>
  </r>
  <r>
    <x v="0"/>
    <n v="314304"/>
    <n v="10303823"/>
    <n v="551701178095"/>
    <s v="KISHA"/>
    <s v="HARRIS"/>
    <n v="20170315"/>
    <n v="20170423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5"/>
    <m/>
    <x v="0"/>
    <x v="1"/>
    <s v="Y"/>
    <m/>
    <m/>
  </r>
  <r>
    <x v="0"/>
    <n v="314304"/>
    <n v="10303823"/>
    <s v="KN889HA17187"/>
    <s v="KISHA"/>
    <s v="HARRIS"/>
    <n v="20170320"/>
    <n v="20170423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6"/>
    <m/>
    <x v="1"/>
    <x v="1"/>
    <s v="Y"/>
    <m/>
    <m/>
  </r>
  <r>
    <x v="0"/>
    <n v="314304"/>
    <n v="10307987"/>
    <s v="MB4269C17908"/>
    <s v="RITA"/>
    <s v="MASSEY"/>
    <n v="20170411"/>
    <n v="20170416"/>
    <x v="7"/>
    <m/>
    <s v="Medical"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7"/>
    <m/>
    <x v="1"/>
    <x v="1"/>
    <m/>
    <m/>
    <s v="Y"/>
  </r>
  <r>
    <x v="0"/>
    <n v="314304"/>
    <n v="10402640"/>
    <n v="531703098483"/>
    <s v="SOLEDAD"/>
    <s v="CIGLIUTI"/>
    <n v="20170316"/>
    <n v="20170416"/>
    <x v="1"/>
    <m/>
    <m/>
    <s v="N"/>
    <s v="N"/>
    <s v="Y"/>
    <s v="Y"/>
    <s v="Y"/>
    <s v="Y"/>
    <s v="Y"/>
    <s v="N"/>
    <n v="20170417"/>
    <m/>
    <m/>
    <m/>
    <m/>
    <n v="673"/>
    <s v="W7"/>
    <n v="20170316"/>
    <n v="20170906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8"/>
    <m/>
    <x v="0"/>
    <x v="1"/>
    <m/>
    <m/>
    <s v="Y"/>
  </r>
  <r>
    <x v="1"/>
    <n v="314304"/>
    <n v="10413328"/>
    <n v="511702228771"/>
    <s v="ELEANOR"/>
    <s v="CREQUE"/>
    <n v="20170228"/>
    <n v="20170509"/>
    <x v="1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9"/>
    <m/>
    <x v="0"/>
    <x v="1"/>
    <m/>
    <m/>
    <m/>
  </r>
  <r>
    <x v="0"/>
    <n v="314304"/>
    <n v="10413328"/>
    <n v="511702228771"/>
    <s v="ELEANOR"/>
    <s v="CREQUE"/>
    <n v="20170228"/>
    <n v="20170508"/>
    <x v="1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0"/>
    <m/>
    <x v="0"/>
    <x v="1"/>
    <m/>
    <m/>
    <m/>
  </r>
  <r>
    <x v="1"/>
    <n v="314301"/>
    <n v="10426073"/>
    <s v="K6508MA17487"/>
    <s v="DENISE"/>
    <s v="MESTLER"/>
    <n v="20170208"/>
    <n v="20170801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1"/>
    <m/>
    <x v="1"/>
    <x v="1"/>
    <m/>
    <m/>
    <m/>
  </r>
  <r>
    <x v="1"/>
    <n v="314301"/>
    <n v="10426073"/>
    <n v="561701208026"/>
    <s v="DENISE"/>
    <s v="MESTLER"/>
    <n v="20170201"/>
    <n v="2017080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2"/>
    <m/>
    <x v="0"/>
    <x v="1"/>
    <m/>
    <m/>
    <m/>
  </r>
  <r>
    <x v="0"/>
    <n v="314301"/>
    <n v="10426073"/>
    <n v="561701208026"/>
    <s v="DENISE"/>
    <s v="MESTLER"/>
    <n v="20170201"/>
    <n v="2017043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3"/>
    <m/>
    <x v="0"/>
    <x v="1"/>
    <m/>
    <m/>
    <m/>
  </r>
  <r>
    <x v="0"/>
    <n v="314301"/>
    <n v="10426073"/>
    <n v="561701208026"/>
    <s v="DENISE"/>
    <s v="MESTLER"/>
    <n v="20170208"/>
    <n v="2017043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4"/>
    <m/>
    <x v="0"/>
    <x v="1"/>
    <m/>
    <m/>
    <m/>
  </r>
  <r>
    <x v="0"/>
    <n v="314301"/>
    <n v="10426073"/>
    <s v="K6508MA17487"/>
    <s v="DENISE"/>
    <s v="MESTLER"/>
    <n v="20170319"/>
    <n v="20170430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5"/>
    <m/>
    <x v="1"/>
    <x v="1"/>
    <m/>
    <m/>
    <m/>
  </r>
  <r>
    <x v="0"/>
    <n v="314304"/>
    <n v="10451241"/>
    <n v="531703068823"/>
    <s v="PAMELA"/>
    <s v="CASE"/>
    <n v="20170330"/>
    <n v="20170513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6"/>
    <m/>
    <x v="0"/>
    <x v="1"/>
    <m/>
    <m/>
    <m/>
  </r>
  <r>
    <x v="0"/>
    <n v="314304"/>
    <n v="10451241"/>
    <n v="531703068823"/>
    <s v="PAMELA"/>
    <s v="CASE"/>
    <n v="20170406"/>
    <n v="20170513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7"/>
    <m/>
    <x v="0"/>
    <x v="1"/>
    <m/>
    <m/>
    <m/>
  </r>
  <r>
    <x v="0"/>
    <n v="314301"/>
    <n v="10452586"/>
    <n v="511704138811"/>
    <s v="AMBER"/>
    <s v="FOUNTAINE"/>
    <n v="20170408"/>
    <n v="20170508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8"/>
    <m/>
    <x v="0"/>
    <x v="1"/>
    <m/>
    <m/>
    <m/>
  </r>
  <r>
    <x v="0"/>
    <n v="314304"/>
    <n v="10461693"/>
    <s v="KU632EN16267"/>
    <s v="DIANA"/>
    <s v="RUIZ"/>
    <n v="20161018"/>
    <n v="20170414"/>
    <x v="3"/>
    <m/>
    <m/>
    <s v="N"/>
    <s v="N"/>
    <s v="Y"/>
    <s v="Y"/>
    <s v="Y"/>
    <s v="Y"/>
    <s v="Y"/>
    <s v="N"/>
    <n v="20170417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9"/>
    <m/>
    <x v="1"/>
    <x v="1"/>
    <m/>
    <m/>
    <s v="Y"/>
  </r>
  <r>
    <x v="1"/>
    <n v="314301"/>
    <n v="10495207"/>
    <n v="501703148150"/>
    <s v="TRACIE"/>
    <s v="SMITH"/>
    <n v="20170411"/>
    <n v="20170605"/>
    <x v="8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0"/>
    <m/>
    <x v="0"/>
    <x v="1"/>
    <m/>
    <m/>
    <m/>
  </r>
  <r>
    <x v="0"/>
    <n v="314301"/>
    <n v="10495207"/>
    <n v="501703148150"/>
    <s v="TRACIE"/>
    <s v="SMITH"/>
    <n v="20170411"/>
    <n v="20170813"/>
    <x v="8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1"/>
    <m/>
    <x v="0"/>
    <x v="1"/>
    <m/>
    <m/>
    <m/>
  </r>
  <r>
    <x v="0"/>
    <n v="314301"/>
    <n v="10498997"/>
    <s v="CJ124RB17208"/>
    <s v="ALI"/>
    <s v="BALALI"/>
    <n v="20170404"/>
    <n v="20170416"/>
    <x v="9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2"/>
    <m/>
    <x v="0"/>
    <x v="1"/>
    <m/>
    <m/>
    <s v="Y"/>
  </r>
  <r>
    <x v="1"/>
    <n v="314305"/>
    <n v="10499264"/>
    <s v="AM1812C17608"/>
    <s v="MELISSA ANN"/>
    <s v="BECK"/>
    <n v="20170119"/>
    <n v="20170402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3"/>
    <m/>
    <x v="1"/>
    <x v="1"/>
    <m/>
    <m/>
    <m/>
  </r>
  <r>
    <x v="1"/>
    <n v="314305"/>
    <n v="10499264"/>
    <s v="AM1812C17608"/>
    <s v="MELISSA ANN"/>
    <s v="BECK"/>
    <n v="20170112"/>
    <n v="20170112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4"/>
    <m/>
    <x v="2"/>
    <x v="1"/>
    <m/>
    <m/>
    <m/>
  </r>
  <r>
    <x v="0"/>
    <n v="314305"/>
    <n v="10499264"/>
    <s v="AM1812C17608"/>
    <s v="MELISSA ANN"/>
    <s v="BECK"/>
    <n v="20170403"/>
    <n v="2017040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5"/>
    <m/>
    <x v="2"/>
    <x v="1"/>
    <m/>
    <m/>
    <m/>
  </r>
  <r>
    <x v="1"/>
    <n v="314304"/>
    <n v="10514232"/>
    <s v="JA369DB17697"/>
    <s v="TIFFANY"/>
    <s v="YIP"/>
    <n v="20161111"/>
    <n v="20170414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6"/>
    <m/>
    <x v="1"/>
    <x v="1"/>
    <m/>
    <m/>
    <m/>
  </r>
  <r>
    <x v="0"/>
    <n v="314304"/>
    <n v="10514232"/>
    <s v="JA369DB17697"/>
    <s v="TIFFANY"/>
    <s v="YIP"/>
    <n v="20160930"/>
    <n v="20170331"/>
    <x v="10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7"/>
    <m/>
    <x v="1"/>
    <x v="1"/>
    <m/>
    <m/>
    <m/>
  </r>
  <r>
    <x v="0"/>
    <n v="314304"/>
    <n v="10514232"/>
    <s v="JA369DB17697"/>
    <s v="TIFFANY"/>
    <s v="YIP"/>
    <n v="20161111"/>
    <n v="20170331"/>
    <x v="8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8"/>
    <m/>
    <x v="0"/>
    <x v="1"/>
    <m/>
    <m/>
    <m/>
  </r>
  <r>
    <x v="0"/>
    <n v="314304"/>
    <n v="10514232"/>
    <s v="JA369DB17697"/>
    <s v="TIFFANY"/>
    <s v="YIP"/>
    <n v="20161111"/>
    <n v="20170331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9"/>
    <m/>
    <x v="1"/>
    <x v="1"/>
    <m/>
    <m/>
    <m/>
  </r>
  <r>
    <x v="0"/>
    <n v="314304"/>
    <n v="10514232"/>
    <s v="JA369DB17697"/>
    <s v="TIFFANY"/>
    <s v="YIP"/>
    <n v="20170401"/>
    <n v="20170401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0"/>
    <m/>
    <x v="2"/>
    <x v="1"/>
    <m/>
    <m/>
    <m/>
  </r>
  <r>
    <x v="1"/>
    <n v="314304"/>
    <n v="10525345"/>
    <s v="H9680GM16827"/>
    <s v="EDNA"/>
    <s v="PALACIOS"/>
    <n v="20160812"/>
    <n v="20170403"/>
    <x v="3"/>
    <m/>
    <m/>
    <s v="N"/>
    <s v="N"/>
    <s v="Y"/>
    <s v="Y"/>
    <s v="Y"/>
    <s v="Y"/>
    <s v="Y"/>
    <s v="N"/>
    <n v="20170404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1"/>
    <m/>
    <x v="1"/>
    <x v="1"/>
    <m/>
    <m/>
    <m/>
  </r>
  <r>
    <x v="0"/>
    <n v="314304"/>
    <n v="10525345"/>
    <s v="H9680GM16827"/>
    <s v="EDNA"/>
    <s v="PALACIOS"/>
    <n v="20160812"/>
    <n v="20170707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2"/>
    <m/>
    <x v="1"/>
    <x v="1"/>
    <m/>
    <m/>
    <m/>
  </r>
  <r>
    <x v="1"/>
    <n v="314304"/>
    <n v="10526852"/>
    <n v="551612158715"/>
    <s v="MIROSLAVA"/>
    <s v="NAVARRO"/>
    <n v="20170217"/>
    <n v="20170629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3"/>
    <m/>
    <x v="0"/>
    <x v="1"/>
    <m/>
    <m/>
    <m/>
  </r>
  <r>
    <x v="0"/>
    <n v="314304"/>
    <n v="10526852"/>
    <n v="551612158715"/>
    <s v="MIROSLAVA"/>
    <s v="NAVARRO"/>
    <n v="20170207"/>
    <n v="20170619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4"/>
    <m/>
    <x v="0"/>
    <x v="1"/>
    <m/>
    <m/>
    <m/>
  </r>
  <r>
    <x v="1"/>
    <n v="314305"/>
    <n v="10528143"/>
    <n v="571703158567"/>
    <s v="MARY"/>
    <s v="SOUSA"/>
    <n v="20170320"/>
    <n v="20170418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5"/>
    <m/>
    <x v="0"/>
    <x v="1"/>
    <m/>
    <m/>
    <m/>
  </r>
  <r>
    <x v="0"/>
    <n v="314305"/>
    <n v="10528143"/>
    <n v="571703158567"/>
    <s v="MARY"/>
    <s v="SOUSA"/>
    <n v="20170320"/>
    <n v="20170417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6"/>
    <m/>
    <x v="0"/>
    <x v="1"/>
    <m/>
    <m/>
    <m/>
  </r>
  <r>
    <x v="0"/>
    <n v="314304"/>
    <n v="10544306"/>
    <n v="531704138843"/>
    <s v="DAVID"/>
    <s v="SMULLEN"/>
    <n v="20170408"/>
    <n v="20170509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7"/>
    <m/>
    <x v="0"/>
    <x v="1"/>
    <m/>
    <m/>
    <m/>
  </r>
  <r>
    <x v="0"/>
    <n v="314304"/>
    <n v="10546838"/>
    <n v="511704128669"/>
    <s v="JANELLE"/>
    <s v="OLSON"/>
    <n v="20170410"/>
    <n v="2017051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8"/>
    <m/>
    <x v="0"/>
    <x v="1"/>
    <m/>
    <m/>
    <m/>
  </r>
  <r>
    <x v="1"/>
    <n v="314304"/>
    <n v="10548718"/>
    <s v="K60555N16557"/>
    <s v="MARQUETTA"/>
    <s v="BROOKS"/>
    <n v="20170328"/>
    <n v="20170328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9"/>
    <m/>
    <x v="2"/>
    <x v="1"/>
    <m/>
    <m/>
    <m/>
  </r>
  <r>
    <x v="0"/>
    <n v="314304"/>
    <n v="10548718"/>
    <s v="K60555N16557"/>
    <s v="MARQUETTA"/>
    <s v="BROOKS"/>
    <n v="20161130"/>
    <n v="20170327"/>
    <x v="3"/>
    <m/>
    <m/>
    <s v="N"/>
    <s v="N"/>
    <s v="Y"/>
    <s v="Y"/>
    <s v="Y"/>
    <s v="Y"/>
    <s v="Y"/>
    <s v="N"/>
    <n v="20170403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0"/>
    <m/>
    <x v="1"/>
    <x v="1"/>
    <s v="Y"/>
    <m/>
    <s v="Y"/>
  </r>
  <r>
    <x v="1"/>
    <n v="314304"/>
    <n v="10551665"/>
    <s v="B0445BA17877"/>
    <s v="LIANA"/>
    <s v="ORTIZ"/>
    <n v="20161205"/>
    <n v="20170117"/>
    <x v="3"/>
    <m/>
    <m/>
    <s v="N"/>
    <s v="N"/>
    <s v="Y"/>
    <s v="Y"/>
    <s v="Y"/>
    <s v="Y"/>
    <s v="Y"/>
    <s v="N"/>
    <n v="20170118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1"/>
    <m/>
    <x v="1"/>
    <x v="1"/>
    <m/>
    <m/>
    <m/>
  </r>
  <r>
    <x v="0"/>
    <n v="314304"/>
    <n v="10551665"/>
    <s v="B0445BA17877"/>
    <s v="LIANA"/>
    <s v="ORTIZ"/>
    <n v="20170113"/>
    <n v="20170205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2"/>
    <m/>
    <x v="1"/>
    <x v="1"/>
    <m/>
    <m/>
    <m/>
  </r>
  <r>
    <x v="1"/>
    <n v="314304"/>
    <n v="10560940"/>
    <s v="KG834SA17687"/>
    <s v="JANICE"/>
    <s v="STILLER"/>
    <n v="20170412"/>
    <n v="20170430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3"/>
    <m/>
    <x v="1"/>
    <x v="1"/>
    <m/>
    <m/>
    <m/>
  </r>
  <r>
    <x v="0"/>
    <n v="314304"/>
    <n v="10560940"/>
    <s v="KG834SA17687"/>
    <s v="JANICE"/>
    <s v="STILLER"/>
    <n v="20170412"/>
    <n v="20170430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4"/>
    <m/>
    <x v="1"/>
    <x v="1"/>
    <m/>
    <m/>
    <m/>
  </r>
  <r>
    <x v="0"/>
    <n v="314304"/>
    <n v="20009839"/>
    <s v="EY602DD17238"/>
    <s v="ALESIA"/>
    <s v="BREEDEN"/>
    <n v="20170407"/>
    <n v="20170424"/>
    <x v="3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5"/>
    <m/>
    <x v="1"/>
    <x v="1"/>
    <m/>
    <m/>
    <m/>
  </r>
  <r>
    <x v="1"/>
    <n v="314304"/>
    <n v="20094528"/>
    <n v="511704048891"/>
    <s v="PATRICIA"/>
    <s v="ROWLEY"/>
    <n v="20170330"/>
    <n v="20170429"/>
    <x v="0"/>
    <m/>
    <m/>
    <s v="N"/>
    <s v="N"/>
    <s v="Y"/>
    <s v="Y"/>
    <s v="Y"/>
    <s v="N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6"/>
    <m/>
    <x v="0"/>
    <x v="1"/>
    <m/>
    <m/>
    <m/>
  </r>
  <r>
    <x v="0"/>
    <n v="314304"/>
    <n v="20094528"/>
    <n v="511704048891"/>
    <s v="PATRICIA"/>
    <s v="ROWLEY"/>
    <n v="20170331"/>
    <n v="20170504"/>
    <x v="0"/>
    <m/>
    <m/>
    <s v="N"/>
    <s v="N"/>
    <s v="Y"/>
    <s v="Y"/>
    <s v="Y"/>
    <s v="N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7"/>
    <m/>
    <x v="0"/>
    <x v="1"/>
    <m/>
    <m/>
    <m/>
  </r>
  <r>
    <x v="0"/>
    <n v="314304"/>
    <n v="20094528"/>
    <n v="511704048891"/>
    <s v="PATRICIA"/>
    <s v="ROWLEY"/>
    <n v="20170407"/>
    <n v="20170504"/>
    <x v="1"/>
    <m/>
    <m/>
    <s v="N"/>
    <s v="N"/>
    <s v="Y"/>
    <s v="Y"/>
    <s v="Y"/>
    <s v="N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8"/>
    <m/>
    <x v="0"/>
    <x v="1"/>
    <m/>
    <m/>
    <m/>
  </r>
  <r>
    <x v="1"/>
    <n v="314304"/>
    <n v="20117705"/>
    <s v="DX3466C17708"/>
    <s v="WILBUR"/>
    <s v="FLORES"/>
    <n v="20170408"/>
    <n v="20170408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9"/>
    <m/>
    <x v="2"/>
    <x v="1"/>
    <m/>
    <m/>
    <m/>
  </r>
  <r>
    <x v="1"/>
    <n v="314304"/>
    <n v="20117705"/>
    <s v="DX3466C17708"/>
    <s v="WILBUR"/>
    <s v="FLORES"/>
    <n v="20170313"/>
    <n v="20170407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0"/>
    <m/>
    <x v="0"/>
    <x v="1"/>
    <m/>
    <m/>
    <m/>
  </r>
  <r>
    <x v="1"/>
    <n v="314304"/>
    <n v="20117705"/>
    <s v="DX3466C17708"/>
    <s v="WILBUR"/>
    <s v="FLORES"/>
    <n v="20170313"/>
    <n v="20170407"/>
    <x v="1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1"/>
    <m/>
    <x v="1"/>
    <x v="1"/>
    <m/>
    <m/>
    <m/>
  </r>
  <r>
    <x v="0"/>
    <n v="314304"/>
    <n v="20117705"/>
    <s v="DX3466C17708"/>
    <s v="WILBUR"/>
    <s v="FLORES"/>
    <n v="20170313"/>
    <n v="20170410"/>
    <x v="9"/>
    <m/>
    <m/>
    <s v="N"/>
    <s v="N"/>
    <s v="Y"/>
    <s v="Y"/>
    <s v="Y"/>
    <s v="Y"/>
    <s v="Y"/>
    <s v="N"/>
    <n v="20170411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2"/>
    <m/>
    <x v="0"/>
    <x v="1"/>
    <s v="Y"/>
    <m/>
    <s v="Y"/>
  </r>
  <r>
    <x v="1"/>
    <n v="314304"/>
    <n v="20118952"/>
    <n v="501704108030"/>
    <s v="ANTHONY"/>
    <s v="WALAUSKI"/>
    <n v="20170407"/>
    <n v="2017060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3"/>
    <m/>
    <x v="0"/>
    <x v="1"/>
    <m/>
    <m/>
    <m/>
  </r>
  <r>
    <x v="0"/>
    <n v="314304"/>
    <n v="20118952"/>
    <n v="501704108030"/>
    <s v="ANTHONY"/>
    <s v="WALAUSKI"/>
    <n v="20170410"/>
    <n v="2017060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4"/>
    <m/>
    <x v="0"/>
    <x v="1"/>
    <m/>
    <m/>
    <m/>
  </r>
  <r>
    <x v="0"/>
    <n v="314305"/>
    <n v="20128660"/>
    <s v="B6035AD17928"/>
    <s v="BRITTNEY"/>
    <s v="ORTIZ"/>
    <n v="20170413"/>
    <n v="20170428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5"/>
    <m/>
    <x v="1"/>
    <x v="1"/>
    <m/>
    <m/>
    <m/>
  </r>
  <r>
    <x v="0"/>
    <n v="314304"/>
    <n v="20137431"/>
    <n v="511702148171"/>
    <s v="DEISI"/>
    <s v="CHAVEZ-TREVIZO"/>
    <n v="20170318"/>
    <n v="2017051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6"/>
    <m/>
    <x v="0"/>
    <x v="1"/>
    <m/>
    <m/>
    <m/>
  </r>
  <r>
    <x v="1"/>
    <n v="314304"/>
    <n v="20178860"/>
    <s v="HZ3795D17728"/>
    <s v="JAMES"/>
    <s v="FEATHERSTONE"/>
    <n v="20170401"/>
    <n v="20170401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7"/>
    <m/>
    <x v="2"/>
    <x v="1"/>
    <m/>
    <m/>
    <m/>
  </r>
  <r>
    <x v="1"/>
    <n v="314304"/>
    <n v="20178860"/>
    <n v="571704058377"/>
    <s v="JAMES"/>
    <s v="FEATHERSTONE"/>
    <n v="20170323"/>
    <n v="20170422"/>
    <x v="0"/>
    <m/>
    <m/>
    <s v="N"/>
    <s v="N"/>
    <s v="Y"/>
    <s v="Y"/>
    <s v="Y"/>
    <s v="Y"/>
    <s v="Y"/>
    <s v="N"/>
    <n v="2017040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8"/>
    <m/>
    <x v="0"/>
    <x v="1"/>
    <m/>
    <m/>
    <m/>
  </r>
  <r>
    <x v="0"/>
    <n v="314304"/>
    <n v="20178860"/>
    <n v="571704058377"/>
    <s v="JAMES"/>
    <s v="FEATHERSTONE"/>
    <n v="20170323"/>
    <n v="2017050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9"/>
    <m/>
    <x v="0"/>
    <x v="1"/>
    <s v="Y"/>
    <m/>
    <m/>
  </r>
  <r>
    <x v="0"/>
    <n v="314304"/>
    <n v="20178860"/>
    <n v="571704058377"/>
    <s v="JAMES"/>
    <s v="FEATHERSTONE"/>
    <n v="20170330"/>
    <n v="20170505"/>
    <x v="1"/>
    <m/>
    <m/>
    <s v="N"/>
    <s v="N"/>
    <s v="Y"/>
    <s v="Y"/>
    <s v="Y"/>
    <s v="Y"/>
    <s v="Y"/>
    <s v="N"/>
    <n v="2017040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90"/>
    <m/>
    <x v="0"/>
    <x v="1"/>
    <s v="Y"/>
    <m/>
    <s v="Y"/>
  </r>
  <r>
    <x v="0"/>
    <n v="314304"/>
    <n v="20241456"/>
    <n v="571702248237"/>
    <s v="SAMANTHA"/>
    <s v="GOMEZ"/>
    <n v="20170331"/>
    <n v="20170609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91"/>
    <m/>
    <x v="0"/>
    <x v="1"/>
    <m/>
    <m/>
    <m/>
  </r>
  <r>
    <x v="0"/>
    <n v="314304"/>
    <n v="20241456"/>
    <n v="571702248237"/>
    <s v="SAMANTHA"/>
    <s v="GOMEZ"/>
    <n v="20170407"/>
    <n v="2017060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92"/>
    <m/>
    <x v="0"/>
    <x v="1"/>
    <m/>
    <m/>
    <m/>
  </r>
  <r>
    <x v="1"/>
    <n v="314304"/>
    <n v="20270766"/>
    <n v="541703208324"/>
    <s v="KQUEMURA"/>
    <s v="BUFFORD"/>
    <n v="20170314"/>
    <n v="20170314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93"/>
    <m/>
    <x v="3"/>
    <x v="1"/>
    <m/>
    <m/>
    <m/>
  </r>
  <r>
    <x v="0"/>
    <n v="314304"/>
    <n v="20270766"/>
    <n v="541703208324"/>
    <s v="KQUEMURA"/>
    <s v="BUFFORD"/>
    <n v="20170315"/>
    <n v="2017053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94"/>
    <m/>
    <x v="0"/>
    <x v="1"/>
    <m/>
    <m/>
    <m/>
  </r>
  <r>
    <x v="0"/>
    <n v="314304"/>
    <n v="20270766"/>
    <n v="541703208324"/>
    <s v="KQUEMURA"/>
    <s v="BUFFORD"/>
    <n v="20170322"/>
    <n v="20170531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95"/>
    <m/>
    <x v="0"/>
    <x v="1"/>
    <m/>
    <m/>
    <m/>
  </r>
  <r>
    <x v="0"/>
    <n v="314304"/>
    <n v="20284689"/>
    <n v="551704138705"/>
    <s v="ZAIN"/>
    <s v="IRFAN"/>
    <n v="20170413"/>
    <n v="2017051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96"/>
    <m/>
    <x v="0"/>
    <x v="1"/>
    <m/>
    <m/>
    <m/>
  </r>
  <r>
    <x v="0"/>
    <n v="314304"/>
    <n v="20411817"/>
    <n v="531703278503"/>
    <s v="MICAH"/>
    <s v="FIELDS"/>
    <n v="20170410"/>
    <n v="20170813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97"/>
    <m/>
    <x v="0"/>
    <x v="1"/>
    <m/>
    <m/>
    <m/>
  </r>
  <r>
    <x v="1"/>
    <n v="314301"/>
    <n v="20460427"/>
    <n v="551704118315"/>
    <s v="WILLIAM"/>
    <s v="TORPEY"/>
    <n v="20170408"/>
    <n v="2017051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98"/>
    <m/>
    <x v="0"/>
    <x v="1"/>
    <m/>
    <m/>
    <m/>
  </r>
  <r>
    <x v="0"/>
    <n v="314301"/>
    <n v="20460427"/>
    <n v="551704118315"/>
    <s v="WILLIAM"/>
    <s v="TORPEY"/>
    <n v="20170411"/>
    <n v="2017051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99"/>
    <m/>
    <x v="0"/>
    <x v="1"/>
    <m/>
    <m/>
    <m/>
  </r>
  <r>
    <x v="1"/>
    <n v="314304"/>
    <n v="20471380"/>
    <n v="501703018068"/>
    <s v="CHRISTOPHER"/>
    <s v="LAUTH"/>
    <n v="20170228"/>
    <n v="20170319"/>
    <x v="1"/>
    <m/>
    <m/>
    <s v="N"/>
    <s v="N"/>
    <s v="Y"/>
    <s v="Y"/>
    <s v="Y"/>
    <s v="Y"/>
    <s v="Y"/>
    <s v="N"/>
    <n v="2017032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00"/>
    <m/>
    <x v="0"/>
    <x v="1"/>
    <m/>
    <m/>
    <m/>
  </r>
  <r>
    <x v="0"/>
    <n v="314304"/>
    <n v="20471380"/>
    <s v="KE5651C17508"/>
    <s v="CHRISTOPHER"/>
    <s v="LAUTH"/>
    <n v="20170320"/>
    <n v="2017032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01"/>
    <m/>
    <x v="2"/>
    <x v="1"/>
    <m/>
    <m/>
    <m/>
  </r>
  <r>
    <x v="0"/>
    <n v="314304"/>
    <n v="20485860"/>
    <n v="521703158352"/>
    <s v="ALLISON"/>
    <s v="CARPENTIER"/>
    <n v="20170412"/>
    <n v="2017051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02"/>
    <m/>
    <x v="0"/>
    <x v="1"/>
    <m/>
    <m/>
    <m/>
  </r>
  <r>
    <x v="0"/>
    <n v="314304"/>
    <n v="20522127"/>
    <n v="531704138753"/>
    <s v="KORIANN"/>
    <s v="BISHOP"/>
    <n v="20170413"/>
    <n v="2017071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03"/>
    <m/>
    <x v="0"/>
    <x v="1"/>
    <m/>
    <m/>
    <m/>
  </r>
  <r>
    <x v="1"/>
    <n v="314304"/>
    <n v="20588340"/>
    <s v="AU9156D17828"/>
    <s v="MARY"/>
    <s v="REED"/>
    <n v="20170405"/>
    <n v="20170505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04"/>
    <m/>
    <x v="1"/>
    <x v="1"/>
    <m/>
    <m/>
    <m/>
  </r>
  <r>
    <x v="0"/>
    <n v="314304"/>
    <n v="20588340"/>
    <s v="AU9156D17828"/>
    <s v="MARY"/>
    <s v="REED"/>
    <n v="20170405"/>
    <n v="20170417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05"/>
    <m/>
    <x v="1"/>
    <x v="1"/>
    <m/>
    <m/>
    <m/>
  </r>
  <r>
    <x v="0"/>
    <n v="314304"/>
    <n v="20591745"/>
    <s v="BM206MA17487"/>
    <s v="BEATRIZ"/>
    <s v="FAJARDO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06"/>
    <m/>
    <x v="2"/>
    <x v="1"/>
    <m/>
    <m/>
    <m/>
  </r>
  <r>
    <x v="0"/>
    <n v="314304"/>
    <n v="20596489"/>
    <n v="501704138740"/>
    <s v="DIANA"/>
    <s v="DE LEON"/>
    <n v="20170408"/>
    <n v="20170512"/>
    <x v="0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07"/>
    <m/>
    <x v="0"/>
    <x v="1"/>
    <m/>
    <m/>
    <m/>
  </r>
  <r>
    <x v="0"/>
    <n v="314301"/>
    <n v="20601065"/>
    <n v="561703308226"/>
    <s v="CHRISTOPHER"/>
    <s v="ALBERS"/>
    <n v="20170324"/>
    <n v="20170415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08"/>
    <m/>
    <x v="0"/>
    <x v="1"/>
    <m/>
    <m/>
    <s v="Y"/>
  </r>
  <r>
    <x v="0"/>
    <n v="314304"/>
    <n v="20611613"/>
    <s v="HG0885D17728"/>
    <s v="ARACELI"/>
    <s v="HERNANDEZ"/>
    <n v="20170413"/>
    <n v="20170622"/>
    <x v="8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09"/>
    <m/>
    <x v="0"/>
    <x v="1"/>
    <m/>
    <m/>
    <m/>
  </r>
  <r>
    <x v="1"/>
    <n v="314304"/>
    <n v="20767813"/>
    <n v="501703238908"/>
    <s v="BRIAN"/>
    <s v="HOLMES"/>
    <n v="20170318"/>
    <n v="20170417"/>
    <x v="0"/>
    <m/>
    <m/>
    <s v="Y"/>
    <m/>
    <m/>
    <m/>
    <m/>
    <m/>
    <m/>
    <m/>
    <n v="20170328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10"/>
    <m/>
    <x v="0"/>
    <x v="1"/>
    <m/>
    <m/>
    <m/>
  </r>
  <r>
    <x v="0"/>
    <n v="314304"/>
    <n v="20767813"/>
    <n v="501703238908"/>
    <s v="BRIAN"/>
    <s v="HOLMES"/>
    <n v="20170320"/>
    <n v="20170422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11"/>
    <m/>
    <x v="0"/>
    <x v="1"/>
    <m/>
    <m/>
    <m/>
  </r>
  <r>
    <x v="0"/>
    <n v="314304"/>
    <n v="20767813"/>
    <n v="501703238908"/>
    <s v="BRIAN"/>
    <s v="HOLMES"/>
    <n v="20170327"/>
    <n v="20170422"/>
    <x v="1"/>
    <m/>
    <m/>
    <s v="Y"/>
    <m/>
    <m/>
    <m/>
    <m/>
    <m/>
    <m/>
    <m/>
    <n v="20170328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12"/>
    <m/>
    <x v="0"/>
    <x v="1"/>
    <m/>
    <m/>
    <s v="Y"/>
  </r>
  <r>
    <x v="0"/>
    <n v="314301"/>
    <n v="20773896"/>
    <n v="501703068800"/>
    <s v="KAREN"/>
    <s v="HAMPTON"/>
    <n v="20170328"/>
    <n v="20170529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13"/>
    <m/>
    <x v="0"/>
    <x v="1"/>
    <m/>
    <m/>
    <m/>
  </r>
  <r>
    <x v="0"/>
    <n v="314301"/>
    <n v="20773896"/>
    <n v="501703068800"/>
    <s v="KAREN"/>
    <s v="HAMPTON"/>
    <n v="20170404"/>
    <n v="2017052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14"/>
    <m/>
    <x v="0"/>
    <x v="1"/>
    <m/>
    <m/>
    <m/>
  </r>
  <r>
    <x v="0"/>
    <n v="314304"/>
    <n v="20794650"/>
    <n v="531702278553"/>
    <s v="SHAMIKA"/>
    <s v="WARREN"/>
    <n v="20170306"/>
    <n v="20170416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15"/>
    <m/>
    <x v="0"/>
    <x v="1"/>
    <m/>
    <m/>
    <s v="Y"/>
  </r>
  <r>
    <x v="1"/>
    <n v="314301"/>
    <n v="20808549"/>
    <n v="561701078596"/>
    <s v="NASHA"/>
    <s v="PALM"/>
    <n v="20170308"/>
    <n v="20170502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16"/>
    <m/>
    <x v="0"/>
    <x v="1"/>
    <m/>
    <m/>
    <m/>
  </r>
  <r>
    <x v="0"/>
    <n v="314301"/>
    <n v="20808549"/>
    <n v="561701078596"/>
    <s v="NASHA"/>
    <s v="PALM"/>
    <n v="20170308"/>
    <n v="20170402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17"/>
    <m/>
    <x v="0"/>
    <x v="1"/>
    <m/>
    <m/>
    <m/>
  </r>
  <r>
    <x v="0"/>
    <n v="314301"/>
    <n v="20808549"/>
    <s v="JJ0267A17577"/>
    <s v="NASHA"/>
    <s v="PALM"/>
    <n v="20170403"/>
    <n v="20170402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18"/>
    <m/>
    <x v="1"/>
    <x v="1"/>
    <m/>
    <m/>
    <m/>
  </r>
  <r>
    <x v="0"/>
    <n v="314301"/>
    <n v="20808549"/>
    <s v="JJ0267A17577"/>
    <s v="NASHA"/>
    <s v="PALM"/>
    <n v="20170403"/>
    <n v="2017040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19"/>
    <m/>
    <x v="2"/>
    <x v="1"/>
    <m/>
    <m/>
    <m/>
  </r>
  <r>
    <x v="1"/>
    <n v="314305"/>
    <n v="20832796"/>
    <n v="291701308039"/>
    <s v="MAXCELIA"/>
    <s v="JOSEPH"/>
    <n v="20161114"/>
    <n v="20170416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20"/>
    <m/>
    <x v="0"/>
    <x v="1"/>
    <m/>
    <m/>
    <m/>
  </r>
  <r>
    <x v="0"/>
    <n v="314305"/>
    <n v="20832796"/>
    <n v="291701308039"/>
    <s v="MAXCELIA"/>
    <s v="JOSEPH"/>
    <n v="20161114"/>
    <n v="2017042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21"/>
    <m/>
    <x v="0"/>
    <x v="1"/>
    <m/>
    <m/>
    <m/>
  </r>
  <r>
    <x v="0"/>
    <n v="314304"/>
    <n v="20980115"/>
    <n v="551704138695"/>
    <s v="NATOYA"/>
    <s v="JONES"/>
    <n v="20170413"/>
    <n v="20170513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22"/>
    <m/>
    <x v="0"/>
    <x v="1"/>
    <m/>
    <m/>
    <m/>
  </r>
  <r>
    <x v="0"/>
    <n v="314304"/>
    <n v="20983127"/>
    <s v="GC898DD17138"/>
    <s v="MARISSA"/>
    <s v="ALBA"/>
    <n v="20170413"/>
    <n v="20170427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23"/>
    <m/>
    <x v="1"/>
    <x v="1"/>
    <m/>
    <m/>
    <m/>
  </r>
  <r>
    <x v="1"/>
    <n v="314304"/>
    <n v="21000736"/>
    <s v="JK691WC17328"/>
    <s v="HEATHER"/>
    <s v="BARVITZ"/>
    <n v="20170412"/>
    <n v="20170412"/>
    <x v="4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24"/>
    <m/>
    <x v="2"/>
    <x v="1"/>
    <m/>
    <m/>
    <m/>
  </r>
  <r>
    <x v="1"/>
    <n v="314304"/>
    <n v="21000736"/>
    <s v="JK691WC17328"/>
    <s v="HEATHER"/>
    <s v="BARVITZ"/>
    <n v="20170314"/>
    <n v="20170411"/>
    <x v="3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25"/>
    <m/>
    <x v="1"/>
    <x v="1"/>
    <m/>
    <m/>
    <m/>
  </r>
  <r>
    <x v="0"/>
    <n v="314304"/>
    <n v="21000736"/>
    <n v="291704138959"/>
    <s v="HEATHER"/>
    <s v="BARVITZ"/>
    <n v="20170312"/>
    <n v="20170312"/>
    <x v="5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26"/>
    <m/>
    <x v="3"/>
    <x v="1"/>
    <s v="Y"/>
    <m/>
    <m/>
  </r>
  <r>
    <x v="0"/>
    <n v="314304"/>
    <n v="21004480"/>
    <n v="531702158503"/>
    <s v="LANA"/>
    <s v="CARMADELLO"/>
    <n v="20170309"/>
    <n v="20170416"/>
    <x v="1"/>
    <m/>
    <m/>
    <s v="N"/>
    <s v="N"/>
    <s v="Y"/>
    <s v="Y"/>
    <s v="Y"/>
    <s v="Y"/>
    <s v="Y"/>
    <s v="N"/>
    <n v="20170417"/>
    <m/>
    <m/>
    <m/>
    <m/>
    <n v="484"/>
    <s v="W5"/>
    <n v="20170309"/>
    <n v="20170416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27"/>
    <m/>
    <x v="0"/>
    <x v="1"/>
    <m/>
    <m/>
    <s v="Y"/>
  </r>
  <r>
    <x v="1"/>
    <n v="314304"/>
    <n v="21006271"/>
    <n v="531703288843"/>
    <s v="DEBRA"/>
    <s v="FIRANZI"/>
    <n v="20170329"/>
    <n v="20170502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28"/>
    <m/>
    <x v="0"/>
    <x v="1"/>
    <m/>
    <m/>
    <m/>
  </r>
  <r>
    <x v="1"/>
    <n v="314304"/>
    <n v="21006271"/>
    <n v="531703288843"/>
    <s v="DEBRA"/>
    <s v="FIRANZI"/>
    <n v="20170322"/>
    <n v="2017050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29"/>
    <m/>
    <x v="0"/>
    <x v="1"/>
    <m/>
    <m/>
    <m/>
  </r>
  <r>
    <x v="0"/>
    <n v="314304"/>
    <n v="21006271"/>
    <n v="531703288843"/>
    <s v="DEBRA"/>
    <s v="FIRANZI"/>
    <n v="20170329"/>
    <n v="2017050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30"/>
    <m/>
    <x v="0"/>
    <x v="1"/>
    <m/>
    <m/>
    <m/>
  </r>
  <r>
    <x v="0"/>
    <n v="314304"/>
    <n v="21006271"/>
    <n v="531703288843"/>
    <s v="DEBRA"/>
    <s v="FIRANZI"/>
    <n v="20170405"/>
    <n v="20170502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31"/>
    <m/>
    <x v="0"/>
    <x v="1"/>
    <m/>
    <m/>
    <m/>
  </r>
  <r>
    <x v="0"/>
    <n v="314304"/>
    <n v="21026605"/>
    <n v="511702098559"/>
    <s v="LETICIA"/>
    <s v="CARRILLO"/>
    <n v="20170413"/>
    <n v="20170508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32"/>
    <m/>
    <x v="0"/>
    <x v="1"/>
    <m/>
    <m/>
    <m/>
  </r>
  <r>
    <x v="0"/>
    <n v="314304"/>
    <n v="21031075"/>
    <s v="MJ128DD17138"/>
    <s v="MONSERRAT"/>
    <s v="JIMENEZ"/>
    <n v="20170412"/>
    <n v="20170426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33"/>
    <m/>
    <x v="1"/>
    <x v="1"/>
    <m/>
    <m/>
    <m/>
  </r>
  <r>
    <x v="0"/>
    <n v="314304"/>
    <n v="21067016"/>
    <n v="521704048132"/>
    <s v="DIANA"/>
    <s v="MOYANO"/>
    <n v="20170412"/>
    <n v="20170729"/>
    <x v="1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34"/>
    <m/>
    <x v="0"/>
    <x v="1"/>
    <m/>
    <m/>
    <m/>
  </r>
  <r>
    <x v="0"/>
    <n v="314304"/>
    <n v="21087486"/>
    <n v="501704068570"/>
    <s v="RYANNE"/>
    <s v="MORABITO"/>
    <n v="20170413"/>
    <n v="20170622"/>
    <x v="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35"/>
    <m/>
    <x v="0"/>
    <x v="1"/>
    <m/>
    <m/>
    <m/>
  </r>
  <r>
    <x v="0"/>
    <n v="314304"/>
    <n v="21098116"/>
    <n v="501704128658"/>
    <s v="CHENELL"/>
    <s v="LEWIS"/>
    <n v="20170413"/>
    <n v="20170513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36"/>
    <m/>
    <x v="0"/>
    <x v="1"/>
    <m/>
    <m/>
    <m/>
  </r>
  <r>
    <x v="0"/>
    <n v="314304"/>
    <n v="21108816"/>
    <n v="561703078126"/>
    <s v="RUTH"/>
    <s v="JAMES"/>
    <n v="20170320"/>
    <n v="2017051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37"/>
    <m/>
    <x v="0"/>
    <x v="1"/>
    <m/>
    <m/>
    <m/>
  </r>
  <r>
    <x v="0"/>
    <n v="314304"/>
    <n v="21108816"/>
    <n v="561703078126"/>
    <s v="RUTH"/>
    <s v="JAMES"/>
    <n v="20170327"/>
    <n v="20170515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38"/>
    <m/>
    <x v="0"/>
    <x v="1"/>
    <m/>
    <m/>
    <m/>
  </r>
  <r>
    <x v="0"/>
    <n v="314305"/>
    <n v="21108912"/>
    <n v="511703308299"/>
    <s v="STEPHANIE"/>
    <s v="VARELA"/>
    <n v="20170406"/>
    <n v="2017042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39"/>
    <m/>
    <x v="0"/>
    <x v="1"/>
    <m/>
    <m/>
    <m/>
  </r>
  <r>
    <x v="1"/>
    <n v="314304"/>
    <n v="21182693"/>
    <s v="JY0362C17508"/>
    <s v="BENJAMIN"/>
    <s v="VALLEJO"/>
    <n v="20170406"/>
    <n v="20170406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40"/>
    <m/>
    <x v="2"/>
    <x v="1"/>
    <m/>
    <m/>
    <m/>
  </r>
  <r>
    <x v="1"/>
    <n v="314304"/>
    <n v="21182693"/>
    <s v="JY0362C17508"/>
    <s v="BENJAMIN"/>
    <s v="VALLEJO"/>
    <n v="20170306"/>
    <n v="20170405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41"/>
    <m/>
    <x v="0"/>
    <x v="1"/>
    <m/>
    <m/>
    <m/>
  </r>
  <r>
    <x v="0"/>
    <n v="314304"/>
    <n v="21182693"/>
    <s v="JY0362C17508"/>
    <s v="BENJAMIN"/>
    <s v="VALLEJO"/>
    <n v="20170306"/>
    <n v="20170411"/>
    <x v="9"/>
    <m/>
    <m/>
    <s v="N"/>
    <s v="N"/>
    <s v="Y"/>
    <s v="Y"/>
    <s v="Y"/>
    <s v="Y"/>
    <s v="Y"/>
    <s v="N"/>
    <n v="2017041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42"/>
    <m/>
    <x v="0"/>
    <x v="1"/>
    <s v="Y"/>
    <m/>
    <s v="Y"/>
  </r>
  <r>
    <x v="0"/>
    <n v="314301"/>
    <n v="21261473"/>
    <n v="551702148335"/>
    <s v="DAVID"/>
    <s v="BURRELL"/>
    <n v="20170410"/>
    <n v="20170416"/>
    <x v="2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43"/>
    <m/>
    <x v="0"/>
    <x v="1"/>
    <m/>
    <m/>
    <s v="Y"/>
  </r>
  <r>
    <x v="0"/>
    <n v="314301"/>
    <n v="21292731"/>
    <s v="K2010TA17787"/>
    <s v="ALLISON"/>
    <s v="ARIYIBI"/>
    <n v="20170320"/>
    <n v="20170416"/>
    <x v="3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44"/>
    <m/>
    <x v="1"/>
    <x v="1"/>
    <m/>
    <m/>
    <s v="Y"/>
  </r>
  <r>
    <x v="0"/>
    <n v="314301"/>
    <n v="21313602"/>
    <s v="EK0148C17908"/>
    <s v="JAMES"/>
    <s v="DEZARN"/>
    <n v="20170308"/>
    <n v="20170416"/>
    <x v="9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45"/>
    <m/>
    <x v="0"/>
    <x v="1"/>
    <m/>
    <m/>
    <s v="Y"/>
  </r>
  <r>
    <x v="0"/>
    <n v="314304"/>
    <n v="21342963"/>
    <n v="551704028525"/>
    <s v="AMANDA"/>
    <s v="FELONG"/>
    <n v="20170327"/>
    <n v="20170502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46"/>
    <m/>
    <x v="0"/>
    <x v="1"/>
    <m/>
    <m/>
    <m/>
  </r>
  <r>
    <x v="0"/>
    <n v="314304"/>
    <n v="21342963"/>
    <n v="551704028525"/>
    <s v="AMANDA"/>
    <s v="FELONG"/>
    <n v="20170403"/>
    <n v="20170502"/>
    <x v="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47"/>
    <m/>
    <x v="0"/>
    <x v="1"/>
    <m/>
    <m/>
    <m/>
  </r>
  <r>
    <x v="0"/>
    <n v="314304"/>
    <n v="21344686"/>
    <n v="511702108681"/>
    <s v="CHRISTINE"/>
    <s v="HERNANDEZ"/>
    <n v="20170413"/>
    <n v="20170630"/>
    <x v="1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48"/>
    <m/>
    <x v="0"/>
    <x v="1"/>
    <m/>
    <m/>
    <m/>
  </r>
  <r>
    <x v="0"/>
    <n v="314304"/>
    <n v="21371610"/>
    <n v="511704138819"/>
    <s v="MARIA"/>
    <s v="NASSER"/>
    <n v="20170412"/>
    <n v="2017051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49"/>
    <m/>
    <x v="0"/>
    <x v="1"/>
    <m/>
    <m/>
    <m/>
  </r>
  <r>
    <x v="0"/>
    <n v="314304"/>
    <n v="21384483"/>
    <s v="AR6445N16557"/>
    <s v="BREA"/>
    <s v="FAIRLEY"/>
    <n v="20161110"/>
    <n v="20170417"/>
    <x v="3"/>
    <m/>
    <m/>
    <s v="N"/>
    <s v="N"/>
    <s v="Y"/>
    <s v="Y"/>
    <s v="Y"/>
    <s v="Y"/>
    <s v="Y"/>
    <s v="N"/>
    <n v="20170417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50"/>
    <m/>
    <x v="1"/>
    <x v="1"/>
    <m/>
    <m/>
    <s v="Y"/>
  </r>
  <r>
    <x v="0"/>
    <n v="314304"/>
    <n v="21387482"/>
    <n v="501702178958"/>
    <s v="MICHAEL"/>
    <s v="TURNER"/>
    <n v="20170410"/>
    <n v="2017052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51"/>
    <m/>
    <x v="0"/>
    <x v="1"/>
    <m/>
    <m/>
    <m/>
  </r>
  <r>
    <x v="1"/>
    <n v="314304"/>
    <n v="21398515"/>
    <s v="DW9233A17277"/>
    <s v="CHARRISMA"/>
    <s v="ALSTON"/>
    <n v="20161115"/>
    <n v="20161115"/>
    <x v="5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52"/>
    <m/>
    <x v="3"/>
    <x v="1"/>
    <m/>
    <m/>
    <m/>
  </r>
  <r>
    <x v="0"/>
    <n v="314304"/>
    <n v="21398515"/>
    <s v="DW9233A17277"/>
    <s v="CHARRISMA"/>
    <s v="ALSTON"/>
    <n v="20161115"/>
    <n v="20161115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53"/>
    <m/>
    <x v="2"/>
    <x v="1"/>
    <m/>
    <m/>
    <m/>
  </r>
  <r>
    <x v="0"/>
    <n v="314304"/>
    <n v="21398515"/>
    <s v="DW9233A17277"/>
    <s v="CHARRISMA"/>
    <s v="ALSTON"/>
    <n v="20161217"/>
    <n v="20170330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54"/>
    <m/>
    <x v="1"/>
    <x v="1"/>
    <m/>
    <m/>
    <m/>
  </r>
  <r>
    <x v="0"/>
    <n v="314304"/>
    <n v="21442566"/>
    <n v="511703038551"/>
    <s v="TARA"/>
    <s v="STALCUP"/>
    <n v="20170320"/>
    <n v="20170724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55"/>
    <m/>
    <x v="0"/>
    <x v="1"/>
    <m/>
    <m/>
    <m/>
  </r>
  <r>
    <x v="0"/>
    <n v="314304"/>
    <n v="21525093"/>
    <s v="B8484XC17428"/>
    <s v="SHARDAY"/>
    <s v="DAUGHERTY"/>
    <n v="20170413"/>
    <n v="20170716"/>
    <x v="8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56"/>
    <m/>
    <x v="0"/>
    <x v="1"/>
    <m/>
    <m/>
    <m/>
  </r>
  <r>
    <x v="0"/>
    <n v="314304"/>
    <n v="21541845"/>
    <s v="JG512RB17208"/>
    <s v="EILEEN"/>
    <s v="ESPARZA"/>
    <n v="20170403"/>
    <n v="20170416"/>
    <x v="7"/>
    <m/>
    <s v="Medical"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57"/>
    <m/>
    <x v="1"/>
    <x v="1"/>
    <m/>
    <m/>
    <s v="Y"/>
  </r>
  <r>
    <x v="1"/>
    <n v="314304"/>
    <n v="21551079"/>
    <n v="501703248170"/>
    <s v="RACHEL"/>
    <s v="OCONNELL"/>
    <n v="20170329"/>
    <n v="20170423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58"/>
    <m/>
    <x v="0"/>
    <x v="1"/>
    <m/>
    <m/>
    <m/>
  </r>
  <r>
    <x v="0"/>
    <n v="314304"/>
    <n v="21551079"/>
    <n v="501703248170"/>
    <s v="RACHEL"/>
    <s v="OCONNELL"/>
    <n v="20170329"/>
    <n v="20170422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59"/>
    <m/>
    <x v="0"/>
    <x v="1"/>
    <m/>
    <m/>
    <m/>
  </r>
  <r>
    <x v="1"/>
    <n v="314304"/>
    <n v="21554728"/>
    <s v="CD216VC17228"/>
    <s v="JACELY"/>
    <s v="ALCANTARA"/>
    <n v="20170324"/>
    <n v="20170408"/>
    <x v="14"/>
    <m/>
    <m/>
    <s v="N"/>
    <s v="N"/>
    <s v="Y"/>
    <s v="Y"/>
    <s v="Y"/>
    <s v="Y"/>
    <s v="Y"/>
    <s v="N"/>
    <n v="20170409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60"/>
    <m/>
    <x v="0"/>
    <x v="1"/>
    <m/>
    <m/>
    <m/>
  </r>
  <r>
    <x v="0"/>
    <n v="314304"/>
    <n v="21554728"/>
    <s v="CD216VC17228"/>
    <s v="JACELY"/>
    <s v="ALCANTARA"/>
    <n v="20170324"/>
    <n v="20170411"/>
    <x v="14"/>
    <m/>
    <m/>
    <s v="N"/>
    <s v="N"/>
    <s v="Y"/>
    <s v="Y"/>
    <s v="Y"/>
    <s v="Y"/>
    <s v="Y"/>
    <s v="N"/>
    <n v="2017041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61"/>
    <m/>
    <x v="0"/>
    <x v="1"/>
    <m/>
    <m/>
    <s v="Y"/>
  </r>
  <r>
    <x v="1"/>
    <n v="314304"/>
    <n v="21556170"/>
    <n v="521702018142"/>
    <s v="SHERVIN"/>
    <s v="DIRINPOUR"/>
    <n v="20170405"/>
    <n v="20170423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62"/>
    <m/>
    <x v="0"/>
    <x v="1"/>
    <m/>
    <m/>
    <m/>
  </r>
  <r>
    <x v="0"/>
    <n v="314304"/>
    <n v="21556170"/>
    <n v="521702018142"/>
    <s v="SHERVIN"/>
    <s v="DIRINPOUR"/>
    <n v="20170405"/>
    <n v="20170409"/>
    <x v="2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63"/>
    <m/>
    <x v="0"/>
    <x v="1"/>
    <m/>
    <m/>
    <s v="Y"/>
  </r>
  <r>
    <x v="1"/>
    <n v="314304"/>
    <n v="21559330"/>
    <s v="J82974C17608"/>
    <s v="BRITTANY"/>
    <s v="FLYNN"/>
    <n v="20170314"/>
    <n v="20170314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64"/>
    <m/>
    <x v="2"/>
    <x v="1"/>
    <m/>
    <m/>
    <m/>
  </r>
  <r>
    <x v="1"/>
    <n v="314304"/>
    <n v="21559330"/>
    <s v="J82974C17608"/>
    <s v="BRITTANY"/>
    <s v="FLYNN"/>
    <n v="20170224"/>
    <n v="20170313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65"/>
    <m/>
    <x v="1"/>
    <x v="1"/>
    <m/>
    <m/>
    <m/>
  </r>
  <r>
    <x v="0"/>
    <n v="314304"/>
    <n v="21559330"/>
    <s v="J82974C17608"/>
    <s v="BRITTANY"/>
    <s v="FLYNN"/>
    <n v="20170224"/>
    <n v="20170224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66"/>
    <m/>
    <x v="3"/>
    <x v="1"/>
    <s v="Y"/>
    <m/>
    <m/>
  </r>
  <r>
    <x v="1"/>
    <n v="314304"/>
    <n v="21568955"/>
    <s v="BM109DB17697"/>
    <s v="MARIAN"/>
    <s v="PRICE"/>
    <n v="20170218"/>
    <n v="20170203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67"/>
    <m/>
    <x v="1"/>
    <x v="1"/>
    <m/>
    <m/>
    <m/>
  </r>
  <r>
    <x v="1"/>
    <n v="314304"/>
    <n v="21568955"/>
    <n v="281703298198"/>
    <s v="MARIAN"/>
    <s v="PRICE"/>
    <n v="20170211"/>
    <n v="20170203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68"/>
    <m/>
    <x v="0"/>
    <x v="1"/>
    <m/>
    <m/>
    <m/>
  </r>
  <r>
    <x v="1"/>
    <n v="314304"/>
    <n v="21568955"/>
    <s v="BM109DB17697"/>
    <s v="MARIAN"/>
    <s v="PRICE"/>
    <n v="20170204"/>
    <n v="20170204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69"/>
    <m/>
    <x v="2"/>
    <x v="1"/>
    <m/>
    <m/>
    <m/>
  </r>
  <r>
    <x v="1"/>
    <n v="314304"/>
    <n v="21568955"/>
    <s v="BM109DB17697"/>
    <s v="MARIAN"/>
    <s v="PRICE"/>
    <n v="20170204"/>
    <n v="20170204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70"/>
    <m/>
    <x v="2"/>
    <x v="1"/>
    <m/>
    <m/>
    <m/>
  </r>
  <r>
    <x v="0"/>
    <n v="314304"/>
    <n v="21568955"/>
    <n v="281703298198"/>
    <s v="MARIAN"/>
    <s v="PRICE"/>
    <n v="20170211"/>
    <n v="2017040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71"/>
    <m/>
    <x v="0"/>
    <x v="1"/>
    <s v="Y"/>
    <m/>
    <m/>
  </r>
  <r>
    <x v="0"/>
    <n v="314304"/>
    <n v="21568955"/>
    <s v="BM109DB17697"/>
    <s v="MARIAN"/>
    <s v="PRICE"/>
    <n v="20170218"/>
    <n v="20170405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72"/>
    <m/>
    <x v="1"/>
    <x v="1"/>
    <s v="Y"/>
    <m/>
    <m/>
  </r>
  <r>
    <x v="0"/>
    <n v="314304"/>
    <n v="21568955"/>
    <s v="BM109DB17697"/>
    <s v="MARIAN"/>
    <s v="PRICE"/>
    <n v="20170406"/>
    <n v="20170406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73"/>
    <m/>
    <x v="2"/>
    <x v="1"/>
    <m/>
    <m/>
    <m/>
  </r>
  <r>
    <x v="1"/>
    <n v="314304"/>
    <n v="21585967"/>
    <n v="561702108666"/>
    <s v="ANGELICA"/>
    <s v="ESCARSEGA"/>
    <n v="20170323"/>
    <n v="2017043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74"/>
    <m/>
    <x v="0"/>
    <x v="1"/>
    <m/>
    <m/>
    <m/>
  </r>
  <r>
    <x v="0"/>
    <n v="314304"/>
    <n v="21585967"/>
    <n v="561702108666"/>
    <s v="ANGELICA"/>
    <s v="ESCARSEGA"/>
    <n v="20170323"/>
    <n v="20170418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75"/>
    <m/>
    <x v="0"/>
    <x v="1"/>
    <m/>
    <m/>
    <m/>
  </r>
  <r>
    <x v="0"/>
    <n v="314301"/>
    <n v="21666848"/>
    <s v="D9094VA17887"/>
    <s v="URSULA"/>
    <s v="RIVAS"/>
    <n v="20170303"/>
    <n v="20170511"/>
    <x v="1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76"/>
    <m/>
    <x v="1"/>
    <x v="1"/>
    <m/>
    <m/>
    <m/>
  </r>
  <r>
    <x v="1"/>
    <n v="314304"/>
    <n v="21682845"/>
    <s v="C5390PC17618"/>
    <s v="JILL"/>
    <s v="HIPSHER"/>
    <n v="20170401"/>
    <n v="20170401"/>
    <x v="4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77"/>
    <m/>
    <x v="2"/>
    <x v="1"/>
    <m/>
    <m/>
    <m/>
  </r>
  <r>
    <x v="1"/>
    <n v="314304"/>
    <n v="21682845"/>
    <n v="511703228801"/>
    <s v="JILL"/>
    <s v="HIPSHER"/>
    <n v="20170323"/>
    <n v="20170503"/>
    <x v="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78"/>
    <m/>
    <x v="0"/>
    <x v="1"/>
    <m/>
    <m/>
    <m/>
  </r>
  <r>
    <x v="1"/>
    <n v="314304"/>
    <n v="21682845"/>
    <n v="511703228801"/>
    <s v="JILL"/>
    <s v="HIPSHER"/>
    <n v="20170316"/>
    <n v="20170503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79"/>
    <m/>
    <x v="0"/>
    <x v="1"/>
    <m/>
    <m/>
    <m/>
  </r>
  <r>
    <x v="0"/>
    <n v="314304"/>
    <n v="21682845"/>
    <n v="511703228801"/>
    <s v="JILL"/>
    <s v="HIPSHER"/>
    <n v="20170316"/>
    <n v="20170316"/>
    <x v="5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80"/>
    <m/>
    <x v="3"/>
    <x v="1"/>
    <s v="Y"/>
    <m/>
    <m/>
  </r>
  <r>
    <x v="0"/>
    <n v="314304"/>
    <n v="21683774"/>
    <n v="521704128632"/>
    <s v="DAVID"/>
    <s v="GUNYUZLU"/>
    <n v="20170413"/>
    <n v="2017052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81"/>
    <m/>
    <x v="0"/>
    <x v="1"/>
    <m/>
    <m/>
    <m/>
  </r>
  <r>
    <x v="1"/>
    <n v="314304"/>
    <n v="21695282"/>
    <s v="JN314XC17428"/>
    <s v="CHERI"/>
    <s v="NELMS"/>
    <n v="20170404"/>
    <n v="20170404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82"/>
    <m/>
    <x v="2"/>
    <x v="1"/>
    <m/>
    <m/>
    <m/>
  </r>
  <r>
    <x v="1"/>
    <n v="314304"/>
    <n v="21695282"/>
    <s v="JN314XC17428"/>
    <s v="CHERI"/>
    <s v="NELMS"/>
    <n v="20170320"/>
    <n v="20170403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83"/>
    <m/>
    <x v="1"/>
    <x v="1"/>
    <m/>
    <m/>
    <m/>
  </r>
  <r>
    <x v="0"/>
    <n v="314304"/>
    <n v="21695282"/>
    <s v="JN314XC17428"/>
    <s v="CHERI"/>
    <s v="NELMS"/>
    <n v="20170320"/>
    <n v="20170402"/>
    <x v="3"/>
    <m/>
    <m/>
    <s v="N"/>
    <s v="N"/>
    <s v="Y"/>
    <s v="Y"/>
    <s v="Y"/>
    <s v="Y"/>
    <s v="Y"/>
    <s v="N"/>
    <n v="20170404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84"/>
    <m/>
    <x v="1"/>
    <x v="1"/>
    <s v="Y"/>
    <m/>
    <s v="Y"/>
  </r>
  <r>
    <x v="0"/>
    <n v="314304"/>
    <n v="21709673"/>
    <s v="HW424WC17328"/>
    <s v="JARED"/>
    <s v="THORNE"/>
    <n v="20170320"/>
    <n v="20170416"/>
    <x v="9"/>
    <m/>
    <m/>
    <s v="Y"/>
    <m/>
    <m/>
    <m/>
    <m/>
    <m/>
    <m/>
    <m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85"/>
    <m/>
    <x v="0"/>
    <x v="1"/>
    <m/>
    <m/>
    <s v="Y"/>
  </r>
  <r>
    <x v="1"/>
    <n v="314301"/>
    <n v="21771640"/>
    <s v="M48619A17677"/>
    <s v="BRIAN"/>
    <s v="CROSS"/>
    <n v="20170109"/>
    <n v="20170424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86"/>
    <m/>
    <x v="0"/>
    <x v="1"/>
    <m/>
    <m/>
    <m/>
  </r>
  <r>
    <x v="0"/>
    <n v="314307"/>
    <n v="21771640"/>
    <s v="M48619A17677"/>
    <s v="BRIAN"/>
    <s v="CROSS"/>
    <n v="20170109"/>
    <n v="20170430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87"/>
    <m/>
    <x v="0"/>
    <x v="1"/>
    <m/>
    <m/>
    <m/>
  </r>
  <r>
    <x v="1"/>
    <n v="314304"/>
    <n v="21781169"/>
    <n v="541703238094"/>
    <s v="DEBRA"/>
    <s v="MASON EARLE"/>
    <n v="20170410"/>
    <n v="20170528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88"/>
    <m/>
    <x v="0"/>
    <x v="1"/>
    <m/>
    <m/>
    <m/>
  </r>
  <r>
    <x v="0"/>
    <n v="314304"/>
    <n v="21781169"/>
    <n v="541703238094"/>
    <s v="DEBRA"/>
    <s v="MASON EARLE"/>
    <n v="20170410"/>
    <n v="2017052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89"/>
    <m/>
    <x v="0"/>
    <x v="1"/>
    <m/>
    <m/>
    <m/>
  </r>
  <r>
    <x v="0"/>
    <n v="314307"/>
    <n v="21845478"/>
    <n v="511704068579"/>
    <s v="ANTHONY"/>
    <s v="CZARZASTY"/>
    <n v="20170410"/>
    <n v="20170608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90"/>
    <m/>
    <x v="0"/>
    <x v="1"/>
    <m/>
    <m/>
    <m/>
  </r>
  <r>
    <x v="1"/>
    <n v="314304"/>
    <n v="21882114"/>
    <s v="GJ131CA17087"/>
    <s v="AMREV"/>
    <s v="EDWARDS"/>
    <n v="20170401"/>
    <n v="20170404"/>
    <x v="3"/>
    <m/>
    <m/>
    <s v="N"/>
    <s v="N"/>
    <s v="Y"/>
    <s v="Y"/>
    <s v="Y"/>
    <s v="Y"/>
    <s v="Y"/>
    <s v="N"/>
    <n v="20170405"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91"/>
    <m/>
    <x v="1"/>
    <x v="1"/>
    <m/>
    <m/>
    <m/>
  </r>
  <r>
    <x v="1"/>
    <n v="314304"/>
    <n v="21882114"/>
    <n v="571701178287"/>
    <s v="AMREV"/>
    <s v="EDWARDS"/>
    <n v="20170309"/>
    <n v="20170404"/>
    <x v="2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92"/>
    <m/>
    <x v="0"/>
    <x v="1"/>
    <m/>
    <m/>
    <m/>
  </r>
  <r>
    <x v="0"/>
    <n v="314304"/>
    <n v="21882114"/>
    <n v="571701178287"/>
    <s v="AMREV"/>
    <s v="EDWARDS"/>
    <n v="20170309"/>
    <n v="20170331"/>
    <x v="2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93"/>
    <m/>
    <x v="0"/>
    <x v="1"/>
    <m/>
    <m/>
    <m/>
  </r>
  <r>
    <x v="0"/>
    <n v="314304"/>
    <n v="21882114"/>
    <s v="GJ131CA17087"/>
    <s v="AMREV"/>
    <s v="EDWARDS"/>
    <n v="20170401"/>
    <n v="20170331"/>
    <x v="3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94"/>
    <m/>
    <x v="1"/>
    <x v="1"/>
    <m/>
    <m/>
    <m/>
  </r>
  <r>
    <x v="0"/>
    <n v="314304"/>
    <n v="21882114"/>
    <s v="GJ131CA17087"/>
    <s v="AMREV"/>
    <s v="EDWARDS"/>
    <n v="20170401"/>
    <n v="20170401"/>
    <x v="4"/>
    <m/>
    <m/>
    <s v="N"/>
    <s v="N"/>
    <s v="Y"/>
    <s v="Y"/>
    <s v="Y"/>
    <s v="Y"/>
    <s v="Y"/>
    <s v="N"/>
    <n v="20170405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95"/>
    <m/>
    <x v="2"/>
    <x v="1"/>
    <m/>
    <m/>
    <s v="Y"/>
  </r>
  <r>
    <x v="1"/>
    <n v="314301"/>
    <n v="21888879"/>
    <s v="G53514A17377"/>
    <s v="MICHELE SHEL"/>
    <s v="HERMSEN"/>
    <n v="20170109"/>
    <n v="20170430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96"/>
    <m/>
    <x v="1"/>
    <x v="1"/>
    <m/>
    <m/>
    <m/>
  </r>
  <r>
    <x v="0"/>
    <n v="314301"/>
    <n v="21888879"/>
    <s v="G53514A17377"/>
    <s v="MICHELE SHEL"/>
    <s v="HERMSEN"/>
    <n v="20170109"/>
    <n v="20170709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97"/>
    <m/>
    <x v="1"/>
    <x v="1"/>
    <m/>
    <m/>
    <m/>
  </r>
  <r>
    <x v="0"/>
    <n v="314304"/>
    <n v="21948475"/>
    <n v="571704138677"/>
    <s v="CRYSTAL"/>
    <s v="JAMISON"/>
    <n v="20170406"/>
    <n v="2017090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98"/>
    <m/>
    <x v="0"/>
    <x v="1"/>
    <m/>
    <m/>
    <m/>
  </r>
  <r>
    <x v="0"/>
    <n v="314304"/>
    <n v="21958706"/>
    <s v="JA667HB17997"/>
    <s v="BRANDI"/>
    <s v="COONCE"/>
    <n v="20170222"/>
    <n v="20170416"/>
    <x v="3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199"/>
    <m/>
    <x v="1"/>
    <x v="1"/>
    <m/>
    <m/>
    <s v="Y"/>
  </r>
  <r>
    <x v="1"/>
    <n v="314304"/>
    <n v="21970151"/>
    <n v="561703298906"/>
    <s v="ASIF"/>
    <s v="LAKHANI"/>
    <n v="20170405"/>
    <n v="20170428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00"/>
    <m/>
    <x v="0"/>
    <x v="1"/>
    <m/>
    <m/>
    <m/>
  </r>
  <r>
    <x v="1"/>
    <n v="314304"/>
    <n v="21970151"/>
    <s v="GX099XC17328"/>
    <s v="ASIF"/>
    <s v="LAKHANI"/>
    <n v="20170330"/>
    <n v="2017033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01"/>
    <m/>
    <x v="2"/>
    <x v="1"/>
    <m/>
    <m/>
    <m/>
  </r>
  <r>
    <x v="0"/>
    <n v="314304"/>
    <n v="21970151"/>
    <n v="561703298906"/>
    <s v="ASIF"/>
    <s v="LAKHANI"/>
    <n v="20170405"/>
    <n v="2017060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02"/>
    <m/>
    <x v="0"/>
    <x v="1"/>
    <s v="Y"/>
    <m/>
    <m/>
  </r>
  <r>
    <x v="0"/>
    <n v="314304"/>
    <n v="21986762"/>
    <n v="571704068457"/>
    <s v="ANDREA"/>
    <s v="VALKANOS"/>
    <n v="20170403"/>
    <n v="20170906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03"/>
    <m/>
    <x v="0"/>
    <x v="1"/>
    <m/>
    <m/>
    <m/>
  </r>
  <r>
    <x v="0"/>
    <n v="314304"/>
    <n v="21986762"/>
    <n v="571704068457"/>
    <s v="ANDREA"/>
    <s v="VALKANOS"/>
    <n v="20170410"/>
    <n v="20170906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04"/>
    <m/>
    <x v="0"/>
    <x v="1"/>
    <m/>
    <m/>
    <m/>
  </r>
  <r>
    <x v="1"/>
    <n v="314304"/>
    <n v="21987339"/>
    <s v="JK759XC17328"/>
    <s v="ROCHELLE"/>
    <s v="RUIZ"/>
    <n v="20170329"/>
    <n v="20170426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05"/>
    <m/>
    <x v="1"/>
    <x v="1"/>
    <m/>
    <m/>
    <m/>
  </r>
  <r>
    <x v="0"/>
    <n v="314304"/>
    <n v="21987339"/>
    <s v="JK759XC17328"/>
    <s v="ROCHELLE"/>
    <s v="RUIZ"/>
    <n v="20170329"/>
    <n v="20170508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06"/>
    <m/>
    <x v="1"/>
    <x v="1"/>
    <m/>
    <m/>
    <m/>
  </r>
  <r>
    <x v="1"/>
    <n v="314304"/>
    <n v="22002095"/>
    <n v="541703158514"/>
    <s v="ALANDIS JERE"/>
    <s v="DONNELL"/>
    <n v="20170316"/>
    <n v="20170316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07"/>
    <m/>
    <x v="3"/>
    <x v="1"/>
    <m/>
    <m/>
    <m/>
  </r>
  <r>
    <x v="0"/>
    <n v="314304"/>
    <n v="22002095"/>
    <s v="JK565FC17218"/>
    <s v="ALANDIS JERE"/>
    <s v="DONNELL"/>
    <n v="20170316"/>
    <n v="20170316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08"/>
    <m/>
    <x v="2"/>
    <x v="1"/>
    <m/>
    <m/>
    <m/>
  </r>
  <r>
    <x v="0"/>
    <n v="314304"/>
    <n v="22002095"/>
    <n v="541703158514"/>
    <s v="ALANDIS JERE"/>
    <s v="DONNELL"/>
    <n v="20170316"/>
    <n v="2017091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09"/>
    <m/>
    <x v="0"/>
    <x v="1"/>
    <m/>
    <m/>
    <m/>
  </r>
  <r>
    <x v="0"/>
    <n v="314304"/>
    <n v="22002095"/>
    <s v="JK565FC17218"/>
    <s v="ALANDIS JERE"/>
    <s v="DONNELL"/>
    <n v="20170323"/>
    <n v="20170914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10"/>
    <m/>
    <x v="1"/>
    <x v="1"/>
    <m/>
    <m/>
    <m/>
  </r>
  <r>
    <x v="0"/>
    <n v="314304"/>
    <n v="22067374"/>
    <n v="521704035452"/>
    <s v="ROCCO"/>
    <s v="RUSSOMANNO"/>
    <n v="20170404"/>
    <n v="2017050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11"/>
    <m/>
    <x v="0"/>
    <x v="1"/>
    <m/>
    <m/>
    <m/>
  </r>
  <r>
    <x v="0"/>
    <n v="314304"/>
    <n v="22067374"/>
    <n v="521704035452"/>
    <s v="ROCCO"/>
    <s v="RUSSOMANNO"/>
    <n v="20170411"/>
    <n v="2017050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12"/>
    <m/>
    <x v="0"/>
    <x v="1"/>
    <m/>
    <m/>
    <m/>
  </r>
  <r>
    <x v="0"/>
    <n v="314304"/>
    <n v="22067374"/>
    <n v="541704038804"/>
    <s v="ROCCO"/>
    <s v="RUSSOMANNO"/>
    <n v="20170411"/>
    <n v="2017050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13"/>
    <m/>
    <x v="0"/>
    <x v="1"/>
    <m/>
    <m/>
    <m/>
  </r>
  <r>
    <x v="0"/>
    <n v="314304"/>
    <n v="22070881"/>
    <s v="KF8179A17677"/>
    <s v="MICHAEL"/>
    <s v="STANDFIELD"/>
    <n v="20161227"/>
    <n v="20170416"/>
    <x v="9"/>
    <m/>
    <m/>
    <s v="N"/>
    <s v="N"/>
    <s v="Y"/>
    <s v="Y"/>
    <s v="Y"/>
    <s v="Y"/>
    <s v="Y"/>
    <s v="N"/>
    <n v="20170417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14"/>
    <m/>
    <x v="0"/>
    <x v="1"/>
    <m/>
    <m/>
    <s v="Y"/>
  </r>
  <r>
    <x v="0"/>
    <n v="314304"/>
    <n v="22071511"/>
    <n v="561703238046"/>
    <s v="RACHAEL"/>
    <s v="BARNES"/>
    <n v="20170410"/>
    <n v="20170809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15"/>
    <m/>
    <x v="0"/>
    <x v="1"/>
    <m/>
    <m/>
    <m/>
  </r>
  <r>
    <x v="1"/>
    <n v="314304"/>
    <n v="22096637"/>
    <s v="EM1862B17197"/>
    <s v="FATIMA"/>
    <s v="FACTORA"/>
    <n v="20170401"/>
    <n v="20170401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16"/>
    <m/>
    <x v="2"/>
    <x v="1"/>
    <m/>
    <m/>
    <m/>
  </r>
  <r>
    <x v="1"/>
    <n v="314304"/>
    <n v="22096637"/>
    <s v="EM1862B17197"/>
    <s v="FATIMA"/>
    <s v="FACTORA"/>
    <n v="20170314"/>
    <n v="20170331"/>
    <x v="10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17"/>
    <m/>
    <x v="1"/>
    <x v="1"/>
    <m/>
    <m/>
    <m/>
  </r>
  <r>
    <x v="1"/>
    <n v="314304"/>
    <n v="22096637"/>
    <s v="EM1862B17197"/>
    <s v="FATIMA"/>
    <s v="FACTORA"/>
    <n v="20170103"/>
    <n v="20170331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18"/>
    <m/>
    <x v="1"/>
    <x v="1"/>
    <m/>
    <m/>
    <m/>
  </r>
  <r>
    <x v="0"/>
    <n v="314304"/>
    <n v="22096637"/>
    <s v="EM1862B17197"/>
    <s v="FATIMA"/>
    <s v="FACTORA"/>
    <n v="20170103"/>
    <n v="20170310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19"/>
    <m/>
    <x v="1"/>
    <x v="1"/>
    <s v="Y"/>
    <m/>
    <m/>
  </r>
  <r>
    <x v="0"/>
    <n v="314304"/>
    <n v="22096637"/>
    <s v="EM1862B17197"/>
    <s v="FATIMA"/>
    <s v="FACTORA"/>
    <n v="20170311"/>
    <n v="20170311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20"/>
    <m/>
    <x v="2"/>
    <x v="1"/>
    <m/>
    <m/>
    <m/>
  </r>
  <r>
    <x v="1"/>
    <n v="314304"/>
    <n v="22127682"/>
    <s v="H4932DC17118"/>
    <s v="JOSE"/>
    <s v="LOPEZ"/>
    <n v="20170410"/>
    <n v="2017041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21"/>
    <m/>
    <x v="2"/>
    <x v="1"/>
    <m/>
    <m/>
    <m/>
  </r>
  <r>
    <x v="0"/>
    <n v="314304"/>
    <n v="22127682"/>
    <s v="H4932DC17118"/>
    <s v="JOSE"/>
    <s v="LOPEZ"/>
    <n v="20170317"/>
    <n v="20170409"/>
    <x v="3"/>
    <m/>
    <m/>
    <s v="N"/>
    <s v="N"/>
    <s v="Y"/>
    <s v="Y"/>
    <s v="Y"/>
    <s v="Y"/>
    <s v="Y"/>
    <s v="N"/>
    <n v="20170410"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22"/>
    <m/>
    <x v="1"/>
    <x v="1"/>
    <s v="Y"/>
    <m/>
    <s v="Y"/>
  </r>
  <r>
    <x v="1"/>
    <n v="314304"/>
    <n v="22182367"/>
    <s v="BG198FM16527"/>
    <s v="CHRISTINA"/>
    <s v="MONTALVO"/>
    <n v="20170401"/>
    <n v="20170401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23"/>
    <m/>
    <x v="2"/>
    <x v="1"/>
    <m/>
    <m/>
    <m/>
  </r>
  <r>
    <x v="1"/>
    <n v="314304"/>
    <n v="22182367"/>
    <s v="BG198FM16527"/>
    <s v="CHRISTINA"/>
    <s v="MONTALVO"/>
    <n v="20160902"/>
    <n v="20170331"/>
    <x v="10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24"/>
    <m/>
    <x v="1"/>
    <x v="1"/>
    <m/>
    <m/>
    <m/>
  </r>
  <r>
    <x v="0"/>
    <n v="314304"/>
    <n v="22182367"/>
    <s v="BG198FM16527"/>
    <s v="CHRISTINA"/>
    <s v="MONTALVO"/>
    <n v="20160902"/>
    <n v="20170630"/>
    <x v="10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25"/>
    <m/>
    <x v="1"/>
    <x v="1"/>
    <s v="Y"/>
    <m/>
    <m/>
  </r>
  <r>
    <x v="0"/>
    <n v="314304"/>
    <n v="22194180"/>
    <n v="571704068487"/>
    <s v="GLORIA"/>
    <s v="CANO"/>
    <n v="20170413"/>
    <n v="20170817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26"/>
    <m/>
    <x v="0"/>
    <x v="1"/>
    <m/>
    <m/>
    <m/>
  </r>
  <r>
    <x v="1"/>
    <n v="314304"/>
    <n v="22209080"/>
    <s v="E88041B17097"/>
    <s v="SHARON"/>
    <s v="JOHNSON-BARKER"/>
    <n v="20170320"/>
    <n v="20170404"/>
    <x v="3"/>
    <m/>
    <m/>
    <s v="N"/>
    <s v="N"/>
    <s v="Y"/>
    <s v="Y"/>
    <s v="Y"/>
    <s v="Y"/>
    <s v="Y"/>
    <s v="N"/>
    <n v="20170405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27"/>
    <m/>
    <x v="1"/>
    <x v="1"/>
    <m/>
    <m/>
    <m/>
  </r>
  <r>
    <x v="1"/>
    <n v="314304"/>
    <n v="22209080"/>
    <n v="501702018990"/>
    <s v="SHARON"/>
    <s v="JOHNSON-BARKER"/>
    <n v="20170213"/>
    <n v="2017040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28"/>
    <m/>
    <x v="0"/>
    <x v="1"/>
    <m/>
    <m/>
    <m/>
  </r>
  <r>
    <x v="0"/>
    <n v="314304"/>
    <n v="22209080"/>
    <n v="501702018990"/>
    <s v="SHARON"/>
    <s v="JOHNSON-BARKER"/>
    <n v="20170213"/>
    <n v="20170601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29"/>
    <m/>
    <x v="0"/>
    <x v="1"/>
    <m/>
    <m/>
    <m/>
  </r>
  <r>
    <x v="0"/>
    <n v="314304"/>
    <n v="22209080"/>
    <s v="E88041B17097"/>
    <s v="SHARON"/>
    <s v="JOHNSON-BARKER"/>
    <n v="20170320"/>
    <n v="20170601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30"/>
    <m/>
    <x v="1"/>
    <x v="1"/>
    <m/>
    <m/>
    <m/>
  </r>
  <r>
    <x v="0"/>
    <n v="314304"/>
    <n v="22217297"/>
    <s v="B2560VC17328"/>
    <s v="SHEILA"/>
    <s v="ARMENTANO"/>
    <n v="20170413"/>
    <n v="20170419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31"/>
    <m/>
    <x v="1"/>
    <x v="1"/>
    <m/>
    <m/>
    <m/>
  </r>
  <r>
    <x v="0"/>
    <n v="314301"/>
    <n v="22223055"/>
    <s v="HF7279A17677"/>
    <s v="SAMUEL KYLE"/>
    <s v="TAYLOR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32"/>
    <m/>
    <x v="2"/>
    <x v="1"/>
    <m/>
    <m/>
    <m/>
  </r>
  <r>
    <x v="1"/>
    <n v="314304"/>
    <n v="22225795"/>
    <s v="HM814BA17877"/>
    <s v="SHAWANNA"/>
    <s v="CLAIBORNE"/>
    <n v="20170123"/>
    <n v="20170421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33"/>
    <m/>
    <x v="1"/>
    <x v="1"/>
    <m/>
    <m/>
    <m/>
  </r>
  <r>
    <x v="0"/>
    <n v="314304"/>
    <n v="22225795"/>
    <s v="HM814BA17877"/>
    <s v="SHAWANNA"/>
    <s v="CLAIBORNE"/>
    <n v="20170123"/>
    <n v="20170723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34"/>
    <m/>
    <x v="1"/>
    <x v="1"/>
    <m/>
    <m/>
    <m/>
  </r>
  <r>
    <x v="1"/>
    <n v="314304"/>
    <n v="22249336"/>
    <s v="JH299AB17597"/>
    <s v="NATHAN"/>
    <s v="MOLOSKY"/>
    <n v="20170408"/>
    <n v="20170408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35"/>
    <m/>
    <x v="2"/>
    <x v="1"/>
    <m/>
    <m/>
    <m/>
  </r>
  <r>
    <x v="0"/>
    <n v="314304"/>
    <n v="22249336"/>
    <s v="JH299AB17597"/>
    <s v="NATHAN"/>
    <s v="MOLOSKY"/>
    <n v="20170213"/>
    <n v="20170407"/>
    <x v="9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36"/>
    <m/>
    <x v="0"/>
    <x v="1"/>
    <s v="Y"/>
    <m/>
    <s v="Y"/>
  </r>
  <r>
    <x v="0"/>
    <n v="314304"/>
    <n v="22283386"/>
    <n v="521704048982"/>
    <s v="MARLON"/>
    <s v="WILLIAMS"/>
    <n v="20170411"/>
    <n v="2017050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37"/>
    <m/>
    <x v="0"/>
    <x v="1"/>
    <m/>
    <m/>
    <m/>
  </r>
  <r>
    <x v="0"/>
    <n v="314301"/>
    <n v="22347606"/>
    <n v="531703178983"/>
    <s v="KARINA"/>
    <s v="ALANIZ"/>
    <n v="20170412"/>
    <n v="20170829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38"/>
    <m/>
    <x v="0"/>
    <x v="1"/>
    <m/>
    <m/>
    <m/>
  </r>
  <r>
    <x v="0"/>
    <n v="314304"/>
    <n v="22357733"/>
    <n v="561703298106"/>
    <s v="KATIRIA"/>
    <s v="NOGUERAS MELENDEZ"/>
    <n v="20170403"/>
    <n v="20170428"/>
    <x v="1"/>
    <m/>
    <m/>
    <s v="Y"/>
    <m/>
    <m/>
    <m/>
    <m/>
    <m/>
    <m/>
    <m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39"/>
    <m/>
    <x v="0"/>
    <x v="1"/>
    <m/>
    <m/>
    <s v="Y"/>
  </r>
  <r>
    <x v="1"/>
    <n v="314301"/>
    <n v="22367940"/>
    <s v="H72463C17608"/>
    <s v="RANDAL"/>
    <s v="GREGOR"/>
    <n v="20170325"/>
    <n v="20170412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40"/>
    <m/>
    <x v="1"/>
    <x v="1"/>
    <m/>
    <m/>
    <m/>
  </r>
  <r>
    <x v="0"/>
    <n v="314301"/>
    <n v="22367940"/>
    <s v="H72463C17608"/>
    <s v="RANDAL"/>
    <s v="GREGOR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41"/>
    <m/>
    <x v="2"/>
    <x v="1"/>
    <m/>
    <m/>
    <m/>
  </r>
  <r>
    <x v="1"/>
    <n v="314304"/>
    <n v="22384280"/>
    <s v="KR490DB17697"/>
    <s v="JENISE"/>
    <s v="GUTIERREZ"/>
    <n v="20170213"/>
    <n v="20170312"/>
    <x v="6"/>
    <m/>
    <m/>
    <s v="N"/>
    <s v="N"/>
    <s v="Y"/>
    <s v="Y"/>
    <s v="Y"/>
    <s v="Y"/>
    <s v="Y"/>
    <s v="N"/>
    <n v="2017041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42"/>
    <m/>
    <x v="1"/>
    <x v="1"/>
    <m/>
    <m/>
    <m/>
  </r>
  <r>
    <x v="0"/>
    <n v="314304"/>
    <n v="22384280"/>
    <s v="KR490DB17697"/>
    <s v="JENISE"/>
    <s v="GUTIERREZ"/>
    <n v="20170213"/>
    <n v="20170330"/>
    <x v="6"/>
    <m/>
    <m/>
    <s v="N"/>
    <s v="N"/>
    <s v="Y"/>
    <s v="Y"/>
    <s v="Y"/>
    <s v="Y"/>
    <s v="Y"/>
    <s v="N"/>
    <n v="20170331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43"/>
    <m/>
    <x v="1"/>
    <x v="1"/>
    <m/>
    <m/>
    <s v="Y"/>
  </r>
  <r>
    <x v="0"/>
    <n v="314304"/>
    <n v="22394541"/>
    <s v="AW972DD17238"/>
    <s v="ERICA"/>
    <s v="EVANS"/>
    <n v="20170406"/>
    <n v="20170406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44"/>
    <m/>
    <x v="3"/>
    <x v="1"/>
    <m/>
    <m/>
    <m/>
  </r>
  <r>
    <x v="1"/>
    <n v="314304"/>
    <n v="22414853"/>
    <s v="HZ277FM16527"/>
    <s v="REYNA"/>
    <s v="VALDEZ"/>
    <n v="20161230"/>
    <n v="20161229"/>
    <x v="3"/>
    <m/>
    <m/>
    <s v="N"/>
    <s v="N"/>
    <s v="Y"/>
    <s v="Y"/>
    <s v="Y"/>
    <s v="Y"/>
    <s v="Y"/>
    <s v="N"/>
    <n v="20161230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45"/>
    <m/>
    <x v="1"/>
    <x v="1"/>
    <m/>
    <m/>
    <m/>
  </r>
  <r>
    <x v="0"/>
    <n v="314304"/>
    <n v="22414853"/>
    <s v="HZ277FM16527"/>
    <s v="REYNA"/>
    <s v="VALDEZ"/>
    <n v="20161230"/>
    <n v="20170131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46"/>
    <m/>
    <x v="1"/>
    <x v="1"/>
    <m/>
    <m/>
    <m/>
  </r>
  <r>
    <x v="0"/>
    <n v="314304"/>
    <n v="22414853"/>
    <s v="HZ277FM16527"/>
    <s v="REYNA"/>
    <s v="VALDEZ"/>
    <n v="20170201"/>
    <n v="20170201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47"/>
    <m/>
    <x v="2"/>
    <x v="1"/>
    <m/>
    <m/>
    <m/>
  </r>
  <r>
    <x v="0"/>
    <n v="314301"/>
    <n v="22428724"/>
    <n v="571703018017"/>
    <s v="KRIS"/>
    <s v="TUCCI"/>
    <n v="20170309"/>
    <n v="20170414"/>
    <x v="1"/>
    <m/>
    <m/>
    <s v="N"/>
    <s v="N"/>
    <s v="Y"/>
    <s v="Y"/>
    <s v="Y"/>
    <s v="Y"/>
    <s v="Y"/>
    <s v="N"/>
    <n v="20170415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48"/>
    <m/>
    <x v="0"/>
    <x v="1"/>
    <m/>
    <m/>
    <s v="Y"/>
  </r>
  <r>
    <x v="1"/>
    <n v="314304"/>
    <n v="22480775"/>
    <s v="GT291DB17697"/>
    <s v="MICHELLE"/>
    <s v="MARCHEGIANO"/>
    <n v="20170410"/>
    <n v="2017041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49"/>
    <m/>
    <x v="2"/>
    <x v="1"/>
    <m/>
    <m/>
    <m/>
  </r>
  <r>
    <x v="1"/>
    <n v="314304"/>
    <n v="22480775"/>
    <n v="541702138864"/>
    <s v="MICHELLE"/>
    <s v="MARCHEGIANO"/>
    <n v="20170227"/>
    <n v="2017040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50"/>
    <m/>
    <x v="0"/>
    <x v="1"/>
    <m/>
    <m/>
    <m/>
  </r>
  <r>
    <x v="0"/>
    <n v="314304"/>
    <n v="22480775"/>
    <n v="541702138864"/>
    <s v="MICHELLE"/>
    <s v="MARCHEGIANO"/>
    <n v="20170227"/>
    <n v="20170423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51"/>
    <m/>
    <x v="0"/>
    <x v="1"/>
    <s v="Y"/>
    <m/>
    <m/>
  </r>
  <r>
    <x v="1"/>
    <n v="314301"/>
    <n v="22509365"/>
    <n v="551702218365"/>
    <s v="DAWN"/>
    <s v="SHURELDS"/>
    <n v="20170222"/>
    <n v="20170406"/>
    <x v="1"/>
    <m/>
    <m/>
    <s v="N"/>
    <s v="N"/>
    <s v="Y"/>
    <s v="Y"/>
    <s v="Y"/>
    <s v="Y"/>
    <s v="Y"/>
    <s v="N"/>
    <n v="2017040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52"/>
    <m/>
    <x v="0"/>
    <x v="1"/>
    <m/>
    <m/>
    <m/>
  </r>
  <r>
    <x v="0"/>
    <n v="314301"/>
    <n v="22509365"/>
    <n v="551702218365"/>
    <s v="DAWN"/>
    <s v="SHURELDS"/>
    <n v="20170222"/>
    <n v="20170423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53"/>
    <m/>
    <x v="0"/>
    <x v="1"/>
    <m/>
    <m/>
    <m/>
  </r>
  <r>
    <x v="1"/>
    <n v="314304"/>
    <n v="22566677"/>
    <s v="DJ466EC17118"/>
    <s v="DEBRA"/>
    <s v="RICHARDS"/>
    <n v="20170220"/>
    <n v="2017022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54"/>
    <m/>
    <x v="2"/>
    <x v="1"/>
    <m/>
    <m/>
    <m/>
  </r>
  <r>
    <x v="1"/>
    <n v="314304"/>
    <n v="22589100"/>
    <s v="GT1427B17497"/>
    <s v="TATYANA"/>
    <s v="QUIROS"/>
    <n v="20161214"/>
    <n v="20170124"/>
    <x v="10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55"/>
    <m/>
    <x v="1"/>
    <x v="1"/>
    <m/>
    <m/>
    <m/>
  </r>
  <r>
    <x v="1"/>
    <n v="314301"/>
    <n v="22611655"/>
    <s v="KW109AB17597"/>
    <s v="TAYLOR"/>
    <s v="BEARD"/>
    <n v="20170410"/>
    <n v="2017041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56"/>
    <m/>
    <x v="2"/>
    <x v="1"/>
    <m/>
    <m/>
    <m/>
  </r>
  <r>
    <x v="0"/>
    <n v="314301"/>
    <n v="22611655"/>
    <s v="KW109AB17597"/>
    <s v="TAYLOR"/>
    <s v="BEARD"/>
    <n v="20170213"/>
    <n v="20170409"/>
    <x v="12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57"/>
    <m/>
    <x v="1"/>
    <x v="1"/>
    <s v="Y"/>
    <m/>
    <s v="Y"/>
  </r>
  <r>
    <x v="1"/>
    <n v="314304"/>
    <n v="22611975"/>
    <s v="M0208RC17618"/>
    <s v="YAIRI"/>
    <s v="GABRIEL"/>
    <n v="20170410"/>
    <n v="20171204"/>
    <x v="3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58"/>
    <m/>
    <x v="1"/>
    <x v="1"/>
    <m/>
    <m/>
    <m/>
  </r>
  <r>
    <x v="0"/>
    <n v="314304"/>
    <n v="22611975"/>
    <s v="M0208RC17618"/>
    <s v="YAIRI"/>
    <s v="GABRIEL"/>
    <n v="20170410"/>
    <n v="20171204"/>
    <x v="7"/>
    <m/>
    <s v="Medical"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59"/>
    <m/>
    <x v="1"/>
    <x v="1"/>
    <m/>
    <m/>
    <m/>
  </r>
  <r>
    <x v="0"/>
    <n v="314304"/>
    <n v="22611975"/>
    <n v="541703238074"/>
    <s v="YAIRI"/>
    <s v="GABRIEL"/>
    <n v="20170411"/>
    <n v="20171204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60"/>
    <m/>
    <x v="0"/>
    <x v="1"/>
    <m/>
    <m/>
    <m/>
  </r>
  <r>
    <x v="0"/>
    <n v="314301"/>
    <n v="22651295"/>
    <s v="CB048YA17887"/>
    <s v="STRATTON"/>
    <s v="MATTHEWS"/>
    <n v="20170221"/>
    <n v="20170409"/>
    <x v="9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61"/>
    <m/>
    <x v="0"/>
    <x v="1"/>
    <m/>
    <m/>
    <s v="Y"/>
  </r>
  <r>
    <x v="1"/>
    <n v="314304"/>
    <n v="22651406"/>
    <n v="501702218520"/>
    <s v="SUNITA"/>
    <s v="MONEY"/>
    <n v="20170303"/>
    <n v="2017033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62"/>
    <m/>
    <x v="0"/>
    <x v="1"/>
    <m/>
    <m/>
    <m/>
  </r>
  <r>
    <x v="1"/>
    <n v="314304"/>
    <n v="22651406"/>
    <n v="501702218520"/>
    <s v="SUNITA"/>
    <s v="MONEY"/>
    <n v="20170302"/>
    <n v="2017050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63"/>
    <m/>
    <x v="0"/>
    <x v="1"/>
    <m/>
    <m/>
    <m/>
  </r>
  <r>
    <x v="0"/>
    <n v="314304"/>
    <n v="22651406"/>
    <n v="501702218520"/>
    <s v="SUNITA"/>
    <s v="MONEY"/>
    <n v="20170303"/>
    <n v="2017043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64"/>
    <m/>
    <x v="0"/>
    <x v="1"/>
    <m/>
    <m/>
    <m/>
  </r>
  <r>
    <x v="0"/>
    <n v="314304"/>
    <n v="22651406"/>
    <n v="501702218520"/>
    <s v="SUNITA"/>
    <s v="MONEY"/>
    <n v="20170310"/>
    <n v="2017043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65"/>
    <m/>
    <x v="0"/>
    <x v="1"/>
    <m/>
    <m/>
    <m/>
  </r>
  <r>
    <x v="1"/>
    <n v="314304"/>
    <n v="22651728"/>
    <n v="541701248604"/>
    <s v="STEPHANIE"/>
    <s v="PEREZ"/>
    <n v="20170322"/>
    <n v="20170402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66"/>
    <m/>
    <x v="0"/>
    <x v="1"/>
    <m/>
    <m/>
    <m/>
  </r>
  <r>
    <x v="0"/>
    <n v="314305"/>
    <n v="22682917"/>
    <n v="501701248460"/>
    <s v="JARED"/>
    <s v="BROOKS"/>
    <n v="20170220"/>
    <n v="20170416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67"/>
    <m/>
    <x v="0"/>
    <x v="1"/>
    <m/>
    <m/>
    <s v="Y"/>
  </r>
  <r>
    <x v="1"/>
    <n v="314304"/>
    <n v="22686964"/>
    <s v="MH865RB17208"/>
    <s v="MARIA"/>
    <s v="ALMANZA"/>
    <n v="20170320"/>
    <n v="20170510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68"/>
    <m/>
    <x v="1"/>
    <x v="1"/>
    <m/>
    <m/>
    <m/>
  </r>
  <r>
    <x v="1"/>
    <n v="314304"/>
    <n v="22686964"/>
    <n v="561702238026"/>
    <s v="MARIA"/>
    <s v="ALMANZA"/>
    <n v="20170313"/>
    <n v="2017051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69"/>
    <m/>
    <x v="0"/>
    <x v="1"/>
    <m/>
    <m/>
    <m/>
  </r>
  <r>
    <x v="0"/>
    <n v="314304"/>
    <n v="22686964"/>
    <n v="561702238026"/>
    <s v="MARIA"/>
    <s v="ALMANZA"/>
    <n v="20170313"/>
    <n v="2017071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70"/>
    <m/>
    <x v="0"/>
    <x v="1"/>
    <m/>
    <m/>
    <m/>
  </r>
  <r>
    <x v="0"/>
    <n v="314304"/>
    <n v="22686964"/>
    <s v="MH865RB17208"/>
    <s v="MARIA"/>
    <s v="ALMANZA"/>
    <n v="20170320"/>
    <n v="20170714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71"/>
    <m/>
    <x v="1"/>
    <x v="1"/>
    <m/>
    <m/>
    <m/>
  </r>
  <r>
    <x v="1"/>
    <n v="314304"/>
    <n v="22705243"/>
    <s v="BW027HA17187"/>
    <s v="MICHAEL"/>
    <s v="CUMMINGS"/>
    <n v="20170307"/>
    <n v="20170322"/>
    <x v="7"/>
    <m/>
    <s v="Medical"/>
    <s v="N"/>
    <s v="N"/>
    <s v="Y"/>
    <s v="Y"/>
    <s v="Y"/>
    <s v="Y"/>
    <s v="Y"/>
    <s v="N"/>
    <n v="2017032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72"/>
    <m/>
    <x v="1"/>
    <x v="1"/>
    <m/>
    <m/>
    <m/>
  </r>
  <r>
    <x v="0"/>
    <n v="314304"/>
    <n v="22705243"/>
    <s v="BW027HA17187"/>
    <s v="MICHAEL"/>
    <s v="CUMMINGS"/>
    <n v="20170307"/>
    <n v="20170322"/>
    <x v="3"/>
    <m/>
    <m/>
    <s v="N"/>
    <s v="N"/>
    <s v="Y"/>
    <s v="Y"/>
    <s v="Y"/>
    <s v="Y"/>
    <s v="Y"/>
    <s v="N"/>
    <n v="2017032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73"/>
    <m/>
    <x v="1"/>
    <x v="1"/>
    <m/>
    <m/>
    <s v="Y"/>
  </r>
  <r>
    <x v="0"/>
    <n v="314304"/>
    <n v="22705243"/>
    <s v="B0064CD17138"/>
    <s v="MICHAEL"/>
    <s v="CUMMINGS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74"/>
    <m/>
    <x v="2"/>
    <x v="1"/>
    <m/>
    <m/>
    <m/>
  </r>
  <r>
    <x v="1"/>
    <n v="314304"/>
    <n v="22708367"/>
    <s v="BG8843C17608"/>
    <s v="JAVIER"/>
    <s v="CASTANEDA"/>
    <n v="20170302"/>
    <n v="20170302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75"/>
    <m/>
    <x v="3"/>
    <x v="1"/>
    <m/>
    <m/>
    <m/>
  </r>
  <r>
    <x v="0"/>
    <n v="314304"/>
    <n v="22708367"/>
    <s v="BG8843C17608"/>
    <s v="JAVIER"/>
    <s v="CASTANEDA"/>
    <n v="20170303"/>
    <n v="20170319"/>
    <x v="6"/>
    <m/>
    <m/>
    <s v="N"/>
    <s v="N"/>
    <s v="Y"/>
    <s v="Y"/>
    <s v="Y"/>
    <s v="Y"/>
    <s v="Y"/>
    <s v="N"/>
    <n v="2017032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76"/>
    <m/>
    <x v="1"/>
    <x v="1"/>
    <m/>
    <m/>
    <s v="Y"/>
  </r>
  <r>
    <x v="1"/>
    <n v="314301"/>
    <n v="22758653"/>
    <n v="521701258672"/>
    <s v="CHRISTOPHER"/>
    <s v="WELTER"/>
    <n v="20170327"/>
    <n v="20170421"/>
    <x v="2"/>
    <m/>
    <m/>
    <s v="N"/>
    <s v="N"/>
    <s v="Y"/>
    <s v="Y"/>
    <s v="Y"/>
    <s v="Y"/>
    <s v="Y"/>
    <s v="N"/>
    <m/>
    <m/>
    <m/>
    <m/>
    <m/>
    <n v="170"/>
    <s v="W5"/>
    <n v="20170130"/>
    <n v="20170721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77"/>
    <m/>
    <x v="0"/>
    <x v="1"/>
    <m/>
    <m/>
    <m/>
  </r>
  <r>
    <x v="0"/>
    <n v="314301"/>
    <n v="22758653"/>
    <n v="521701258672"/>
    <s v="CHRISTOPHER"/>
    <s v="WELTER"/>
    <n v="20170327"/>
    <n v="20170423"/>
    <x v="2"/>
    <m/>
    <m/>
    <s v="N"/>
    <s v="N"/>
    <s v="Y"/>
    <s v="Y"/>
    <s v="Y"/>
    <s v="Y"/>
    <s v="Y"/>
    <s v="N"/>
    <m/>
    <m/>
    <m/>
    <m/>
    <m/>
    <n v="170"/>
    <s v="W5"/>
    <n v="20170130"/>
    <n v="20170723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78"/>
    <m/>
    <x v="0"/>
    <x v="1"/>
    <m/>
    <m/>
    <m/>
  </r>
  <r>
    <x v="0"/>
    <n v="314304"/>
    <n v="22764861"/>
    <s v="AX592EN16267"/>
    <s v="SANDRA"/>
    <s v="ROJAS"/>
    <n v="20161031"/>
    <n v="20170412"/>
    <x v="3"/>
    <m/>
    <m/>
    <s v="N"/>
    <s v="N"/>
    <s v="Y"/>
    <s v="Y"/>
    <s v="Y"/>
    <s v="Y"/>
    <s v="Y"/>
    <s v="N"/>
    <n v="20170413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79"/>
    <m/>
    <x v="1"/>
    <x v="1"/>
    <m/>
    <m/>
    <s v="Y"/>
  </r>
  <r>
    <x v="0"/>
    <n v="314304"/>
    <n v="22779171"/>
    <s v="KC948DD17138"/>
    <s v="MICHAEL"/>
    <s v="YOUNG"/>
    <n v="20170413"/>
    <n v="20170613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80"/>
    <m/>
    <x v="1"/>
    <x v="1"/>
    <m/>
    <m/>
    <m/>
  </r>
  <r>
    <x v="0"/>
    <n v="314304"/>
    <n v="22783700"/>
    <s v="HK044CD17138"/>
    <s v="KYLE"/>
    <s v="MORAIN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81"/>
    <m/>
    <x v="2"/>
    <x v="1"/>
    <m/>
    <m/>
    <m/>
  </r>
  <r>
    <x v="0"/>
    <n v="314305"/>
    <n v="22814076"/>
    <n v="511704138691"/>
    <s v="ADRIENNE"/>
    <s v="EDWARDS"/>
    <n v="20170405"/>
    <n v="20170506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82"/>
    <m/>
    <x v="0"/>
    <x v="1"/>
    <m/>
    <m/>
    <m/>
  </r>
  <r>
    <x v="1"/>
    <n v="314304"/>
    <n v="22829898"/>
    <s v="G3272XC17428"/>
    <s v="CARMEN"/>
    <s v="GAMBOA"/>
    <n v="20170326"/>
    <n v="20170521"/>
    <x v="3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83"/>
    <m/>
    <x v="1"/>
    <x v="1"/>
    <m/>
    <m/>
    <m/>
  </r>
  <r>
    <x v="0"/>
    <n v="314304"/>
    <n v="22829898"/>
    <s v="G3272XC17428"/>
    <s v="CARMEN"/>
    <s v="GAMBOA"/>
    <n v="20170326"/>
    <n v="20170520"/>
    <x v="3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84"/>
    <m/>
    <x v="1"/>
    <x v="1"/>
    <m/>
    <m/>
    <m/>
  </r>
  <r>
    <x v="0"/>
    <n v="314304"/>
    <n v="22841917"/>
    <s v="M1556VB17308"/>
    <s v="MARK"/>
    <s v="VASQUEZ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85"/>
    <m/>
    <x v="2"/>
    <x v="1"/>
    <m/>
    <m/>
    <m/>
  </r>
  <r>
    <x v="1"/>
    <n v="314304"/>
    <n v="22852372"/>
    <s v="J59366C17708"/>
    <s v="JASMINE"/>
    <s v="MARGETSON"/>
    <n v="20170406"/>
    <n v="20170406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86"/>
    <m/>
    <x v="2"/>
    <x v="1"/>
    <m/>
    <m/>
    <m/>
  </r>
  <r>
    <x v="1"/>
    <n v="314304"/>
    <n v="22852372"/>
    <s v="J59366C17708"/>
    <s v="JASMINE"/>
    <s v="MARGETSON"/>
    <n v="20170406"/>
    <n v="20170406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87"/>
    <m/>
    <x v="2"/>
    <x v="1"/>
    <m/>
    <m/>
    <m/>
  </r>
  <r>
    <x v="1"/>
    <n v="314304"/>
    <n v="22852372"/>
    <n v="501703068910"/>
    <s v="JASMINE"/>
    <s v="MARGETSON"/>
    <n v="20170314"/>
    <n v="20170405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88"/>
    <m/>
    <x v="0"/>
    <x v="1"/>
    <m/>
    <m/>
    <m/>
  </r>
  <r>
    <x v="0"/>
    <n v="314304"/>
    <n v="22852372"/>
    <n v="501703068910"/>
    <s v="JASMINE"/>
    <s v="MARGETSON"/>
    <n v="20170314"/>
    <n v="2017042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89"/>
    <m/>
    <x v="0"/>
    <x v="1"/>
    <s v="Y"/>
    <m/>
    <m/>
  </r>
  <r>
    <x v="0"/>
    <n v="314304"/>
    <n v="22852372"/>
    <s v="J59366C17708"/>
    <s v="JASMINE"/>
    <s v="MARGETSON"/>
    <n v="20170406"/>
    <n v="20170420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90"/>
    <m/>
    <x v="1"/>
    <x v="1"/>
    <m/>
    <m/>
    <m/>
  </r>
  <r>
    <x v="1"/>
    <n v="314304"/>
    <n v="22857133"/>
    <s v="AP2245N16557"/>
    <s v="LATASHA"/>
    <s v="MCCLAIN"/>
    <n v="20161114"/>
    <n v="20161129"/>
    <x v="3"/>
    <m/>
    <m/>
    <s v="N"/>
    <s v="N"/>
    <s v="Y"/>
    <s v="Y"/>
    <s v="Y"/>
    <s v="Y"/>
    <s v="Y"/>
    <s v="N"/>
    <n v="20161130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91"/>
    <m/>
    <x v="1"/>
    <x v="1"/>
    <m/>
    <m/>
    <m/>
  </r>
  <r>
    <x v="0"/>
    <n v="314304"/>
    <n v="22857133"/>
    <s v="AP2245N16557"/>
    <s v="LATASHA"/>
    <s v="MCCLAIN"/>
    <n v="20161114"/>
    <n v="20170319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92"/>
    <m/>
    <x v="1"/>
    <x v="1"/>
    <m/>
    <m/>
    <m/>
  </r>
  <r>
    <x v="0"/>
    <n v="314305"/>
    <n v="22905715"/>
    <s v="M0911DD17238"/>
    <s v="JAZMINE"/>
    <s v="RODRIGUEZ"/>
    <n v="20170413"/>
    <n v="20170514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93"/>
    <m/>
    <x v="1"/>
    <x v="1"/>
    <m/>
    <m/>
    <m/>
  </r>
  <r>
    <x v="1"/>
    <n v="314304"/>
    <n v="22913975"/>
    <n v="571703278597"/>
    <s v="CASEY"/>
    <s v="MCDOWELL"/>
    <n v="20170322"/>
    <n v="20170421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94"/>
    <m/>
    <x v="0"/>
    <x v="1"/>
    <m/>
    <m/>
    <m/>
  </r>
  <r>
    <x v="0"/>
    <n v="314304"/>
    <n v="22913975"/>
    <n v="571703278597"/>
    <s v="CASEY"/>
    <s v="MCDOWELL"/>
    <n v="20170322"/>
    <n v="20170426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95"/>
    <m/>
    <x v="0"/>
    <x v="1"/>
    <m/>
    <m/>
    <m/>
  </r>
  <r>
    <x v="0"/>
    <n v="314304"/>
    <n v="22913975"/>
    <n v="571703278597"/>
    <s v="CASEY"/>
    <s v="MCDOWELL"/>
    <n v="20170329"/>
    <n v="20170426"/>
    <x v="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96"/>
    <m/>
    <x v="0"/>
    <x v="1"/>
    <m/>
    <m/>
    <m/>
  </r>
  <r>
    <x v="1"/>
    <n v="314304"/>
    <n v="22919188"/>
    <s v="BB070AA17877"/>
    <s v="CYNTHIA"/>
    <s v="BOATES"/>
    <n v="20170105"/>
    <n v="20170105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97"/>
    <m/>
    <x v="2"/>
    <x v="1"/>
    <m/>
    <m/>
    <m/>
  </r>
  <r>
    <x v="0"/>
    <n v="314304"/>
    <n v="22919188"/>
    <s v="BB070AA17877"/>
    <s v="CYNTHIA"/>
    <s v="BOATES"/>
    <n v="20170105"/>
    <n v="20170530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98"/>
    <m/>
    <x v="1"/>
    <x v="1"/>
    <s v="Y"/>
    <m/>
    <m/>
  </r>
  <r>
    <x v="1"/>
    <n v="314304"/>
    <n v="22920571"/>
    <n v="571702178037"/>
    <s v="JEFFREY"/>
    <s v="ADAIR"/>
    <n v="20170219"/>
    <n v="20170413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299"/>
    <m/>
    <x v="0"/>
    <x v="1"/>
    <m/>
    <m/>
    <m/>
  </r>
  <r>
    <x v="0"/>
    <n v="314304"/>
    <n v="22920571"/>
    <n v="571702178037"/>
    <s v="JEFFREY"/>
    <s v="ADAIR"/>
    <n v="20170219"/>
    <n v="20170423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00"/>
    <m/>
    <x v="0"/>
    <x v="1"/>
    <m/>
    <m/>
    <m/>
  </r>
  <r>
    <x v="0"/>
    <n v="314304"/>
    <n v="23002759"/>
    <s v="DZ297DD17138"/>
    <s v="MARK"/>
    <s v="LYNCH"/>
    <n v="20170413"/>
    <n v="20170514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01"/>
    <m/>
    <x v="1"/>
    <x v="1"/>
    <m/>
    <m/>
    <m/>
  </r>
  <r>
    <x v="1"/>
    <n v="314304"/>
    <n v="23015064"/>
    <n v="511704038631"/>
    <s v="SAUL"/>
    <s v="RIOS"/>
    <n v="20170331"/>
    <n v="20170728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02"/>
    <m/>
    <x v="0"/>
    <x v="1"/>
    <m/>
    <m/>
    <m/>
  </r>
  <r>
    <x v="0"/>
    <n v="314304"/>
    <n v="23015064"/>
    <n v="511704038631"/>
    <s v="SAUL"/>
    <s v="RIOS"/>
    <n v="20170331"/>
    <n v="20170503"/>
    <x v="1"/>
    <m/>
    <m/>
    <s v="N"/>
    <s v="N"/>
    <s v="Y"/>
    <s v="Y"/>
    <s v="Y"/>
    <s v="Y"/>
    <s v="Y"/>
    <s v="N"/>
    <n v="20170404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03"/>
    <m/>
    <x v="0"/>
    <x v="1"/>
    <m/>
    <m/>
    <s v="Y"/>
  </r>
  <r>
    <x v="1"/>
    <n v="314305"/>
    <n v="23024373"/>
    <s v="JD938EC17118"/>
    <s v="LORI"/>
    <s v="CARR"/>
    <n v="20170308"/>
    <n v="20170324"/>
    <x v="3"/>
    <m/>
    <m/>
    <s v="N"/>
    <s v="N"/>
    <s v="Y"/>
    <s v="Y"/>
    <s v="Y"/>
    <s v="Y"/>
    <s v="Y"/>
    <s v="N"/>
    <n v="2017040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04"/>
    <m/>
    <x v="1"/>
    <x v="1"/>
    <m/>
    <m/>
    <m/>
  </r>
  <r>
    <x v="0"/>
    <n v="314305"/>
    <n v="23024373"/>
    <s v="JD938EC17118"/>
    <s v="LORI"/>
    <s v="CARR"/>
    <n v="20170308"/>
    <n v="20170331"/>
    <x v="3"/>
    <m/>
    <m/>
    <s v="N"/>
    <s v="N"/>
    <s v="Y"/>
    <s v="Y"/>
    <s v="Y"/>
    <s v="Y"/>
    <s v="Y"/>
    <s v="N"/>
    <n v="2017040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05"/>
    <m/>
    <x v="1"/>
    <x v="1"/>
    <m/>
    <m/>
    <s v="Y"/>
  </r>
  <r>
    <x v="1"/>
    <n v="314301"/>
    <n v="23115440"/>
    <s v="M24596C17608"/>
    <s v="ERIN"/>
    <s v="WOOLARD"/>
    <n v="20170407"/>
    <n v="20170407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06"/>
    <m/>
    <x v="2"/>
    <x v="1"/>
    <m/>
    <m/>
    <m/>
  </r>
  <r>
    <x v="0"/>
    <n v="314301"/>
    <n v="23115440"/>
    <n v="551703068635"/>
    <s v="ERIN"/>
    <s v="WOOLARD"/>
    <n v="20170308"/>
    <n v="20170406"/>
    <x v="1"/>
    <m/>
    <m/>
    <s v="N"/>
    <s v="N"/>
    <s v="Y"/>
    <s v="Y"/>
    <s v="Y"/>
    <s v="Y"/>
    <s v="Y"/>
    <s v="N"/>
    <n v="2017040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07"/>
    <m/>
    <x v="0"/>
    <x v="1"/>
    <s v="Y"/>
    <m/>
    <s v="Y"/>
  </r>
  <r>
    <x v="0"/>
    <n v="314304"/>
    <n v="23174809"/>
    <s v="EC686WB17408"/>
    <s v="MEGHAN"/>
    <s v="WALSH"/>
    <n v="20170413"/>
    <n v="20170613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08"/>
    <m/>
    <x v="1"/>
    <x v="1"/>
    <m/>
    <m/>
    <m/>
  </r>
  <r>
    <x v="0"/>
    <n v="314304"/>
    <n v="23182106"/>
    <n v="561704068526"/>
    <s v="ROBERT"/>
    <s v="MARTELLI"/>
    <n v="20170413"/>
    <n v="20170706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09"/>
    <m/>
    <x v="0"/>
    <x v="1"/>
    <m/>
    <m/>
    <m/>
  </r>
  <r>
    <x v="1"/>
    <n v="314305"/>
    <n v="23209356"/>
    <s v="CD752NB17108"/>
    <s v="ALPHONZO"/>
    <s v="GARLAND"/>
    <n v="20170228"/>
    <n v="20170421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10"/>
    <m/>
    <x v="1"/>
    <x v="1"/>
    <m/>
    <m/>
    <m/>
  </r>
  <r>
    <x v="1"/>
    <n v="314305"/>
    <n v="23209356"/>
    <n v="501702218558"/>
    <s v="ALPHONZO"/>
    <s v="GARLAND"/>
    <n v="20170221"/>
    <n v="2017042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11"/>
    <m/>
    <x v="0"/>
    <x v="1"/>
    <m/>
    <m/>
    <m/>
  </r>
  <r>
    <x v="0"/>
    <n v="314305"/>
    <n v="23209356"/>
    <n v="501702218558"/>
    <s v="ALPHONZO"/>
    <s v="GARLAND"/>
    <n v="20170221"/>
    <n v="2017063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12"/>
    <m/>
    <x v="0"/>
    <x v="1"/>
    <m/>
    <m/>
    <m/>
  </r>
  <r>
    <x v="0"/>
    <n v="314305"/>
    <n v="23209356"/>
    <s v="CD752NB17108"/>
    <s v="ALPHONZO"/>
    <s v="GARLAND"/>
    <n v="20170228"/>
    <n v="20170630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13"/>
    <m/>
    <x v="1"/>
    <x v="1"/>
    <m/>
    <m/>
    <m/>
  </r>
  <r>
    <x v="1"/>
    <n v="314301"/>
    <n v="23210550"/>
    <n v="501703088190"/>
    <s v="RUTH"/>
    <s v="PENMAN"/>
    <n v="20170307"/>
    <n v="20170507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14"/>
    <m/>
    <x v="0"/>
    <x v="1"/>
    <m/>
    <m/>
    <m/>
  </r>
  <r>
    <x v="0"/>
    <n v="314301"/>
    <n v="23210550"/>
    <n v="501703088190"/>
    <s v="RUTH"/>
    <s v="PENMAN"/>
    <n v="20170307"/>
    <n v="2017050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15"/>
    <m/>
    <x v="0"/>
    <x v="1"/>
    <m/>
    <m/>
    <m/>
  </r>
  <r>
    <x v="0"/>
    <n v="314301"/>
    <n v="23210550"/>
    <n v="501703088190"/>
    <s v="RUTH"/>
    <s v="PENMAN"/>
    <n v="20170314"/>
    <n v="20170501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16"/>
    <m/>
    <x v="0"/>
    <x v="1"/>
    <m/>
    <m/>
    <m/>
  </r>
  <r>
    <x v="1"/>
    <n v="314304"/>
    <n v="23210658"/>
    <n v="541704038604"/>
    <s v="JAD"/>
    <s v="TULANDA"/>
    <n v="20170402"/>
    <n v="2017050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17"/>
    <m/>
    <x v="0"/>
    <x v="1"/>
    <m/>
    <m/>
    <m/>
  </r>
  <r>
    <x v="0"/>
    <n v="314304"/>
    <n v="23210658"/>
    <n v="541704038604"/>
    <s v="JAD"/>
    <s v="TULANDA"/>
    <n v="20170402"/>
    <n v="20170503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18"/>
    <m/>
    <x v="0"/>
    <x v="1"/>
    <m/>
    <m/>
    <m/>
  </r>
  <r>
    <x v="0"/>
    <n v="314304"/>
    <n v="23210658"/>
    <n v="541704038604"/>
    <s v="JAD"/>
    <s v="TULANDA"/>
    <n v="20170409"/>
    <n v="20170503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19"/>
    <m/>
    <x v="0"/>
    <x v="1"/>
    <m/>
    <m/>
    <m/>
  </r>
  <r>
    <x v="0"/>
    <n v="314301"/>
    <n v="23220761"/>
    <n v="561703028286"/>
    <s v="VANESSA"/>
    <s v="WARNOCK"/>
    <n v="20170324"/>
    <n v="2017071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20"/>
    <m/>
    <x v="0"/>
    <x v="1"/>
    <m/>
    <m/>
    <m/>
  </r>
  <r>
    <x v="0"/>
    <n v="314304"/>
    <n v="23272242"/>
    <n v="511701238269"/>
    <s v="SHERRICE"/>
    <s v="VEASLEY"/>
    <n v="20170317"/>
    <n v="20170416"/>
    <x v="2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21"/>
    <m/>
    <x v="0"/>
    <x v="1"/>
    <m/>
    <m/>
    <s v="Y"/>
  </r>
  <r>
    <x v="0"/>
    <n v="314304"/>
    <n v="23289622"/>
    <s v="CK9488B17497"/>
    <s v="SARAH"/>
    <s v="SANTO PIETRO"/>
    <n v="20170222"/>
    <n v="20170414"/>
    <x v="3"/>
    <m/>
    <m/>
    <s v="N"/>
    <s v="N"/>
    <s v="Y"/>
    <s v="Y"/>
    <s v="Y"/>
    <s v="Y"/>
    <s v="Y"/>
    <s v="N"/>
    <n v="20170415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22"/>
    <m/>
    <x v="1"/>
    <x v="1"/>
    <m/>
    <m/>
    <s v="Y"/>
  </r>
  <r>
    <x v="0"/>
    <n v="314304"/>
    <n v="23292296"/>
    <s v="BR958BD17038"/>
    <s v="ROBIN"/>
    <s v="HOUSER"/>
    <n v="20170413"/>
    <n v="20170629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23"/>
    <m/>
    <x v="1"/>
    <x v="1"/>
    <m/>
    <m/>
    <m/>
  </r>
  <r>
    <x v="1"/>
    <n v="314305"/>
    <n v="23368452"/>
    <s v="GZ733DC17118"/>
    <s v="JACQUELINE"/>
    <s v="LOPEZ"/>
    <n v="20170313"/>
    <n v="20170319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24"/>
    <m/>
    <x v="1"/>
    <x v="1"/>
    <m/>
    <m/>
    <m/>
  </r>
  <r>
    <x v="1"/>
    <n v="314305"/>
    <n v="23368452"/>
    <s v="GZ733DC17118"/>
    <s v="JACQUELINE"/>
    <s v="LOPEZ"/>
    <n v="20170313"/>
    <n v="20170319"/>
    <x v="6"/>
    <m/>
    <m/>
    <s v="N"/>
    <s v="N"/>
    <s v="Y"/>
    <s v="Y"/>
    <s v="Y"/>
    <s v="Y"/>
    <s v="Y"/>
    <s v="N"/>
    <n v="2017032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25"/>
    <m/>
    <x v="1"/>
    <x v="1"/>
    <m/>
    <m/>
    <m/>
  </r>
  <r>
    <x v="0"/>
    <n v="314305"/>
    <n v="23368452"/>
    <s v="GZ733DC17118"/>
    <s v="JACQUELINE"/>
    <s v="LOPEZ"/>
    <n v="20170313"/>
    <n v="20170313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26"/>
    <m/>
    <x v="3"/>
    <x v="1"/>
    <m/>
    <m/>
    <m/>
  </r>
  <r>
    <x v="0"/>
    <n v="314304"/>
    <n v="23368809"/>
    <s v="DJ085HB17997"/>
    <s v="KARYN"/>
    <s v="SOROA"/>
    <n v="20170413"/>
    <n v="20170607"/>
    <x v="8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27"/>
    <m/>
    <x v="0"/>
    <x v="1"/>
    <m/>
    <m/>
    <m/>
  </r>
  <r>
    <x v="0"/>
    <n v="314301"/>
    <n v="23439817"/>
    <n v="541702238864"/>
    <s v="URSULA"/>
    <s v="BAIRD"/>
    <n v="20170308"/>
    <n v="20170414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28"/>
    <m/>
    <x v="0"/>
    <x v="1"/>
    <m/>
    <m/>
    <s v="Y"/>
  </r>
  <r>
    <x v="1"/>
    <n v="314304"/>
    <n v="23482565"/>
    <s v="HK1477B17397"/>
    <s v="NANCY"/>
    <s v="HYATT"/>
    <n v="20170331"/>
    <n v="20170430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29"/>
    <m/>
    <x v="1"/>
    <x v="1"/>
    <m/>
    <m/>
    <m/>
  </r>
  <r>
    <x v="1"/>
    <n v="164331"/>
    <n v="23482565"/>
    <n v="511702073491"/>
    <s v="NANCY"/>
    <s v="HYATT"/>
    <n v="20170313"/>
    <n v="20170330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30"/>
    <m/>
    <x v="1"/>
    <x v="1"/>
    <m/>
    <m/>
    <m/>
  </r>
  <r>
    <x v="1"/>
    <n v="314304"/>
    <n v="23482565"/>
    <n v="501702078070"/>
    <s v="NANCY"/>
    <s v="HYATT"/>
    <n v="20170210"/>
    <n v="20170430"/>
    <x v="1"/>
    <m/>
    <m/>
    <s v="N"/>
    <s v="N"/>
    <s v="Y"/>
    <s v="Y"/>
    <s v="Y"/>
    <s v="Y"/>
    <s v="Y"/>
    <s v="N"/>
    <m/>
    <m/>
    <m/>
    <m/>
    <m/>
    <n v="481"/>
    <s v="W7"/>
    <n v="20170210"/>
    <n v="20170803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31"/>
    <m/>
    <x v="0"/>
    <x v="1"/>
    <m/>
    <m/>
    <m/>
  </r>
  <r>
    <x v="1"/>
    <n v="314304"/>
    <n v="23482565"/>
    <s v="HK1477B17397"/>
    <s v="NANCY"/>
    <s v="HYATT"/>
    <n v="20170201"/>
    <n v="20170430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32"/>
    <m/>
    <x v="1"/>
    <x v="1"/>
    <m/>
    <m/>
    <m/>
  </r>
  <r>
    <x v="0"/>
    <n v="314304"/>
    <n v="23482565"/>
    <s v="HK1477B17397"/>
    <s v="NANCY"/>
    <s v="HYATT"/>
    <n v="20170201"/>
    <n v="20170524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33"/>
    <m/>
    <x v="1"/>
    <x v="1"/>
    <m/>
    <m/>
    <m/>
  </r>
  <r>
    <x v="0"/>
    <n v="314304"/>
    <n v="23482565"/>
    <n v="501702078070"/>
    <s v="NANCY"/>
    <s v="HYATT"/>
    <n v="20170210"/>
    <n v="20170524"/>
    <x v="1"/>
    <m/>
    <m/>
    <s v="N"/>
    <s v="N"/>
    <s v="Y"/>
    <s v="Y"/>
    <s v="Y"/>
    <s v="Y"/>
    <s v="Y"/>
    <s v="N"/>
    <m/>
    <m/>
    <m/>
    <m/>
    <m/>
    <n v="481"/>
    <s v="W7"/>
    <n v="20170210"/>
    <n v="20170803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34"/>
    <m/>
    <x v="0"/>
    <x v="1"/>
    <m/>
    <s v="Y"/>
    <m/>
  </r>
  <r>
    <x v="0"/>
    <n v="164331"/>
    <n v="23482565"/>
    <n v="511702073491"/>
    <s v="NANCY"/>
    <s v="HYATT"/>
    <n v="20170331"/>
    <n v="20170524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35"/>
    <m/>
    <x v="1"/>
    <x v="1"/>
    <m/>
    <m/>
    <m/>
  </r>
  <r>
    <x v="0"/>
    <n v="314304"/>
    <n v="23499605"/>
    <s v="JW492DD17238"/>
    <s v="SYLVIA"/>
    <s v="STEWART"/>
    <n v="20170413"/>
    <n v="20170413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36"/>
    <m/>
    <x v="3"/>
    <x v="1"/>
    <m/>
    <m/>
    <m/>
  </r>
  <r>
    <x v="1"/>
    <n v="314304"/>
    <n v="23559855"/>
    <s v="GZ7118C17908"/>
    <s v="KATIE"/>
    <s v="KRESS"/>
    <n v="20170412"/>
    <n v="20170412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37"/>
    <m/>
    <x v="2"/>
    <x v="1"/>
    <m/>
    <m/>
    <m/>
  </r>
  <r>
    <x v="0"/>
    <n v="314304"/>
    <n v="23559855"/>
    <s v="GZ7118C17908"/>
    <s v="KATIE"/>
    <s v="KRESS"/>
    <n v="20170316"/>
    <n v="20170411"/>
    <x v="3"/>
    <m/>
    <m/>
    <s v="N"/>
    <s v="N"/>
    <s v="Y"/>
    <s v="Y"/>
    <s v="Y"/>
    <s v="Y"/>
    <s v="Y"/>
    <s v="N"/>
    <n v="2017041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38"/>
    <m/>
    <x v="1"/>
    <x v="1"/>
    <s v="Y"/>
    <m/>
    <s v="Y"/>
  </r>
  <r>
    <x v="1"/>
    <n v="314304"/>
    <n v="23588447"/>
    <s v="K47633C17608"/>
    <s v="DELORA"/>
    <s v="WASHINGTON"/>
    <n v="20170308"/>
    <n v="20170308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39"/>
    <m/>
    <x v="2"/>
    <x v="1"/>
    <m/>
    <m/>
    <m/>
  </r>
  <r>
    <x v="0"/>
    <n v="314304"/>
    <n v="23588447"/>
    <s v="K47633C17608"/>
    <s v="DELORA"/>
    <s v="WASHINGTON"/>
    <n v="20170407"/>
    <n v="20170407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40"/>
    <m/>
    <x v="2"/>
    <x v="1"/>
    <m/>
    <m/>
    <m/>
  </r>
  <r>
    <x v="1"/>
    <n v="314301"/>
    <n v="23597413"/>
    <n v="561703148316"/>
    <s v="DREW"/>
    <s v="MILLSAPS"/>
    <n v="20170314"/>
    <n v="20170314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41"/>
    <m/>
    <x v="3"/>
    <x v="1"/>
    <m/>
    <m/>
    <m/>
  </r>
  <r>
    <x v="0"/>
    <n v="314301"/>
    <n v="23597413"/>
    <n v="561703148316"/>
    <s v="DREW"/>
    <s v="MILLSAPS"/>
    <n v="20170314"/>
    <n v="20170528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42"/>
    <m/>
    <x v="0"/>
    <x v="1"/>
    <m/>
    <m/>
    <m/>
  </r>
  <r>
    <x v="0"/>
    <n v="314301"/>
    <n v="23597413"/>
    <n v="561703148316"/>
    <s v="DREW"/>
    <s v="MILLSAPS"/>
    <n v="20170324"/>
    <n v="20170528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43"/>
    <m/>
    <x v="0"/>
    <x v="1"/>
    <m/>
    <m/>
    <m/>
  </r>
  <r>
    <x v="1"/>
    <n v="314304"/>
    <n v="23628026"/>
    <n v="561704108876"/>
    <s v="MICHELLE"/>
    <s v="WILLIAMS"/>
    <n v="20170410"/>
    <n v="2017070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44"/>
    <m/>
    <x v="0"/>
    <x v="1"/>
    <m/>
    <m/>
    <m/>
  </r>
  <r>
    <x v="0"/>
    <n v="314304"/>
    <n v="23628026"/>
    <n v="561704108876"/>
    <s v="MICHELLE"/>
    <s v="WILLIAMS"/>
    <n v="20170410"/>
    <n v="2017071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45"/>
    <m/>
    <x v="0"/>
    <x v="1"/>
    <m/>
    <m/>
    <m/>
  </r>
  <r>
    <x v="0"/>
    <n v="314304"/>
    <n v="23678426"/>
    <n v="541703208184"/>
    <s v="CHARLES"/>
    <s v="THOMAS"/>
    <n v="20170330"/>
    <n v="20170416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46"/>
    <m/>
    <x v="0"/>
    <x v="1"/>
    <m/>
    <m/>
    <s v="Y"/>
  </r>
  <r>
    <x v="0"/>
    <n v="314305"/>
    <n v="23729685"/>
    <n v="511703038491"/>
    <s v="RUTH"/>
    <s v="VARGAS"/>
    <n v="20170327"/>
    <n v="2017051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47"/>
    <m/>
    <x v="0"/>
    <x v="1"/>
    <m/>
    <m/>
    <m/>
  </r>
  <r>
    <x v="0"/>
    <n v="314305"/>
    <n v="23729685"/>
    <n v="511703038491"/>
    <s v="RUTH"/>
    <s v="VARGAS"/>
    <n v="20170403"/>
    <n v="20170512"/>
    <x v="1"/>
    <m/>
    <m/>
    <s v="N"/>
    <s v="N"/>
    <s v="Y"/>
    <s v="Y"/>
    <s v="Y"/>
    <s v="Y"/>
    <s v="Y"/>
    <s v="N"/>
    <n v="2017041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48"/>
    <m/>
    <x v="0"/>
    <x v="1"/>
    <m/>
    <m/>
    <s v="Y"/>
  </r>
  <r>
    <x v="0"/>
    <n v="314304"/>
    <n v="23732282"/>
    <n v="531704068503"/>
    <s v="ERICA"/>
    <s v="CROWDER"/>
    <n v="20170413"/>
    <n v="2017060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49"/>
    <m/>
    <x v="0"/>
    <x v="1"/>
    <m/>
    <m/>
    <m/>
  </r>
  <r>
    <x v="1"/>
    <n v="314304"/>
    <n v="23732492"/>
    <n v="501701178858"/>
    <s v="KIOANTE"/>
    <s v="BROADNAX."/>
    <n v="20170323"/>
    <n v="20170418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50"/>
    <m/>
    <x v="0"/>
    <x v="1"/>
    <m/>
    <m/>
    <m/>
  </r>
  <r>
    <x v="0"/>
    <n v="314304"/>
    <n v="23732492"/>
    <n v="501701178858"/>
    <s v="KIOANTE"/>
    <s v="BROADNAX."/>
    <n v="20170323"/>
    <n v="20170517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51"/>
    <m/>
    <x v="0"/>
    <x v="1"/>
    <m/>
    <m/>
    <m/>
  </r>
  <r>
    <x v="1"/>
    <n v="314304"/>
    <n v="23735912"/>
    <s v="KF750MC17418"/>
    <s v="AYANNA"/>
    <s v="STEPHENSON"/>
    <n v="20170320"/>
    <n v="20170416"/>
    <x v="6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52"/>
    <m/>
    <x v="1"/>
    <x v="1"/>
    <m/>
    <m/>
    <m/>
  </r>
  <r>
    <x v="0"/>
    <n v="314304"/>
    <n v="23735912"/>
    <s v="KF750MC17418"/>
    <s v="AYANNA"/>
    <s v="STEPHENSON"/>
    <n v="20170320"/>
    <n v="20170430"/>
    <x v="6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53"/>
    <m/>
    <x v="1"/>
    <x v="1"/>
    <m/>
    <m/>
    <m/>
  </r>
  <r>
    <x v="1"/>
    <n v="314304"/>
    <n v="23751716"/>
    <n v="551702078135"/>
    <s v="ANTOINE"/>
    <s v="POZNIAK"/>
    <n v="20170214"/>
    <n v="20170326"/>
    <x v="1"/>
    <m/>
    <m/>
    <s v="N"/>
    <s v="N"/>
    <s v="Y"/>
    <s v="Y"/>
    <s v="Y"/>
    <s v="Y"/>
    <s v="Y"/>
    <s v="N"/>
    <n v="2017032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54"/>
    <m/>
    <x v="0"/>
    <x v="1"/>
    <m/>
    <m/>
    <m/>
  </r>
  <r>
    <x v="0"/>
    <n v="314304"/>
    <n v="23751716"/>
    <n v="551702078135"/>
    <s v="ANTOINE"/>
    <s v="POZNIAK"/>
    <n v="20170214"/>
    <n v="20170416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55"/>
    <m/>
    <x v="0"/>
    <x v="1"/>
    <m/>
    <m/>
    <m/>
  </r>
  <r>
    <x v="0"/>
    <n v="314304"/>
    <n v="23751716"/>
    <s v="C04597B17397"/>
    <s v="ANTOINE"/>
    <s v="POZNIAK"/>
    <n v="20170327"/>
    <n v="20170416"/>
    <x v="3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56"/>
    <m/>
    <x v="1"/>
    <x v="1"/>
    <m/>
    <m/>
    <s v="Y"/>
  </r>
  <r>
    <x v="0"/>
    <n v="314304"/>
    <n v="23799900"/>
    <n v="511702208231"/>
    <s v="LISSETTE"/>
    <s v="GUTIERREZ"/>
    <n v="20170317"/>
    <n v="20170409"/>
    <x v="1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57"/>
    <m/>
    <x v="0"/>
    <x v="1"/>
    <m/>
    <m/>
    <s v="Y"/>
  </r>
  <r>
    <x v="1"/>
    <n v="314304"/>
    <n v="23812747"/>
    <s v="M0515KA17387"/>
    <s v="NAOMI"/>
    <s v="DUARTE"/>
    <n v="20170206"/>
    <n v="20170319"/>
    <x v="3"/>
    <m/>
    <m/>
    <s v="N"/>
    <s v="N"/>
    <s v="Y"/>
    <s v="Y"/>
    <s v="Y"/>
    <s v="Y"/>
    <s v="Y"/>
    <s v="N"/>
    <n v="2017040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58"/>
    <m/>
    <x v="1"/>
    <x v="1"/>
    <m/>
    <m/>
    <m/>
  </r>
  <r>
    <x v="0"/>
    <n v="314304"/>
    <n v="23812747"/>
    <s v="M0515KA17387"/>
    <s v="NAOMI"/>
    <s v="DUARTE"/>
    <n v="20170206"/>
    <n v="20170401"/>
    <x v="3"/>
    <m/>
    <m/>
    <s v="N"/>
    <s v="N"/>
    <s v="Y"/>
    <s v="Y"/>
    <s v="Y"/>
    <s v="Y"/>
    <s v="Y"/>
    <s v="N"/>
    <n v="2017040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59"/>
    <m/>
    <x v="1"/>
    <x v="1"/>
    <m/>
    <m/>
    <s v="Y"/>
  </r>
  <r>
    <x v="1"/>
    <n v="314304"/>
    <n v="23819999"/>
    <n v="551702028255"/>
    <s v="BARBARA"/>
    <s v="GOUDELOCK"/>
    <n v="20170330"/>
    <n v="20170402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60"/>
    <m/>
    <x v="0"/>
    <x v="1"/>
    <m/>
    <m/>
    <m/>
  </r>
  <r>
    <x v="0"/>
    <n v="314304"/>
    <n v="23819999"/>
    <n v="551702028255"/>
    <s v="BARBARA"/>
    <s v="GOUDELOCK"/>
    <n v="20170330"/>
    <n v="20170430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61"/>
    <m/>
    <x v="0"/>
    <x v="1"/>
    <m/>
    <m/>
    <m/>
  </r>
  <r>
    <x v="0"/>
    <n v="314304"/>
    <n v="23821011"/>
    <n v="501703068880"/>
    <s v="EDITH"/>
    <s v="NAVARRO"/>
    <n v="20170311"/>
    <n v="20170416"/>
    <x v="1"/>
    <m/>
    <m/>
    <s v="N"/>
    <s v="N"/>
    <s v="Y"/>
    <s v="Y"/>
    <s v="Y"/>
    <s v="Y"/>
    <s v="Y"/>
    <s v="N"/>
    <n v="20170417"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62"/>
    <m/>
    <x v="0"/>
    <x v="1"/>
    <m/>
    <m/>
    <s v="Y"/>
  </r>
  <r>
    <x v="0"/>
    <n v="314304"/>
    <n v="23829898"/>
    <s v="HD5689A17677"/>
    <s v="MAHDI"/>
    <s v="BEHROUZPOUR"/>
    <n v="20161226"/>
    <n v="20170416"/>
    <x v="9"/>
    <m/>
    <m/>
    <s v="N"/>
    <s v="N"/>
    <s v="Y"/>
    <s v="Y"/>
    <s v="Y"/>
    <s v="Y"/>
    <s v="Y"/>
    <s v="N"/>
    <n v="20170417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63"/>
    <m/>
    <x v="0"/>
    <x v="1"/>
    <m/>
    <m/>
    <s v="Y"/>
  </r>
  <r>
    <x v="1"/>
    <n v="314304"/>
    <n v="23831007"/>
    <n v="511703148289"/>
    <s v="MARIA"/>
    <s v="VALDES"/>
    <n v="20170405"/>
    <n v="2017051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64"/>
    <m/>
    <x v="0"/>
    <x v="1"/>
    <m/>
    <m/>
    <m/>
  </r>
  <r>
    <x v="0"/>
    <n v="314304"/>
    <n v="23831007"/>
    <n v="511703148289"/>
    <s v="MARIA"/>
    <s v="VALDES"/>
    <n v="20170405"/>
    <n v="2017050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65"/>
    <m/>
    <x v="0"/>
    <x v="1"/>
    <m/>
    <m/>
    <m/>
  </r>
  <r>
    <x v="0"/>
    <n v="314304"/>
    <n v="23838132"/>
    <s v="KB672CD17138"/>
    <s v="MANUEL"/>
    <s v="AISPURO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66"/>
    <m/>
    <x v="2"/>
    <x v="1"/>
    <m/>
    <m/>
    <m/>
  </r>
  <r>
    <x v="1"/>
    <n v="314304"/>
    <n v="23845050"/>
    <n v="551703208345"/>
    <s v="REBECCA"/>
    <s v="MARTINEZ"/>
    <n v="20170321"/>
    <n v="20170607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67"/>
    <m/>
    <x v="0"/>
    <x v="1"/>
    <m/>
    <m/>
    <m/>
  </r>
  <r>
    <x v="0"/>
    <n v="314304"/>
    <n v="23845050"/>
    <n v="551703208345"/>
    <s v="REBECCA"/>
    <s v="MARTINEZ"/>
    <n v="20170321"/>
    <n v="20170507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68"/>
    <m/>
    <x v="0"/>
    <x v="1"/>
    <m/>
    <m/>
    <m/>
  </r>
  <r>
    <x v="0"/>
    <n v="314304"/>
    <n v="23845050"/>
    <n v="551703208345"/>
    <s v="REBECCA"/>
    <s v="MARTINEZ"/>
    <n v="20170328"/>
    <n v="20170507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69"/>
    <m/>
    <x v="0"/>
    <x v="1"/>
    <m/>
    <m/>
    <m/>
  </r>
  <r>
    <x v="1"/>
    <n v="314304"/>
    <n v="23873872"/>
    <n v="501701238088"/>
    <s v="CHAVONICA"/>
    <s v="JAMES-MERIT"/>
    <n v="20170127"/>
    <n v="20170221"/>
    <x v="1"/>
    <m/>
    <m/>
    <s v="N"/>
    <s v="N"/>
    <s v="Y"/>
    <s v="Y"/>
    <s v="Y"/>
    <s v="Y"/>
    <s v="Y"/>
    <s v="N"/>
    <n v="2017022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70"/>
    <m/>
    <x v="0"/>
    <x v="1"/>
    <m/>
    <m/>
    <m/>
  </r>
  <r>
    <x v="0"/>
    <n v="314304"/>
    <n v="23873872"/>
    <n v="501701238088"/>
    <s v="CHAVONICA"/>
    <s v="JAMES-MERIT"/>
    <n v="20170127"/>
    <n v="20170221"/>
    <x v="1"/>
    <m/>
    <m/>
    <s v="N"/>
    <s v="Y"/>
    <s v="Y"/>
    <s v="Y"/>
    <s v="Y"/>
    <s v="Y"/>
    <s v="N"/>
    <s v="N"/>
    <n v="2017022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71"/>
    <m/>
    <x v="0"/>
    <x v="1"/>
    <m/>
    <m/>
    <s v="Y"/>
  </r>
  <r>
    <x v="1"/>
    <n v="314304"/>
    <n v="23884542"/>
    <n v="551702238815"/>
    <s v="SARAH"/>
    <s v="RICHARDSON"/>
    <n v="20170214"/>
    <n v="20170214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72"/>
    <m/>
    <x v="3"/>
    <x v="1"/>
    <m/>
    <m/>
    <m/>
  </r>
  <r>
    <x v="0"/>
    <n v="314304"/>
    <n v="23884542"/>
    <n v="551702238815"/>
    <s v="SARAH"/>
    <s v="RICHARDSON"/>
    <n v="20170214"/>
    <n v="2017050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73"/>
    <m/>
    <x v="0"/>
    <x v="1"/>
    <m/>
    <m/>
    <m/>
  </r>
  <r>
    <x v="0"/>
    <n v="314304"/>
    <n v="23884542"/>
    <s v="MF920RB17208"/>
    <s v="SARAH"/>
    <s v="RICHARDSON"/>
    <n v="20170221"/>
    <n v="20170501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74"/>
    <m/>
    <x v="1"/>
    <x v="1"/>
    <m/>
    <m/>
    <m/>
  </r>
  <r>
    <x v="1"/>
    <n v="314304"/>
    <n v="23921024"/>
    <s v="D1370AC17018"/>
    <s v="ELIZABETH"/>
    <s v="QUINTANA ANGULO"/>
    <n v="20170410"/>
    <n v="20170501"/>
    <x v="7"/>
    <m/>
    <s v="Medical"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75"/>
    <m/>
    <x v="1"/>
    <x v="1"/>
    <m/>
    <m/>
    <m/>
  </r>
  <r>
    <x v="0"/>
    <n v="314304"/>
    <n v="23921024"/>
    <s v="D1370AC17018"/>
    <s v="ELIZABETH"/>
    <s v="QUINTANA ANGULO"/>
    <n v="20170410"/>
    <n v="20170501"/>
    <x v="3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76"/>
    <m/>
    <x v="1"/>
    <x v="1"/>
    <m/>
    <m/>
    <m/>
  </r>
  <r>
    <x v="1"/>
    <n v="314304"/>
    <n v="23925689"/>
    <s v="B08146C17708"/>
    <s v="MICHELE"/>
    <s v="WHITE-LLOYD"/>
    <n v="20170322"/>
    <n v="20170412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77"/>
    <m/>
    <x v="1"/>
    <x v="1"/>
    <m/>
    <m/>
    <m/>
  </r>
  <r>
    <x v="0"/>
    <n v="314304"/>
    <n v="23925689"/>
    <s v="B08146C17708"/>
    <s v="MICHELE"/>
    <s v="WHITE-LLOYD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78"/>
    <m/>
    <x v="2"/>
    <x v="1"/>
    <m/>
    <m/>
    <m/>
  </r>
  <r>
    <x v="0"/>
    <n v="314304"/>
    <n v="23947691"/>
    <n v="531703308293"/>
    <s v="EMMY"/>
    <s v="PASTRANA"/>
    <n v="20170409"/>
    <n v="20170523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79"/>
    <m/>
    <x v="0"/>
    <x v="1"/>
    <m/>
    <m/>
    <m/>
  </r>
  <r>
    <x v="0"/>
    <n v="314304"/>
    <n v="23970970"/>
    <n v="511703318441"/>
    <s v="PAOLO"/>
    <s v="VIALE"/>
    <n v="20170327"/>
    <n v="2017060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80"/>
    <m/>
    <x v="0"/>
    <x v="1"/>
    <m/>
    <m/>
    <m/>
  </r>
  <r>
    <x v="0"/>
    <n v="314304"/>
    <n v="24079736"/>
    <s v="M0098DD17138"/>
    <s v="KESHA"/>
    <s v="CLARK"/>
    <n v="20170330"/>
    <n v="20170414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81"/>
    <m/>
    <x v="1"/>
    <x v="1"/>
    <m/>
    <m/>
    <m/>
  </r>
  <r>
    <x v="0"/>
    <n v="314304"/>
    <n v="24094380"/>
    <s v="K0092DD17238"/>
    <s v="ANDREW"/>
    <s v="MAJOR"/>
    <n v="20170410"/>
    <n v="20170414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82"/>
    <m/>
    <x v="1"/>
    <x v="1"/>
    <m/>
    <m/>
    <m/>
  </r>
  <r>
    <x v="0"/>
    <n v="314304"/>
    <n v="24117767"/>
    <s v="DR3195D17728"/>
    <s v="OLIVIA"/>
    <s v="STEVENS"/>
    <n v="20170327"/>
    <n v="20170413"/>
    <x v="14"/>
    <m/>
    <m/>
    <s v="N"/>
    <s v="N"/>
    <s v="Y"/>
    <s v="Y"/>
    <s v="Y"/>
    <s v="Y"/>
    <s v="Y"/>
    <s v="N"/>
    <n v="20170414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83"/>
    <m/>
    <x v="0"/>
    <x v="1"/>
    <m/>
    <m/>
    <s v="Y"/>
  </r>
  <r>
    <x v="1"/>
    <n v="314304"/>
    <n v="24129224"/>
    <n v="501703278608"/>
    <s v="KENNETH"/>
    <s v="DEWITT"/>
    <n v="20170327"/>
    <n v="20170426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84"/>
    <m/>
    <x v="0"/>
    <x v="1"/>
    <m/>
    <m/>
    <m/>
  </r>
  <r>
    <x v="0"/>
    <n v="314304"/>
    <n v="24129224"/>
    <n v="501703278608"/>
    <s v="KENNETH"/>
    <s v="DEWITT"/>
    <n v="20170327"/>
    <n v="20170409"/>
    <x v="1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85"/>
    <m/>
    <x v="0"/>
    <x v="1"/>
    <m/>
    <m/>
    <s v="Y"/>
  </r>
  <r>
    <x v="0"/>
    <n v="314301"/>
    <n v="24131386"/>
    <s v="K9113AC17018"/>
    <s v="XIN"/>
    <s v="ZHAO"/>
    <n v="20170330"/>
    <n v="20170608"/>
    <x v="1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86"/>
    <m/>
    <x v="1"/>
    <x v="1"/>
    <m/>
    <m/>
    <m/>
  </r>
  <r>
    <x v="0"/>
    <n v="314301"/>
    <n v="24137227"/>
    <s v="E9182DD17238"/>
    <s v="DAVID"/>
    <s v="PALINCSAR"/>
    <n v="20170410"/>
    <n v="20170730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87"/>
    <m/>
    <x v="0"/>
    <x v="1"/>
    <m/>
    <m/>
    <m/>
  </r>
  <r>
    <x v="1"/>
    <n v="314304"/>
    <n v="24146198"/>
    <s v="ED632AA17877"/>
    <s v="JUSTIN"/>
    <s v="RONDEAU"/>
    <n v="20161222"/>
    <n v="20170412"/>
    <x v="12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88"/>
    <m/>
    <x v="1"/>
    <x v="1"/>
    <m/>
    <m/>
    <m/>
  </r>
  <r>
    <x v="0"/>
    <n v="314304"/>
    <n v="24146198"/>
    <s v="ED632AA17877"/>
    <s v="JUSTIN"/>
    <s v="RONDEAU"/>
    <n v="20161222"/>
    <n v="20170412"/>
    <x v="9"/>
    <m/>
    <m/>
    <s v="N"/>
    <s v="N"/>
    <s v="Y"/>
    <s v="Y"/>
    <s v="Y"/>
    <s v="Y"/>
    <s v="Y"/>
    <s v="N"/>
    <n v="20170412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89"/>
    <m/>
    <x v="0"/>
    <x v="1"/>
    <m/>
    <m/>
    <s v="Y"/>
  </r>
  <r>
    <x v="0"/>
    <n v="314304"/>
    <n v="24168877"/>
    <n v="511704068631"/>
    <s v="JACQUELINE J"/>
    <s v="SIMPSON"/>
    <n v="20170411"/>
    <n v="2017101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90"/>
    <m/>
    <x v="0"/>
    <x v="1"/>
    <m/>
    <m/>
    <m/>
  </r>
  <r>
    <x v="0"/>
    <n v="314304"/>
    <n v="24213528"/>
    <n v="501702148288"/>
    <s v="SEJAL"/>
    <s v="KADAKIA"/>
    <n v="20170221"/>
    <n v="20170416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91"/>
    <m/>
    <x v="0"/>
    <x v="1"/>
    <m/>
    <m/>
    <s v="Y"/>
  </r>
  <r>
    <x v="0"/>
    <n v="314304"/>
    <n v="24241152"/>
    <s v="AG9122C17608"/>
    <s v="KAI"/>
    <s v="JACKSON"/>
    <n v="20170413"/>
    <n v="20170608"/>
    <x v="7"/>
    <m/>
    <s v="Medical"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92"/>
    <m/>
    <x v="1"/>
    <x v="1"/>
    <m/>
    <m/>
    <m/>
  </r>
  <r>
    <x v="0"/>
    <n v="314304"/>
    <n v="24249268"/>
    <n v="551704078655"/>
    <s v="EMILY"/>
    <s v="JOHNSON"/>
    <n v="20170413"/>
    <n v="20170507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93"/>
    <m/>
    <x v="0"/>
    <x v="1"/>
    <m/>
    <m/>
    <m/>
  </r>
  <r>
    <x v="1"/>
    <n v="314301"/>
    <n v="24263198"/>
    <n v="511703218351"/>
    <s v="SHAWNDA"/>
    <s v="HURST"/>
    <n v="20170411"/>
    <n v="20170516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94"/>
    <m/>
    <x v="0"/>
    <x v="1"/>
    <m/>
    <m/>
    <m/>
  </r>
  <r>
    <x v="0"/>
    <n v="314301"/>
    <n v="24263198"/>
    <n v="511703218351"/>
    <s v="SHAWNDA"/>
    <s v="HURST"/>
    <n v="20170410"/>
    <n v="20170516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95"/>
    <m/>
    <x v="0"/>
    <x v="1"/>
    <m/>
    <m/>
    <m/>
  </r>
  <r>
    <x v="1"/>
    <n v="314301"/>
    <n v="24285851"/>
    <n v="521704048082"/>
    <s v="RONNIE"/>
    <s v="TAN"/>
    <n v="20170221"/>
    <n v="20170607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96"/>
    <m/>
    <x v="0"/>
    <x v="1"/>
    <m/>
    <m/>
    <m/>
  </r>
  <r>
    <x v="0"/>
    <n v="314301"/>
    <n v="24285851"/>
    <n v="521704048082"/>
    <s v="RONNIE"/>
    <s v="TAN"/>
    <n v="20170221"/>
    <n v="20170607"/>
    <x v="1"/>
    <m/>
    <m/>
    <s v="N"/>
    <s v="N"/>
    <s v="Y"/>
    <s v="Y"/>
    <s v="Y"/>
    <s v="Y"/>
    <s v="Y"/>
    <s v="N"/>
    <m/>
    <m/>
    <m/>
    <m/>
    <m/>
    <n v="170"/>
    <s v="W5"/>
    <n v="20170221"/>
    <n v="20170814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97"/>
    <m/>
    <x v="0"/>
    <x v="1"/>
    <m/>
    <m/>
    <m/>
  </r>
  <r>
    <x v="0"/>
    <n v="314304"/>
    <n v="24288281"/>
    <n v="561702158446"/>
    <s v="DANA"/>
    <s v="HILLS"/>
    <n v="20170310"/>
    <n v="20170416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98"/>
    <m/>
    <x v="0"/>
    <x v="1"/>
    <m/>
    <m/>
    <s v="Y"/>
  </r>
  <r>
    <x v="0"/>
    <n v="314304"/>
    <n v="24310758"/>
    <n v="511703208191"/>
    <s v="KERRY"/>
    <s v="STROH"/>
    <n v="20170410"/>
    <n v="2017053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399"/>
    <m/>
    <x v="0"/>
    <x v="1"/>
    <m/>
    <m/>
    <m/>
  </r>
  <r>
    <x v="1"/>
    <n v="314304"/>
    <n v="24312709"/>
    <n v="521703298002"/>
    <s v="CARLA"/>
    <s v="MCGHEE"/>
    <n v="20170410"/>
    <n v="20170512"/>
    <x v="0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00"/>
    <m/>
    <x v="0"/>
    <x v="1"/>
    <m/>
    <m/>
    <m/>
  </r>
  <r>
    <x v="0"/>
    <n v="314304"/>
    <n v="24312709"/>
    <n v="521703298002"/>
    <s v="CARLA"/>
    <s v="MCGHEE"/>
    <n v="20170405"/>
    <n v="20170512"/>
    <x v="0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01"/>
    <m/>
    <x v="0"/>
    <x v="1"/>
    <m/>
    <m/>
    <m/>
  </r>
  <r>
    <x v="0"/>
    <n v="314304"/>
    <n v="24312709"/>
    <n v="521703298002"/>
    <s v="CARLA"/>
    <s v="MCGHEE"/>
    <n v="20170412"/>
    <n v="20170512"/>
    <x v="1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02"/>
    <m/>
    <x v="0"/>
    <x v="1"/>
    <m/>
    <m/>
    <m/>
  </r>
  <r>
    <x v="0"/>
    <n v="314304"/>
    <n v="24319810"/>
    <s v="MY1694A17277"/>
    <s v="BARBARA"/>
    <s v="BROWN"/>
    <n v="20170206"/>
    <n v="20170416"/>
    <x v="3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03"/>
    <m/>
    <x v="1"/>
    <x v="1"/>
    <m/>
    <m/>
    <s v="Y"/>
  </r>
  <r>
    <x v="0"/>
    <n v="314304"/>
    <n v="24412132"/>
    <s v="MW151DD17238"/>
    <s v="LISA"/>
    <s v="SUMMERS"/>
    <n v="20170329"/>
    <n v="20170429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04"/>
    <m/>
    <x v="1"/>
    <x v="1"/>
    <m/>
    <m/>
    <m/>
  </r>
  <r>
    <x v="1"/>
    <n v="314304"/>
    <n v="24417217"/>
    <n v="511703208229"/>
    <s v="ANDREW"/>
    <s v="MILNER"/>
    <n v="20170327"/>
    <n v="20170409"/>
    <x v="1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05"/>
    <m/>
    <x v="0"/>
    <x v="1"/>
    <m/>
    <m/>
    <m/>
  </r>
  <r>
    <x v="0"/>
    <n v="314304"/>
    <n v="24417217"/>
    <n v="511703208229"/>
    <s v="ANDREW"/>
    <s v="MILNER"/>
    <n v="20170327"/>
    <n v="20170421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06"/>
    <m/>
    <x v="0"/>
    <x v="1"/>
    <m/>
    <m/>
    <m/>
  </r>
  <r>
    <x v="0"/>
    <n v="314304"/>
    <n v="24417217"/>
    <s v="BD064MC17418"/>
    <s v="ANDREW"/>
    <s v="MILNER"/>
    <n v="20170410"/>
    <n v="20170421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07"/>
    <m/>
    <x v="1"/>
    <x v="1"/>
    <m/>
    <m/>
    <m/>
  </r>
  <r>
    <x v="0"/>
    <n v="314304"/>
    <n v="24480039"/>
    <s v="DB1453D17628"/>
    <s v="STEVEN"/>
    <s v="GILLINGHAM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08"/>
    <m/>
    <x v="2"/>
    <x v="1"/>
    <m/>
    <m/>
    <m/>
  </r>
  <r>
    <x v="1"/>
    <n v="314304"/>
    <n v="24484615"/>
    <n v="521704078672"/>
    <s v="VERONICA"/>
    <s v="ORTIZ"/>
    <n v="20170401"/>
    <n v="2017050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09"/>
    <m/>
    <x v="0"/>
    <x v="1"/>
    <m/>
    <m/>
    <m/>
  </r>
  <r>
    <x v="0"/>
    <n v="314304"/>
    <n v="24484615"/>
    <s v="MY7997D17828"/>
    <s v="VERONICA"/>
    <s v="ORTIZ"/>
    <n v="20170403"/>
    <n v="20170507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10"/>
    <m/>
    <x v="1"/>
    <x v="1"/>
    <m/>
    <m/>
    <m/>
  </r>
  <r>
    <x v="0"/>
    <n v="314304"/>
    <n v="24484615"/>
    <n v="521704078672"/>
    <s v="VERONICA"/>
    <s v="ORTIZ"/>
    <n v="20170406"/>
    <n v="20170507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11"/>
    <m/>
    <x v="0"/>
    <x v="1"/>
    <m/>
    <m/>
    <m/>
  </r>
  <r>
    <x v="0"/>
    <n v="314304"/>
    <n v="24484615"/>
    <n v="521704078672"/>
    <s v="VERONICA"/>
    <s v="ORTIZ"/>
    <n v="20170413"/>
    <n v="20170507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12"/>
    <m/>
    <x v="0"/>
    <x v="1"/>
    <m/>
    <m/>
    <m/>
  </r>
  <r>
    <x v="0"/>
    <n v="314304"/>
    <n v="24487390"/>
    <n v="541704138744"/>
    <s v="RENA"/>
    <s v="ODEH"/>
    <n v="20170330"/>
    <n v="20170724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13"/>
    <m/>
    <x v="0"/>
    <x v="1"/>
    <m/>
    <m/>
    <m/>
  </r>
  <r>
    <x v="0"/>
    <n v="314304"/>
    <n v="24508119"/>
    <n v="521704136402"/>
    <s v="PATRICIA"/>
    <s v="FONTAN"/>
    <n v="20170107"/>
    <n v="20170206"/>
    <x v="0"/>
    <m/>
    <m/>
    <m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14"/>
    <m/>
    <x v="0"/>
    <x v="1"/>
    <m/>
    <m/>
    <m/>
  </r>
  <r>
    <x v="0"/>
    <n v="314301"/>
    <n v="24513973"/>
    <n v="511704038681"/>
    <s v="ADEOLA"/>
    <s v="AWOSANYA"/>
    <n v="20170406"/>
    <n v="20170513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15"/>
    <m/>
    <x v="0"/>
    <x v="1"/>
    <m/>
    <m/>
    <m/>
  </r>
  <r>
    <x v="0"/>
    <n v="314301"/>
    <n v="24513973"/>
    <n v="511704038681"/>
    <s v="ADEOLA"/>
    <s v="AWOSANYA"/>
    <n v="20170413"/>
    <n v="20170513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16"/>
    <m/>
    <x v="0"/>
    <x v="1"/>
    <m/>
    <m/>
    <m/>
  </r>
  <r>
    <x v="1"/>
    <n v="314304"/>
    <n v="24521925"/>
    <s v="B7195CC17018"/>
    <s v="JESSIE"/>
    <s v="LIN"/>
    <n v="20170317"/>
    <n v="20170317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17"/>
    <m/>
    <x v="2"/>
    <x v="1"/>
    <m/>
    <m/>
    <m/>
  </r>
  <r>
    <x v="1"/>
    <n v="314304"/>
    <n v="24521925"/>
    <s v="B7195CC17018"/>
    <s v="JESSIE"/>
    <s v="LIN"/>
    <n v="20170306"/>
    <n v="20170316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18"/>
    <m/>
    <x v="1"/>
    <x v="1"/>
    <m/>
    <m/>
    <m/>
  </r>
  <r>
    <x v="0"/>
    <n v="314304"/>
    <n v="24521925"/>
    <s v="B7195CC17018"/>
    <s v="JESSIE"/>
    <s v="LIN"/>
    <n v="20170306"/>
    <n v="20170306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19"/>
    <m/>
    <x v="3"/>
    <x v="1"/>
    <s v="Y"/>
    <m/>
    <m/>
  </r>
  <r>
    <x v="1"/>
    <n v="314304"/>
    <n v="24585980"/>
    <n v="511703218359"/>
    <s v="AILETHA"/>
    <s v="TURNER"/>
    <n v="20170411"/>
    <n v="2017052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20"/>
    <m/>
    <x v="0"/>
    <x v="1"/>
    <m/>
    <m/>
    <m/>
  </r>
  <r>
    <x v="0"/>
    <n v="314304"/>
    <n v="24585980"/>
    <n v="511703218359"/>
    <s v="AILETHA"/>
    <s v="TURNER"/>
    <n v="20170411"/>
    <n v="2017051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21"/>
    <m/>
    <x v="0"/>
    <x v="1"/>
    <m/>
    <m/>
    <m/>
  </r>
  <r>
    <x v="0"/>
    <n v="314304"/>
    <n v="24587693"/>
    <s v="D9761DD17238"/>
    <s v="KRISTEN"/>
    <s v="ASTRUP"/>
    <n v="20170407"/>
    <n v="20170414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22"/>
    <m/>
    <x v="1"/>
    <x v="1"/>
    <m/>
    <m/>
    <m/>
  </r>
  <r>
    <x v="1"/>
    <n v="314304"/>
    <n v="24595758"/>
    <n v="521703278542"/>
    <s v="SUSAN"/>
    <s v="IRVIN"/>
    <n v="20170403"/>
    <n v="20170426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23"/>
    <m/>
    <x v="0"/>
    <x v="1"/>
    <m/>
    <m/>
    <m/>
  </r>
  <r>
    <x v="1"/>
    <n v="314304"/>
    <n v="24595758"/>
    <n v="521703278542"/>
    <s v="SUSAN"/>
    <s v="IRVIN"/>
    <n v="20170327"/>
    <n v="20170426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24"/>
    <m/>
    <x v="0"/>
    <x v="1"/>
    <m/>
    <m/>
    <m/>
  </r>
  <r>
    <x v="0"/>
    <n v="314304"/>
    <n v="24595758"/>
    <n v="521703278542"/>
    <s v="SUSAN"/>
    <s v="IRVIN"/>
    <n v="20170325"/>
    <n v="20170325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25"/>
    <m/>
    <x v="3"/>
    <x v="1"/>
    <m/>
    <m/>
    <m/>
  </r>
  <r>
    <x v="0"/>
    <n v="314304"/>
    <n v="24635331"/>
    <n v="261703238296"/>
    <s v="LAURETTA"/>
    <s v="HIGH"/>
    <n v="20170410"/>
    <n v="20170528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26"/>
    <m/>
    <x v="0"/>
    <x v="1"/>
    <m/>
    <m/>
    <m/>
  </r>
  <r>
    <x v="0"/>
    <n v="314304"/>
    <n v="24639643"/>
    <s v="CM873GM16727"/>
    <s v="CHRISTOPHER"/>
    <s v="CHAMBLISS"/>
    <n v="20170413"/>
    <n v="20170530"/>
    <x v="7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27"/>
    <m/>
    <x v="1"/>
    <x v="1"/>
    <m/>
    <m/>
    <m/>
  </r>
  <r>
    <x v="0"/>
    <n v="314304"/>
    <n v="24660916"/>
    <n v="521704138672"/>
    <s v="MONICA"/>
    <s v="BRYANT"/>
    <n v="20170411"/>
    <n v="2017051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28"/>
    <m/>
    <x v="0"/>
    <x v="1"/>
    <m/>
    <m/>
    <m/>
  </r>
  <r>
    <x v="1"/>
    <n v="314304"/>
    <n v="24672800"/>
    <n v="521704058312"/>
    <s v="CRYSTAL"/>
    <s v="THOMAS"/>
    <n v="20170406"/>
    <n v="20170506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29"/>
    <m/>
    <x v="0"/>
    <x v="1"/>
    <m/>
    <m/>
    <m/>
  </r>
  <r>
    <x v="0"/>
    <n v="314304"/>
    <n v="24672800"/>
    <s v="J45385D17728"/>
    <s v="CRYSTAL"/>
    <s v="THOMAS"/>
    <n v="20170406"/>
    <n v="20170506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30"/>
    <m/>
    <x v="1"/>
    <x v="1"/>
    <m/>
    <m/>
    <m/>
  </r>
  <r>
    <x v="0"/>
    <n v="314304"/>
    <n v="24797848"/>
    <n v="501704138738"/>
    <s v="ANDREW"/>
    <s v="THURSTON"/>
    <n v="20170413"/>
    <n v="20170707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31"/>
    <m/>
    <x v="0"/>
    <x v="1"/>
    <m/>
    <m/>
    <m/>
  </r>
  <r>
    <x v="0"/>
    <n v="314304"/>
    <n v="24806142"/>
    <n v="511701198809"/>
    <s v="CHELSEY"/>
    <s v="QUINN"/>
    <n v="20170413"/>
    <n v="20171101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32"/>
    <m/>
    <x v="0"/>
    <x v="1"/>
    <m/>
    <m/>
    <m/>
  </r>
  <r>
    <x v="1"/>
    <n v="314304"/>
    <n v="24824328"/>
    <s v="CU490UN16867"/>
    <s v="ANGELENA"/>
    <s v="VANN"/>
    <n v="20170406"/>
    <n v="20170406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33"/>
    <m/>
    <x v="2"/>
    <x v="1"/>
    <m/>
    <m/>
    <m/>
  </r>
  <r>
    <x v="0"/>
    <n v="314304"/>
    <n v="24824328"/>
    <s v="CU490UN16867"/>
    <s v="ANGELENA"/>
    <s v="VANN"/>
    <n v="20170406"/>
    <n v="20170411"/>
    <x v="3"/>
    <m/>
    <m/>
    <s v="N"/>
    <s v="N"/>
    <s v="Y"/>
    <s v="Y"/>
    <s v="Y"/>
    <s v="Y"/>
    <s v="Y"/>
    <s v="N"/>
    <n v="20170412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34"/>
    <m/>
    <x v="1"/>
    <x v="1"/>
    <s v="Y"/>
    <m/>
    <s v="Y"/>
  </r>
  <r>
    <x v="0"/>
    <n v="314304"/>
    <n v="24829625"/>
    <n v="561703288726"/>
    <s v="TANISHA"/>
    <s v="BROOKS"/>
    <n v="20170405"/>
    <n v="20170517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35"/>
    <m/>
    <x v="0"/>
    <x v="1"/>
    <m/>
    <m/>
    <m/>
  </r>
  <r>
    <x v="1"/>
    <n v="314304"/>
    <n v="24865988"/>
    <n v="551704108955"/>
    <s v="JOYCE"/>
    <s v="HINDMAN"/>
    <n v="20170401"/>
    <n v="2017050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36"/>
    <m/>
    <x v="0"/>
    <x v="1"/>
    <m/>
    <m/>
    <m/>
  </r>
  <r>
    <x v="0"/>
    <n v="314304"/>
    <n v="24865988"/>
    <n v="551704108955"/>
    <s v="JOYCE"/>
    <s v="HINDMAN"/>
    <n v="20170403"/>
    <n v="2017051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37"/>
    <m/>
    <x v="0"/>
    <x v="1"/>
    <m/>
    <m/>
    <m/>
  </r>
  <r>
    <x v="0"/>
    <n v="314304"/>
    <n v="24865988"/>
    <n v="551704108955"/>
    <s v="JOYCE"/>
    <s v="HINDMAN"/>
    <n v="20170410"/>
    <n v="2017051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38"/>
    <m/>
    <x v="0"/>
    <x v="1"/>
    <m/>
    <m/>
    <m/>
  </r>
  <r>
    <x v="1"/>
    <n v="314304"/>
    <n v="24877182"/>
    <n v="551703168705"/>
    <s v="LETESHIA"/>
    <s v="LEWIS"/>
    <n v="20170407"/>
    <n v="2017051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39"/>
    <m/>
    <x v="0"/>
    <x v="1"/>
    <m/>
    <m/>
    <m/>
  </r>
  <r>
    <x v="0"/>
    <n v="314304"/>
    <n v="24877182"/>
    <n v="551703168705"/>
    <s v="LETESHIA"/>
    <s v="LEWIS"/>
    <n v="20170406"/>
    <n v="2017051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40"/>
    <m/>
    <x v="0"/>
    <x v="1"/>
    <m/>
    <m/>
    <m/>
  </r>
  <r>
    <x v="0"/>
    <n v="314304"/>
    <n v="24877182"/>
    <n v="551703168705"/>
    <s v="LETESHIA"/>
    <s v="LEWIS"/>
    <n v="20170413"/>
    <n v="20170512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41"/>
    <m/>
    <x v="0"/>
    <x v="1"/>
    <m/>
    <m/>
    <m/>
  </r>
  <r>
    <x v="0"/>
    <n v="314304"/>
    <n v="24950721"/>
    <s v="EF120DB17697"/>
    <s v="JEREMY"/>
    <s v="GREENWOOD"/>
    <n v="20170317"/>
    <n v="20170415"/>
    <x v="7"/>
    <m/>
    <s v="Medical"/>
    <s v="N"/>
    <s v="N"/>
    <s v="Y"/>
    <s v="Y"/>
    <s v="Y"/>
    <s v="Y"/>
    <s v="Y"/>
    <s v="N"/>
    <n v="20170416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42"/>
    <m/>
    <x v="1"/>
    <x v="1"/>
    <m/>
    <m/>
    <s v="Y"/>
  </r>
  <r>
    <x v="0"/>
    <n v="314304"/>
    <n v="25012402"/>
    <s v="EG452DD17238"/>
    <s v="MATTHEW"/>
    <s v="SANDERS"/>
    <n v="20170407"/>
    <n v="20170430"/>
    <x v="3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43"/>
    <m/>
    <x v="1"/>
    <x v="1"/>
    <m/>
    <m/>
    <m/>
  </r>
  <r>
    <x v="1"/>
    <n v="314301"/>
    <n v="25013931"/>
    <s v="J06343A17177"/>
    <s v="CHARLES"/>
    <s v="FOTE"/>
    <n v="20170410"/>
    <n v="2017041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44"/>
    <m/>
    <x v="2"/>
    <x v="1"/>
    <m/>
    <m/>
    <m/>
  </r>
  <r>
    <x v="0"/>
    <n v="314301"/>
    <n v="25013931"/>
    <s v="J06343A17177"/>
    <s v="CHARLES"/>
    <s v="FOTE"/>
    <n v="20170110"/>
    <n v="20170409"/>
    <x v="9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45"/>
    <m/>
    <x v="0"/>
    <x v="1"/>
    <s v="Y"/>
    <m/>
    <s v="Y"/>
  </r>
  <r>
    <x v="1"/>
    <n v="314304"/>
    <n v="25026187"/>
    <s v="AJ7886C17708"/>
    <s v="CODY"/>
    <s v="WENGER"/>
    <n v="20170223"/>
    <n v="20170223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46"/>
    <m/>
    <x v="2"/>
    <x v="1"/>
    <m/>
    <m/>
    <m/>
  </r>
  <r>
    <x v="0"/>
    <n v="314304"/>
    <n v="25026187"/>
    <s v="AJ7886C17708"/>
    <s v="CODY"/>
    <s v="WENGER"/>
    <n v="20170223"/>
    <n v="20170309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47"/>
    <m/>
    <x v="1"/>
    <x v="1"/>
    <s v="Y"/>
    <m/>
    <m/>
  </r>
  <r>
    <x v="0"/>
    <n v="314304"/>
    <n v="25026187"/>
    <s v="AJ7886C17708"/>
    <s v="CODY"/>
    <s v="WENGER"/>
    <n v="20170310"/>
    <n v="20170310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48"/>
    <m/>
    <x v="2"/>
    <x v="1"/>
    <m/>
    <m/>
    <m/>
  </r>
  <r>
    <x v="0"/>
    <n v="314301"/>
    <n v="25029219"/>
    <s v="B1608PC17518"/>
    <s v="GLENN"/>
    <s v="FORD"/>
    <n v="20170321"/>
    <n v="20170415"/>
    <x v="9"/>
    <m/>
    <m/>
    <s v="Y"/>
    <m/>
    <m/>
    <m/>
    <m/>
    <m/>
    <m/>
    <m/>
    <n v="20170416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49"/>
    <m/>
    <x v="0"/>
    <x v="1"/>
    <m/>
    <m/>
    <s v="Y"/>
  </r>
  <r>
    <x v="0"/>
    <n v="314301"/>
    <n v="25080092"/>
    <n v="561703158446"/>
    <s v="COLLEEN"/>
    <s v="HUTCHINSON"/>
    <n v="20170403"/>
    <n v="2017052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50"/>
    <m/>
    <x v="0"/>
    <x v="1"/>
    <m/>
    <m/>
    <m/>
  </r>
  <r>
    <x v="0"/>
    <n v="314301"/>
    <n v="25080092"/>
    <n v="561703158446"/>
    <s v="COLLEEN"/>
    <s v="HUTCHINSON"/>
    <n v="20170410"/>
    <n v="2017052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51"/>
    <m/>
    <x v="0"/>
    <x v="1"/>
    <m/>
    <m/>
    <m/>
  </r>
  <r>
    <x v="1"/>
    <n v="314304"/>
    <n v="25082644"/>
    <n v="561704068626"/>
    <s v="DANAYA"/>
    <s v="MARTINEZ"/>
    <n v="20170325"/>
    <n v="2017053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52"/>
    <m/>
    <x v="0"/>
    <x v="1"/>
    <m/>
    <m/>
    <m/>
  </r>
  <r>
    <x v="0"/>
    <n v="314304"/>
    <n v="25082644"/>
    <n v="561704068626"/>
    <s v="DANAYA"/>
    <s v="MARTINEZ"/>
    <n v="20170328"/>
    <n v="2017053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53"/>
    <m/>
    <x v="0"/>
    <x v="1"/>
    <m/>
    <m/>
    <m/>
  </r>
  <r>
    <x v="0"/>
    <n v="314304"/>
    <n v="25082644"/>
    <n v="561704068626"/>
    <s v="DANAYA"/>
    <s v="MARTINEZ"/>
    <n v="20170404"/>
    <n v="20170531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54"/>
    <m/>
    <x v="0"/>
    <x v="1"/>
    <m/>
    <m/>
    <m/>
  </r>
  <r>
    <x v="1"/>
    <n v="314301"/>
    <n v="25148000"/>
    <n v="551701248615"/>
    <s v="SUSAN"/>
    <s v="GREENE"/>
    <n v="20170124"/>
    <n v="20170508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55"/>
    <m/>
    <x v="0"/>
    <x v="1"/>
    <m/>
    <m/>
    <m/>
  </r>
  <r>
    <x v="0"/>
    <n v="314301"/>
    <n v="25148000"/>
    <n v="551701248615"/>
    <s v="SUSAN"/>
    <s v="GREENE"/>
    <n v="20170124"/>
    <n v="20170508"/>
    <x v="11"/>
    <m/>
    <m/>
    <s v="N"/>
    <s v="N"/>
    <s v="Y"/>
    <s v="Y"/>
    <s v="Y"/>
    <s v="Y"/>
    <s v="Y"/>
    <s v="N"/>
    <m/>
    <m/>
    <m/>
    <m/>
    <m/>
    <n v="1173"/>
    <s v="W7"/>
    <n v="20170124"/>
    <n v="20170717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56"/>
    <m/>
    <x v="0"/>
    <x v="1"/>
    <m/>
    <m/>
    <m/>
  </r>
  <r>
    <x v="0"/>
    <n v="314304"/>
    <n v="25153243"/>
    <n v="561704138746"/>
    <s v="TARA"/>
    <s v="HARRELSON"/>
    <n v="20170413"/>
    <n v="20170513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57"/>
    <m/>
    <x v="0"/>
    <x v="1"/>
    <m/>
    <m/>
    <m/>
  </r>
  <r>
    <x v="1"/>
    <n v="314301"/>
    <n v="25162697"/>
    <n v="521702218522"/>
    <s v="STEPHANIE"/>
    <s v="SHAPPY"/>
    <n v="20170309"/>
    <n v="20170412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58"/>
    <m/>
    <x v="0"/>
    <x v="1"/>
    <m/>
    <m/>
    <m/>
  </r>
  <r>
    <x v="0"/>
    <n v="314301"/>
    <n v="25162697"/>
    <n v="521702218522"/>
    <s v="STEPHANIE"/>
    <s v="SHAPPY"/>
    <n v="20170309"/>
    <n v="2017043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59"/>
    <m/>
    <x v="0"/>
    <x v="1"/>
    <m/>
    <m/>
    <m/>
  </r>
  <r>
    <x v="1"/>
    <n v="314304"/>
    <n v="25251356"/>
    <s v="GE8123B17297"/>
    <s v="STEVENS"/>
    <s v="SAMUEL"/>
    <n v="20170208"/>
    <n v="20170514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60"/>
    <m/>
    <x v="0"/>
    <x v="1"/>
    <m/>
    <m/>
    <m/>
  </r>
  <r>
    <x v="0"/>
    <n v="314304"/>
    <n v="25251356"/>
    <s v="GE8123B17297"/>
    <s v="STEVENS"/>
    <s v="SAMUEL"/>
    <n v="20170208"/>
    <n v="20170523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61"/>
    <m/>
    <x v="0"/>
    <x v="1"/>
    <m/>
    <m/>
    <m/>
  </r>
  <r>
    <x v="0"/>
    <n v="314304"/>
    <n v="25251356"/>
    <s v="GE8123B17297"/>
    <s v="STEVENS"/>
    <s v="SAMUEL"/>
    <n v="20170208"/>
    <n v="20170523"/>
    <x v="1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62"/>
    <m/>
    <x v="1"/>
    <x v="1"/>
    <m/>
    <m/>
    <m/>
  </r>
  <r>
    <x v="0"/>
    <n v="314304"/>
    <n v="25338563"/>
    <s v="H6726ZC17528"/>
    <s v="AN"/>
    <s v="NGUYEN"/>
    <n v="20170403"/>
    <n v="20170416"/>
    <x v="6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63"/>
    <m/>
    <x v="1"/>
    <x v="1"/>
    <m/>
    <m/>
    <s v="Y"/>
  </r>
  <r>
    <x v="1"/>
    <n v="314304"/>
    <n v="25359659"/>
    <s v="K8012YC17528"/>
    <s v="BRENDALYN"/>
    <s v="DYE"/>
    <n v="20170406"/>
    <n v="20170406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64"/>
    <m/>
    <x v="2"/>
    <x v="1"/>
    <m/>
    <m/>
    <m/>
  </r>
  <r>
    <x v="1"/>
    <n v="314304"/>
    <n v="25359659"/>
    <n v="511703308289"/>
    <s v="BRENDALYN"/>
    <s v="DYE"/>
    <n v="20170322"/>
    <n v="2017042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65"/>
    <m/>
    <x v="0"/>
    <x v="1"/>
    <m/>
    <m/>
    <m/>
  </r>
  <r>
    <x v="0"/>
    <n v="314304"/>
    <n v="25359659"/>
    <n v="511703308289"/>
    <s v="BRENDALYN"/>
    <s v="DYE"/>
    <n v="20170322"/>
    <n v="2017043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66"/>
    <m/>
    <x v="0"/>
    <x v="1"/>
    <s v="Y"/>
    <m/>
    <m/>
  </r>
  <r>
    <x v="0"/>
    <n v="314304"/>
    <n v="25359659"/>
    <n v="511703308289"/>
    <s v="BRENDALYN"/>
    <s v="DYE"/>
    <n v="20170329"/>
    <n v="2017043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67"/>
    <m/>
    <x v="0"/>
    <x v="1"/>
    <s v="Y"/>
    <m/>
    <m/>
  </r>
  <r>
    <x v="0"/>
    <n v="314304"/>
    <n v="25364036"/>
    <s v="AX173DN16167"/>
    <s v="RONG"/>
    <s v="LIU"/>
    <n v="20161212"/>
    <n v="20170416"/>
    <x v="3"/>
    <m/>
    <m/>
    <s v="N"/>
    <s v="N"/>
    <s v="Y"/>
    <s v="Y"/>
    <s v="Y"/>
    <s v="Y"/>
    <s v="Y"/>
    <s v="N"/>
    <n v="20170417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68"/>
    <m/>
    <x v="1"/>
    <x v="1"/>
    <m/>
    <m/>
    <s v="Y"/>
  </r>
  <r>
    <x v="1"/>
    <n v="314301"/>
    <n v="25385695"/>
    <s v="J3049NB17008"/>
    <s v="LEAH"/>
    <s v="POTTS"/>
    <n v="20170405"/>
    <n v="20170530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69"/>
    <m/>
    <x v="1"/>
    <x v="1"/>
    <m/>
    <m/>
    <m/>
  </r>
  <r>
    <x v="0"/>
    <n v="314301"/>
    <n v="25385695"/>
    <s v="J3049NB17008"/>
    <s v="LEAH"/>
    <s v="POTTS"/>
    <n v="20170405"/>
    <n v="20170530"/>
    <x v="7"/>
    <m/>
    <s v="Non-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70"/>
    <m/>
    <x v="1"/>
    <x v="1"/>
    <m/>
    <m/>
    <m/>
  </r>
  <r>
    <x v="0"/>
    <n v="314305"/>
    <n v="25408472"/>
    <n v="501704128650"/>
    <s v="MICHELE"/>
    <s v="PRICE"/>
    <n v="20170413"/>
    <n v="20170513"/>
    <x v="0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71"/>
    <m/>
    <x v="0"/>
    <x v="1"/>
    <m/>
    <m/>
    <m/>
  </r>
  <r>
    <x v="0"/>
    <n v="314301"/>
    <n v="25423546"/>
    <s v="E4487DD17138"/>
    <s v="CARLOS"/>
    <s v="MEDINA"/>
    <n v="20170403"/>
    <n v="20170502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72"/>
    <m/>
    <x v="0"/>
    <x v="1"/>
    <m/>
    <m/>
    <m/>
  </r>
  <r>
    <x v="1"/>
    <n v="314304"/>
    <n v="25462115"/>
    <n v="561704068486"/>
    <s v="CAROLINA"/>
    <s v="HOWARD"/>
    <n v="20170404"/>
    <n v="2017072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73"/>
    <m/>
    <x v="0"/>
    <x v="1"/>
    <m/>
    <m/>
    <m/>
  </r>
  <r>
    <x v="0"/>
    <n v="314304"/>
    <n v="25462115"/>
    <n v="561704068486"/>
    <s v="CAROLINA"/>
    <s v="HOWARD"/>
    <n v="20170404"/>
    <n v="20170725"/>
    <x v="8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74"/>
    <m/>
    <x v="0"/>
    <x v="1"/>
    <m/>
    <m/>
    <m/>
  </r>
  <r>
    <x v="0"/>
    <n v="314304"/>
    <n v="25462115"/>
    <n v="561704068486"/>
    <s v="CAROLINA"/>
    <s v="HOWARD"/>
    <n v="20170411"/>
    <n v="20170725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75"/>
    <m/>
    <x v="0"/>
    <x v="1"/>
    <m/>
    <m/>
    <m/>
  </r>
  <r>
    <x v="0"/>
    <n v="314310"/>
    <n v="25527725"/>
    <s v="H7100PB17208"/>
    <s v="ADAM"/>
    <s v="HOLLINGER"/>
    <n v="20170401"/>
    <n v="20170416"/>
    <x v="9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76"/>
    <m/>
    <x v="0"/>
    <x v="1"/>
    <m/>
    <m/>
    <s v="Y"/>
  </r>
  <r>
    <x v="0"/>
    <n v="314304"/>
    <n v="25540888"/>
    <s v="MG124XC17428"/>
    <s v="TONYA"/>
    <s v="MCCOLLUM"/>
    <n v="20170413"/>
    <n v="20170525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77"/>
    <m/>
    <x v="1"/>
    <x v="1"/>
    <m/>
    <m/>
    <m/>
  </r>
  <r>
    <x v="1"/>
    <n v="314304"/>
    <n v="25586220"/>
    <s v="HC349KA17387"/>
    <s v="MALIKA"/>
    <s v="BUGGS"/>
    <n v="20170401"/>
    <n v="20170401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78"/>
    <m/>
    <x v="2"/>
    <x v="1"/>
    <m/>
    <m/>
    <m/>
  </r>
  <r>
    <x v="1"/>
    <n v="314304"/>
    <n v="25586220"/>
    <s v="HC349KA17387"/>
    <s v="MALIKA"/>
    <s v="BUGGS"/>
    <n v="20170317"/>
    <n v="20170331"/>
    <x v="3"/>
    <m/>
    <m/>
    <s v="N"/>
    <s v="Y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79"/>
    <m/>
    <x v="1"/>
    <x v="1"/>
    <m/>
    <m/>
    <m/>
  </r>
  <r>
    <x v="1"/>
    <n v="314304"/>
    <n v="25586220"/>
    <s v="HC349KA17387"/>
    <s v="MALIKA"/>
    <s v="BUGGS"/>
    <n v="20170315"/>
    <n v="20170315"/>
    <x v="4"/>
    <m/>
    <m/>
    <s v="N"/>
    <s v="Y"/>
    <s v="Y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80"/>
    <m/>
    <x v="2"/>
    <x v="1"/>
    <m/>
    <m/>
    <m/>
  </r>
  <r>
    <x v="1"/>
    <n v="314304"/>
    <n v="25586220"/>
    <s v="HC349KA17387"/>
    <s v="MALIKA"/>
    <s v="BUGGS"/>
    <n v="20170129"/>
    <n v="20170331"/>
    <x v="3"/>
    <m/>
    <m/>
    <s v="N"/>
    <s v="Y"/>
    <s v="Y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81"/>
    <m/>
    <x v="1"/>
    <x v="1"/>
    <m/>
    <m/>
    <m/>
  </r>
  <r>
    <x v="0"/>
    <n v="314304"/>
    <n v="25586220"/>
    <s v="HC349KA17387"/>
    <s v="MALIKA"/>
    <s v="BUGGS"/>
    <n v="20170129"/>
    <n v="20170313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82"/>
    <m/>
    <x v="1"/>
    <x v="1"/>
    <s v="Y"/>
    <m/>
    <m/>
  </r>
  <r>
    <x v="0"/>
    <n v="314304"/>
    <n v="25586220"/>
    <s v="HC349KA17387"/>
    <s v="MALIKA"/>
    <s v="BUGGS"/>
    <n v="20170314"/>
    <n v="20170314"/>
    <x v="4"/>
    <m/>
    <m/>
    <s v="N"/>
    <s v="N"/>
    <s v="Y"/>
    <s v="Y"/>
    <s v="Y"/>
    <s v="Y"/>
    <s v="Y"/>
    <s v="N"/>
    <n v="2017032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83"/>
    <m/>
    <x v="2"/>
    <x v="1"/>
    <m/>
    <m/>
    <s v="Y"/>
  </r>
  <r>
    <x v="0"/>
    <n v="314304"/>
    <n v="25609453"/>
    <n v="511704038879"/>
    <s v="MARISOL"/>
    <s v="PARRA"/>
    <n v="20170408"/>
    <n v="20170526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84"/>
    <m/>
    <x v="0"/>
    <x v="1"/>
    <m/>
    <m/>
    <m/>
  </r>
  <r>
    <x v="1"/>
    <n v="314304"/>
    <n v="25625280"/>
    <s v="BF053VA17887"/>
    <s v="JASON"/>
    <s v="PHAM"/>
    <n v="20170410"/>
    <n v="2017041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85"/>
    <m/>
    <x v="2"/>
    <x v="1"/>
    <m/>
    <m/>
    <m/>
  </r>
  <r>
    <x v="1"/>
    <n v="314304"/>
    <n v="25625280"/>
    <s v="BF053VA17887"/>
    <s v="JASON"/>
    <s v="PHAM"/>
    <n v="20170130"/>
    <n v="20170409"/>
    <x v="1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86"/>
    <m/>
    <x v="1"/>
    <x v="1"/>
    <m/>
    <m/>
    <m/>
  </r>
  <r>
    <x v="0"/>
    <n v="314304"/>
    <n v="25625280"/>
    <s v="BF053VA17887"/>
    <s v="JASON"/>
    <s v="PHAM"/>
    <n v="20170130"/>
    <n v="20170416"/>
    <x v="15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87"/>
    <m/>
    <x v="1"/>
    <x v="1"/>
    <s v="Y"/>
    <m/>
    <s v="Y"/>
  </r>
  <r>
    <x v="1"/>
    <n v="314304"/>
    <n v="25626186"/>
    <s v="AW6033D17628"/>
    <s v="EFREN"/>
    <s v="BANDIN"/>
    <n v="20170403"/>
    <n v="20170723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88"/>
    <m/>
    <x v="0"/>
    <x v="1"/>
    <m/>
    <m/>
    <m/>
  </r>
  <r>
    <x v="0"/>
    <n v="314304"/>
    <n v="25626186"/>
    <s v="AW6033D17628"/>
    <s v="EFREN"/>
    <s v="BANDIN"/>
    <n v="20170403"/>
    <n v="20170423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89"/>
    <m/>
    <x v="0"/>
    <x v="1"/>
    <m/>
    <m/>
    <m/>
  </r>
  <r>
    <x v="0"/>
    <n v="314304"/>
    <n v="25639098"/>
    <s v="MG3566C17708"/>
    <s v="LIDIA"/>
    <s v="KARAPETYAN"/>
    <n v="20170118"/>
    <n v="20170414"/>
    <x v="3"/>
    <m/>
    <m/>
    <s v="N"/>
    <s v="N"/>
    <s v="Y"/>
    <s v="Y"/>
    <s v="Y"/>
    <s v="Y"/>
    <s v="Y"/>
    <s v="N"/>
    <n v="20170417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90"/>
    <m/>
    <x v="1"/>
    <x v="1"/>
    <m/>
    <m/>
    <s v="Y"/>
  </r>
  <r>
    <x v="0"/>
    <n v="314304"/>
    <n v="25657326"/>
    <s v="B4548DC17018"/>
    <s v="JESSICA"/>
    <s v="ANDERSON"/>
    <n v="20170316"/>
    <n v="20170416"/>
    <x v="3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91"/>
    <m/>
    <x v="1"/>
    <x v="1"/>
    <m/>
    <m/>
    <s v="Y"/>
  </r>
  <r>
    <x v="0"/>
    <n v="314304"/>
    <n v="25661520"/>
    <s v="G2441DD17238"/>
    <s v="DEVON"/>
    <s v="SLOCUM"/>
    <n v="20170330"/>
    <n v="20170707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92"/>
    <m/>
    <x v="1"/>
    <x v="1"/>
    <m/>
    <m/>
    <m/>
  </r>
  <r>
    <x v="0"/>
    <n v="314304"/>
    <n v="25661520"/>
    <s v="HD705CD17138"/>
    <s v="DEVON"/>
    <s v="SLOCUM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93"/>
    <m/>
    <x v="2"/>
    <x v="1"/>
    <m/>
    <m/>
    <m/>
  </r>
  <r>
    <x v="0"/>
    <n v="314301"/>
    <n v="25668763"/>
    <n v="531704138743"/>
    <s v="CATHERINE"/>
    <s v="HARROD"/>
    <n v="20170412"/>
    <n v="2017051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94"/>
    <m/>
    <x v="0"/>
    <x v="1"/>
    <m/>
    <m/>
    <m/>
  </r>
  <r>
    <x v="0"/>
    <n v="314304"/>
    <n v="25706980"/>
    <n v="511702098401"/>
    <s v="TAZIANNE"/>
    <s v="MARSHALL"/>
    <n v="20170413"/>
    <n v="20170704"/>
    <x v="1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95"/>
    <m/>
    <x v="0"/>
    <x v="1"/>
    <m/>
    <m/>
    <m/>
  </r>
  <r>
    <x v="1"/>
    <n v="314304"/>
    <n v="25708398"/>
    <n v="561703298056"/>
    <s v="VANESSA"/>
    <s v="THOMPSON"/>
    <n v="20170325"/>
    <n v="20170502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96"/>
    <m/>
    <x v="0"/>
    <x v="1"/>
    <m/>
    <m/>
    <m/>
  </r>
  <r>
    <x v="0"/>
    <n v="314304"/>
    <n v="25708398"/>
    <n v="561703298056"/>
    <s v="VANESSA"/>
    <s v="THOMPSON"/>
    <n v="20170325"/>
    <n v="20170711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97"/>
    <m/>
    <x v="0"/>
    <x v="1"/>
    <m/>
    <m/>
    <m/>
  </r>
  <r>
    <x v="0"/>
    <n v="314304"/>
    <n v="25748368"/>
    <s v="BN9838C17908"/>
    <s v="RAMY"/>
    <s v="NAGY"/>
    <n v="20170413"/>
    <n v="20170512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98"/>
    <m/>
    <x v="1"/>
    <x v="1"/>
    <m/>
    <m/>
    <m/>
  </r>
  <r>
    <x v="0"/>
    <n v="314304"/>
    <n v="25763190"/>
    <n v="511702238869"/>
    <s v="RADICA"/>
    <s v="WRIGHT"/>
    <n v="20170329"/>
    <n v="20170414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499"/>
    <m/>
    <x v="0"/>
    <x v="1"/>
    <m/>
    <m/>
    <s v="Y"/>
  </r>
  <r>
    <x v="0"/>
    <n v="314304"/>
    <n v="25780644"/>
    <s v="KF495MC17418"/>
    <s v="RAHEIM"/>
    <s v="GRIDER"/>
    <n v="20170323"/>
    <n v="20170416"/>
    <x v="3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00"/>
    <m/>
    <x v="1"/>
    <x v="1"/>
    <m/>
    <m/>
    <s v="Y"/>
  </r>
  <r>
    <x v="1"/>
    <n v="314304"/>
    <n v="25793919"/>
    <s v="K1454GM16727"/>
    <s v="JESUS"/>
    <s v="CASTRELLON"/>
    <n v="20170401"/>
    <n v="20170401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01"/>
    <m/>
    <x v="2"/>
    <x v="1"/>
    <m/>
    <m/>
    <m/>
  </r>
  <r>
    <x v="1"/>
    <n v="314304"/>
    <n v="25793919"/>
    <s v="K1454GM16727"/>
    <s v="JESUS"/>
    <s v="CASTRELLON"/>
    <n v="20161129"/>
    <n v="20170331"/>
    <x v="16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02"/>
    <m/>
    <x v="0"/>
    <x v="1"/>
    <m/>
    <m/>
    <m/>
  </r>
  <r>
    <x v="0"/>
    <n v="314304"/>
    <n v="25793919"/>
    <s v="K1454GM16727"/>
    <s v="JESUS"/>
    <s v="CASTRELLON"/>
    <n v="20161129"/>
    <n v="20170327"/>
    <x v="16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03"/>
    <m/>
    <x v="0"/>
    <x v="1"/>
    <s v="Y"/>
    <m/>
    <m/>
  </r>
  <r>
    <x v="0"/>
    <n v="314304"/>
    <n v="25793919"/>
    <s v="K1454GM16727"/>
    <s v="JESUS"/>
    <s v="CASTRELLON"/>
    <n v="20170328"/>
    <n v="20170328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04"/>
    <m/>
    <x v="2"/>
    <x v="1"/>
    <m/>
    <m/>
    <m/>
  </r>
  <r>
    <x v="0"/>
    <n v="314301"/>
    <n v="25820151"/>
    <s v="K2297YA17887"/>
    <s v="LESTER"/>
    <s v="GILES"/>
    <n v="20170213"/>
    <n v="20170416"/>
    <x v="9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05"/>
    <m/>
    <x v="0"/>
    <x v="1"/>
    <m/>
    <m/>
    <s v="Y"/>
  </r>
  <r>
    <x v="1"/>
    <n v="314304"/>
    <n v="25821005"/>
    <s v="BU133VA17887"/>
    <s v="JACQUELINE"/>
    <s v="CHIMENTO"/>
    <n v="20170125"/>
    <n v="20170415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06"/>
    <m/>
    <x v="1"/>
    <x v="1"/>
    <m/>
    <m/>
    <m/>
  </r>
  <r>
    <x v="0"/>
    <n v="314304"/>
    <n v="25821005"/>
    <s v="BU133VA17887"/>
    <s v="JACQUELINE"/>
    <s v="CHIMENTO"/>
    <n v="20170125"/>
    <n v="20170524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07"/>
    <m/>
    <x v="1"/>
    <x v="1"/>
    <m/>
    <m/>
    <m/>
  </r>
  <r>
    <x v="0"/>
    <n v="314301"/>
    <n v="25825770"/>
    <s v="GN390DD17238"/>
    <s v="JI SOO"/>
    <s v="PARK"/>
    <n v="20170410"/>
    <n v="20170730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08"/>
    <m/>
    <x v="0"/>
    <x v="1"/>
    <m/>
    <m/>
    <m/>
  </r>
  <r>
    <x v="1"/>
    <n v="314304"/>
    <n v="25836604"/>
    <s v="DE4286D17828"/>
    <s v="BRANDON"/>
    <s v="COLENBURG"/>
    <n v="20170328"/>
    <n v="20170430"/>
    <x v="3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09"/>
    <m/>
    <x v="1"/>
    <x v="1"/>
    <m/>
    <m/>
    <m/>
  </r>
  <r>
    <x v="0"/>
    <n v="314304"/>
    <n v="25836604"/>
    <s v="DE4286D17828"/>
    <s v="BRANDON"/>
    <s v="COLENBURG"/>
    <n v="20170328"/>
    <n v="20170414"/>
    <x v="3"/>
    <m/>
    <m/>
    <s v="N"/>
    <s v="N"/>
    <s v="N"/>
    <s v="Y"/>
    <s v="Y"/>
    <s v="Y"/>
    <s v="Y"/>
    <s v="Y"/>
    <n v="20170415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10"/>
    <m/>
    <x v="1"/>
    <x v="1"/>
    <m/>
    <m/>
    <s v="Y"/>
  </r>
  <r>
    <x v="0"/>
    <n v="314304"/>
    <n v="25849633"/>
    <n v="561704128656"/>
    <s v="VANESSA"/>
    <s v="VON GOEBEN"/>
    <n v="20170411"/>
    <n v="20170511"/>
    <x v="0"/>
    <m/>
    <m/>
    <s v="N"/>
    <s v="N"/>
    <s v="Y"/>
    <s v="Y"/>
    <s v="Y"/>
    <s v="Y"/>
    <s v="N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11"/>
    <m/>
    <x v="0"/>
    <x v="1"/>
    <m/>
    <m/>
    <m/>
  </r>
  <r>
    <x v="0"/>
    <n v="314304"/>
    <n v="25885860"/>
    <s v="DT2917C17808"/>
    <s v="CARMEN"/>
    <s v="GUZMAN"/>
    <n v="20170413"/>
    <n v="20170513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12"/>
    <m/>
    <x v="1"/>
    <x v="1"/>
    <m/>
    <m/>
    <m/>
  </r>
  <r>
    <x v="0"/>
    <n v="314304"/>
    <n v="25899681"/>
    <s v="MH238DD17138"/>
    <s v="KATHERINE"/>
    <s v="WHITCOMBE"/>
    <n v="20170412"/>
    <n v="20170424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13"/>
    <m/>
    <x v="1"/>
    <x v="1"/>
    <m/>
    <m/>
    <m/>
  </r>
  <r>
    <x v="1"/>
    <n v="314301"/>
    <n v="25907930"/>
    <s v="CB8603D17628"/>
    <s v="STEPHEN"/>
    <s v="WILLCOX"/>
    <n v="20170403"/>
    <n v="20170531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14"/>
    <m/>
    <x v="0"/>
    <x v="1"/>
    <m/>
    <m/>
    <m/>
  </r>
  <r>
    <x v="0"/>
    <n v="314301"/>
    <n v="25907930"/>
    <s v="CB8603D17628"/>
    <s v="STEPHEN"/>
    <s v="WILLCOX"/>
    <n v="20170403"/>
    <n v="20170529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15"/>
    <m/>
    <x v="0"/>
    <x v="1"/>
    <m/>
    <m/>
    <m/>
  </r>
  <r>
    <x v="0"/>
    <n v="314301"/>
    <n v="25908191"/>
    <s v="MN362DD17238"/>
    <s v="JUSTIN"/>
    <s v="OTTMER"/>
    <n v="20170411"/>
    <n v="20170604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16"/>
    <m/>
    <x v="1"/>
    <x v="1"/>
    <m/>
    <m/>
    <m/>
  </r>
  <r>
    <x v="0"/>
    <n v="314304"/>
    <n v="25916989"/>
    <n v="561704138816"/>
    <s v="ERUM"/>
    <s v="ALFRED"/>
    <n v="20170408"/>
    <n v="20170728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17"/>
    <m/>
    <x v="0"/>
    <x v="1"/>
    <m/>
    <m/>
    <m/>
  </r>
  <r>
    <x v="0"/>
    <n v="314307"/>
    <n v="25958659"/>
    <s v="H3366ZC17528"/>
    <s v="BETH"/>
    <s v="STARGARDT"/>
    <n v="20170403"/>
    <n v="20170416"/>
    <x v="14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18"/>
    <m/>
    <x v="0"/>
    <x v="1"/>
    <m/>
    <m/>
    <s v="Y"/>
  </r>
  <r>
    <x v="0"/>
    <n v="314301"/>
    <n v="25971767"/>
    <n v="571702148357"/>
    <s v="RAMON"/>
    <s v="SAENZ"/>
    <n v="20170316"/>
    <n v="20170416"/>
    <x v="2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19"/>
    <m/>
    <x v="0"/>
    <x v="1"/>
    <m/>
    <m/>
    <s v="Y"/>
  </r>
  <r>
    <x v="1"/>
    <n v="314301"/>
    <n v="25974133"/>
    <s v="DR0873D17628"/>
    <s v="ANGEL"/>
    <s v="CHIEN"/>
    <n v="20170321"/>
    <n v="20170321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20"/>
    <m/>
    <x v="2"/>
    <x v="1"/>
    <m/>
    <m/>
    <m/>
  </r>
  <r>
    <x v="1"/>
    <n v="314301"/>
    <n v="25974133"/>
    <s v="DR0873D17628"/>
    <s v="ANGEL"/>
    <s v="CHIEN"/>
    <n v="20170110"/>
    <n v="20170320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21"/>
    <m/>
    <x v="1"/>
    <x v="1"/>
    <m/>
    <m/>
    <m/>
  </r>
  <r>
    <x v="1"/>
    <n v="314301"/>
    <n v="25974133"/>
    <s v="DR0873D17628"/>
    <s v="ANGEL"/>
    <s v="CHIEN"/>
    <n v="20170109"/>
    <n v="20170320"/>
    <x v="8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22"/>
    <m/>
    <x v="0"/>
    <x v="1"/>
    <m/>
    <m/>
    <m/>
  </r>
  <r>
    <x v="0"/>
    <n v="314301"/>
    <n v="25974133"/>
    <s v="DR0873D17628"/>
    <s v="ANGEL"/>
    <s v="CHIEN"/>
    <n v="20161129"/>
    <n v="20170331"/>
    <x v="8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23"/>
    <m/>
    <x v="0"/>
    <x v="1"/>
    <s v="Y"/>
    <m/>
    <m/>
  </r>
  <r>
    <x v="0"/>
    <n v="314301"/>
    <n v="25974133"/>
    <s v="DR0873D17628"/>
    <s v="ANGEL"/>
    <s v="CHIEN"/>
    <n v="20170110"/>
    <n v="20170331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24"/>
    <m/>
    <x v="1"/>
    <x v="1"/>
    <s v="Y"/>
    <m/>
    <m/>
  </r>
  <r>
    <x v="0"/>
    <n v="314301"/>
    <n v="25974133"/>
    <s v="DR0873D17628"/>
    <s v="ANGEL"/>
    <s v="CHIEN"/>
    <n v="20170321"/>
    <n v="20170331"/>
    <x v="10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25"/>
    <m/>
    <x v="1"/>
    <x v="1"/>
    <s v="Y"/>
    <m/>
    <m/>
  </r>
  <r>
    <x v="0"/>
    <n v="314301"/>
    <n v="25974133"/>
    <s v="DR0873D17628"/>
    <s v="ANGEL"/>
    <s v="CHIEN"/>
    <n v="20170401"/>
    <n v="20170401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26"/>
    <m/>
    <x v="2"/>
    <x v="1"/>
    <m/>
    <m/>
    <m/>
  </r>
  <r>
    <x v="1"/>
    <n v="314304"/>
    <n v="26039050"/>
    <s v="BK451YA17987"/>
    <s v="JULIENE"/>
    <s v="WALKER"/>
    <n v="20170401"/>
    <n v="20170501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27"/>
    <m/>
    <x v="1"/>
    <x v="1"/>
    <m/>
    <m/>
    <m/>
  </r>
  <r>
    <x v="0"/>
    <n v="314304"/>
    <n v="26039050"/>
    <s v="BK451YA17987"/>
    <s v="JULIENE"/>
    <s v="WALKER"/>
    <n v="20170401"/>
    <n v="20170501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28"/>
    <m/>
    <x v="1"/>
    <x v="1"/>
    <m/>
    <m/>
    <m/>
  </r>
  <r>
    <x v="1"/>
    <n v="314305"/>
    <n v="26072651"/>
    <s v="BN059GC17218"/>
    <s v="JESSICA"/>
    <s v="TOOMEY"/>
    <n v="20170317"/>
    <n v="20170323"/>
    <x v="7"/>
    <m/>
    <s v="Non-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29"/>
    <m/>
    <x v="1"/>
    <x v="1"/>
    <m/>
    <m/>
    <m/>
  </r>
  <r>
    <x v="1"/>
    <n v="314304"/>
    <n v="26095378"/>
    <n v="511704048069"/>
    <s v="JOANELIX"/>
    <s v="ESPADA RODRIGUEZ"/>
    <n v="20170330"/>
    <n v="20170719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30"/>
    <m/>
    <x v="0"/>
    <x v="1"/>
    <m/>
    <m/>
    <m/>
  </r>
  <r>
    <x v="0"/>
    <n v="314304"/>
    <n v="26095378"/>
    <n v="511704048069"/>
    <s v="JOANELIX"/>
    <s v="ESPADA RODRIGUEZ"/>
    <n v="20170403"/>
    <n v="20170719"/>
    <x v="8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31"/>
    <m/>
    <x v="0"/>
    <x v="1"/>
    <m/>
    <m/>
    <m/>
  </r>
  <r>
    <x v="0"/>
    <n v="314304"/>
    <n v="26095378"/>
    <n v="511704048069"/>
    <s v="JOANELIX"/>
    <s v="ESPADA RODRIGUEZ"/>
    <n v="20170410"/>
    <n v="20170719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32"/>
    <m/>
    <x v="0"/>
    <x v="1"/>
    <m/>
    <m/>
    <m/>
  </r>
  <r>
    <x v="0"/>
    <n v="314304"/>
    <n v="26095576"/>
    <s v="E60973D17628"/>
    <s v="PATRICIA"/>
    <s v="BELTRAN"/>
    <n v="20170411"/>
    <n v="20170411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33"/>
    <m/>
    <x v="2"/>
    <x v="1"/>
    <m/>
    <m/>
    <m/>
  </r>
  <r>
    <x v="1"/>
    <n v="314305"/>
    <n v="26101858"/>
    <n v="511701098719"/>
    <s v="SHANNON"/>
    <s v="BARBEAU"/>
    <n v="20170329"/>
    <n v="2017051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34"/>
    <m/>
    <x v="0"/>
    <x v="1"/>
    <m/>
    <m/>
    <m/>
  </r>
  <r>
    <x v="0"/>
    <n v="314305"/>
    <n v="26101858"/>
    <n v="511701098719"/>
    <s v="SHANNON"/>
    <s v="BARBEAU"/>
    <n v="20170329"/>
    <n v="2017050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35"/>
    <m/>
    <x v="0"/>
    <x v="1"/>
    <m/>
    <m/>
    <m/>
  </r>
  <r>
    <x v="1"/>
    <n v="314304"/>
    <n v="26118718"/>
    <s v="GN0233B17297"/>
    <s v="BRIGHT"/>
    <s v="NWIDAG"/>
    <n v="20170221"/>
    <n v="20170403"/>
    <x v="3"/>
    <m/>
    <m/>
    <s v="N"/>
    <s v="N"/>
    <s v="Y"/>
    <s v="Y"/>
    <s v="Y"/>
    <s v="Y"/>
    <s v="Y"/>
    <s v="N"/>
    <n v="2017040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36"/>
    <m/>
    <x v="1"/>
    <x v="1"/>
    <m/>
    <m/>
    <m/>
  </r>
  <r>
    <x v="0"/>
    <n v="314304"/>
    <n v="26118718"/>
    <s v="GN0233B17297"/>
    <s v="BRIGHT"/>
    <s v="NWIDAG"/>
    <n v="20170221"/>
    <n v="20170422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37"/>
    <m/>
    <x v="1"/>
    <x v="1"/>
    <m/>
    <m/>
    <m/>
  </r>
  <r>
    <x v="0"/>
    <n v="314304"/>
    <n v="26165295"/>
    <s v="A6618SB17208"/>
    <s v="LAKESHIA"/>
    <s v="SMITH"/>
    <n v="20170413"/>
    <n v="20170418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38"/>
    <m/>
    <x v="1"/>
    <x v="1"/>
    <m/>
    <m/>
    <m/>
  </r>
  <r>
    <x v="1"/>
    <n v="314304"/>
    <n v="26182460"/>
    <n v="531703148253"/>
    <s v="JOSE"/>
    <s v="CAMEY"/>
    <n v="20170220"/>
    <n v="20170220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39"/>
    <m/>
    <x v="3"/>
    <x v="1"/>
    <m/>
    <m/>
    <m/>
  </r>
  <r>
    <x v="0"/>
    <n v="314304"/>
    <n v="26182460"/>
    <n v="531703148253"/>
    <s v="JOSE"/>
    <s v="CAMEY"/>
    <n v="20170220"/>
    <n v="20170220"/>
    <x v="5"/>
    <m/>
    <m/>
    <s v="N"/>
    <s v="Y"/>
    <s v="Y"/>
    <s v="Y"/>
    <s v="Y"/>
    <s v="Y"/>
    <s v="N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40"/>
    <m/>
    <x v="3"/>
    <x v="1"/>
    <m/>
    <m/>
    <m/>
  </r>
  <r>
    <x v="0"/>
    <n v="314304"/>
    <n v="26182460"/>
    <s v="G4082DD17238"/>
    <s v="JOSE"/>
    <s v="CAMEY"/>
    <n v="20170405"/>
    <n v="20170419"/>
    <x v="3"/>
    <m/>
    <m/>
    <s v="N"/>
    <s v="Y"/>
    <s v="Y"/>
    <s v="Y"/>
    <s v="Y"/>
    <s v="Y"/>
    <s v="N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41"/>
    <m/>
    <x v="1"/>
    <x v="1"/>
    <m/>
    <m/>
    <m/>
  </r>
  <r>
    <x v="1"/>
    <n v="314301"/>
    <n v="26183327"/>
    <s v="JN738GC17218"/>
    <s v="HEIDIE"/>
    <s v="BUDNY"/>
    <n v="20170322"/>
    <n v="20170327"/>
    <x v="6"/>
    <m/>
    <m/>
    <s v="N"/>
    <s v="N"/>
    <s v="Y"/>
    <s v="Y"/>
    <s v="Y"/>
    <s v="Y"/>
    <s v="Y"/>
    <s v="N"/>
    <n v="20170328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42"/>
    <m/>
    <x v="1"/>
    <x v="1"/>
    <m/>
    <m/>
    <m/>
  </r>
  <r>
    <x v="0"/>
    <n v="314301"/>
    <n v="26183327"/>
    <s v="JN738GC17218"/>
    <s v="HEIDIE"/>
    <s v="BUDNY"/>
    <n v="20170322"/>
    <n v="20170326"/>
    <x v="6"/>
    <m/>
    <m/>
    <s v="N"/>
    <s v="N"/>
    <s v="Y"/>
    <s v="Y"/>
    <s v="Y"/>
    <s v="Y"/>
    <s v="Y"/>
    <s v="N"/>
    <n v="20170328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43"/>
    <m/>
    <x v="1"/>
    <x v="1"/>
    <m/>
    <m/>
    <s v="Y"/>
  </r>
  <r>
    <x v="1"/>
    <n v="314304"/>
    <n v="26229075"/>
    <n v="531702038483"/>
    <s v="NADINE"/>
    <s v="GOMEZ"/>
    <n v="20170210"/>
    <n v="20170412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44"/>
    <m/>
    <x v="0"/>
    <x v="1"/>
    <m/>
    <m/>
    <m/>
  </r>
  <r>
    <x v="0"/>
    <n v="314304"/>
    <n v="26229075"/>
    <n v="531702038483"/>
    <s v="NADINE"/>
    <s v="GOMEZ"/>
    <n v="20170210"/>
    <n v="20170417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45"/>
    <m/>
    <x v="0"/>
    <x v="1"/>
    <m/>
    <m/>
    <m/>
  </r>
  <r>
    <x v="0"/>
    <n v="314304"/>
    <n v="26229075"/>
    <n v="531702038483"/>
    <s v="NADINE"/>
    <s v="GOMEZ"/>
    <n v="20170407"/>
    <n v="20170417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46"/>
    <m/>
    <x v="0"/>
    <x v="1"/>
    <m/>
    <m/>
    <m/>
  </r>
  <r>
    <x v="1"/>
    <n v="314304"/>
    <n v="26262227"/>
    <s v="BY469ZA17987"/>
    <s v="JASMINE"/>
    <s v="ALMONTE"/>
    <n v="20170208"/>
    <n v="20170301"/>
    <x v="3"/>
    <m/>
    <m/>
    <s v="Y"/>
    <m/>
    <m/>
    <m/>
    <m/>
    <m/>
    <m/>
    <m/>
    <n v="2017030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47"/>
    <m/>
    <x v="1"/>
    <x v="1"/>
    <m/>
    <m/>
    <m/>
  </r>
  <r>
    <x v="1"/>
    <n v="314304"/>
    <n v="26262227"/>
    <n v="551701318885"/>
    <s v="JASMINE"/>
    <s v="ALMONTE"/>
    <n v="20170208"/>
    <n v="20170402"/>
    <x v="1"/>
    <m/>
    <m/>
    <s v="Y"/>
    <m/>
    <m/>
    <m/>
    <m/>
    <m/>
    <m/>
    <m/>
    <n v="20170403"/>
    <m/>
    <m/>
    <m/>
    <m/>
    <n v="170"/>
    <s v="W5"/>
    <n v="20170208"/>
    <n v="20170402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48"/>
    <m/>
    <x v="0"/>
    <x v="1"/>
    <m/>
    <m/>
    <m/>
  </r>
  <r>
    <x v="0"/>
    <n v="314304"/>
    <n v="26262227"/>
    <n v="551701318885"/>
    <s v="JASMINE"/>
    <s v="ALMONTE"/>
    <n v="20170208"/>
    <n v="20170426"/>
    <x v="1"/>
    <m/>
    <m/>
    <s v="Y"/>
    <m/>
    <m/>
    <m/>
    <m/>
    <m/>
    <m/>
    <m/>
    <m/>
    <m/>
    <m/>
    <m/>
    <m/>
    <n v="170"/>
    <s v="W5"/>
    <n v="20170208"/>
    <n v="20170402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49"/>
    <m/>
    <x v="0"/>
    <x v="1"/>
    <m/>
    <m/>
    <m/>
  </r>
  <r>
    <x v="0"/>
    <n v="314304"/>
    <n v="26262227"/>
    <s v="BY469ZA17987"/>
    <s v="JASMINE"/>
    <s v="ALMONTE"/>
    <n v="20170403"/>
    <n v="20170426"/>
    <x v="7"/>
    <m/>
    <s v="Medical"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50"/>
    <m/>
    <x v="1"/>
    <x v="1"/>
    <m/>
    <m/>
    <m/>
  </r>
  <r>
    <x v="0"/>
    <n v="314304"/>
    <n v="26342046"/>
    <n v="521704108902"/>
    <s v="YEKATERINA"/>
    <s v="PARTIKEVICH"/>
    <n v="20170408"/>
    <n v="20170721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51"/>
    <m/>
    <x v="0"/>
    <x v="1"/>
    <m/>
    <m/>
    <m/>
  </r>
  <r>
    <x v="0"/>
    <n v="314304"/>
    <n v="26370001"/>
    <n v="501704078780"/>
    <s v="MARY"/>
    <s v="WILT"/>
    <n v="20170411"/>
    <n v="2017050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52"/>
    <m/>
    <x v="0"/>
    <x v="1"/>
    <m/>
    <m/>
    <m/>
  </r>
  <r>
    <x v="0"/>
    <n v="314304"/>
    <n v="26382963"/>
    <s v="DM730DD17238"/>
    <s v="ROBERT"/>
    <s v="RODRIGUEZ"/>
    <n v="20170412"/>
    <n v="20170704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53"/>
    <m/>
    <x v="0"/>
    <x v="1"/>
    <m/>
    <m/>
    <m/>
  </r>
  <r>
    <x v="0"/>
    <n v="314304"/>
    <n v="26400840"/>
    <n v="571704128647"/>
    <s v="SUSANA"/>
    <s v="GARCIA"/>
    <n v="20170407"/>
    <n v="20170507"/>
    <x v="0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54"/>
    <m/>
    <x v="0"/>
    <x v="1"/>
    <m/>
    <m/>
    <m/>
  </r>
  <r>
    <x v="1"/>
    <n v="314304"/>
    <n v="26405041"/>
    <n v="541703168794"/>
    <s v="JUDITH"/>
    <s v="BLANCO-TORRES"/>
    <n v="20170329"/>
    <n v="20170723"/>
    <x v="1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55"/>
    <m/>
    <x v="0"/>
    <x v="1"/>
    <m/>
    <m/>
    <m/>
  </r>
  <r>
    <x v="1"/>
    <n v="314304"/>
    <n v="26405041"/>
    <n v="541703168794"/>
    <s v="JUDITH"/>
    <s v="BLANCO-TORRES"/>
    <n v="20170322"/>
    <n v="20170723"/>
    <x v="8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56"/>
    <m/>
    <x v="0"/>
    <x v="1"/>
    <m/>
    <m/>
    <m/>
  </r>
  <r>
    <x v="1"/>
    <n v="314304"/>
    <n v="26405041"/>
    <n v="541703168794"/>
    <s v="JUDITH"/>
    <s v="BLANCO-TORRES"/>
    <n v="20170322"/>
    <n v="20170723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57"/>
    <m/>
    <x v="0"/>
    <x v="1"/>
    <m/>
    <m/>
    <m/>
  </r>
  <r>
    <x v="0"/>
    <n v="314304"/>
    <n v="26405041"/>
    <n v="541703168794"/>
    <s v="JUDITH"/>
    <s v="BLANCO-TORRES"/>
    <n v="20170320"/>
    <n v="20170507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58"/>
    <m/>
    <x v="0"/>
    <x v="1"/>
    <m/>
    <m/>
    <m/>
  </r>
  <r>
    <x v="0"/>
    <n v="314304"/>
    <n v="26405041"/>
    <n v="541703168794"/>
    <s v="JUDITH"/>
    <s v="BLANCO-TORRES"/>
    <n v="20170327"/>
    <n v="20170507"/>
    <x v="1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59"/>
    <m/>
    <x v="0"/>
    <x v="1"/>
    <m/>
    <m/>
    <m/>
  </r>
  <r>
    <x v="1"/>
    <n v="314301"/>
    <n v="26440816"/>
    <n v="551704068505"/>
    <s v="MASSIMO"/>
    <s v="PAONE"/>
    <n v="20170401"/>
    <n v="20170503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60"/>
    <m/>
    <x v="0"/>
    <x v="1"/>
    <m/>
    <m/>
    <m/>
  </r>
  <r>
    <x v="0"/>
    <n v="314301"/>
    <n v="26440816"/>
    <n v="551704068505"/>
    <s v="MASSIMO"/>
    <s v="PAONE"/>
    <n v="20170403"/>
    <n v="20170503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61"/>
    <m/>
    <x v="0"/>
    <x v="1"/>
    <m/>
    <m/>
    <m/>
  </r>
  <r>
    <x v="0"/>
    <n v="314301"/>
    <n v="26440816"/>
    <n v="551704068505"/>
    <s v="MASSIMO"/>
    <s v="PAONE"/>
    <n v="20170410"/>
    <n v="20170503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62"/>
    <m/>
    <x v="0"/>
    <x v="1"/>
    <m/>
    <m/>
    <m/>
  </r>
  <r>
    <x v="1"/>
    <n v="314304"/>
    <n v="26451586"/>
    <s v="HU667NB17008"/>
    <s v="SHAUNNA"/>
    <s v="CHERRY"/>
    <n v="20170324"/>
    <n v="20170423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63"/>
    <m/>
    <x v="1"/>
    <x v="1"/>
    <m/>
    <m/>
    <m/>
  </r>
  <r>
    <x v="0"/>
    <n v="314304"/>
    <n v="26451586"/>
    <s v="HU667NB17008"/>
    <s v="SHAUNNA"/>
    <s v="CHERRY"/>
    <n v="20170324"/>
    <n v="20170507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64"/>
    <m/>
    <x v="1"/>
    <x v="1"/>
    <m/>
    <m/>
    <m/>
  </r>
  <r>
    <x v="1"/>
    <n v="314301"/>
    <n v="26463310"/>
    <n v="511701038659"/>
    <s v="SHERRIE"/>
    <s v="KNISKERN"/>
    <n v="20170220"/>
    <n v="20170507"/>
    <x v="1"/>
    <m/>
    <m/>
    <s v="N"/>
    <s v="N"/>
    <s v="Y"/>
    <s v="Y"/>
    <s v="Y"/>
    <s v="Y"/>
    <s v="Y"/>
    <s v="N"/>
    <m/>
    <m/>
    <m/>
    <m/>
    <m/>
    <n v="633"/>
    <s v="W7"/>
    <n v="20170220"/>
    <n v="20170813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65"/>
    <m/>
    <x v="0"/>
    <x v="1"/>
    <m/>
    <m/>
    <m/>
  </r>
  <r>
    <x v="0"/>
    <n v="314301"/>
    <n v="26463310"/>
    <n v="511701038659"/>
    <s v="SHERRIE"/>
    <s v="KNISKERN"/>
    <n v="20170220"/>
    <n v="20170409"/>
    <x v="1"/>
    <m/>
    <m/>
    <s v="N"/>
    <s v="N"/>
    <s v="Y"/>
    <s v="Y"/>
    <s v="Y"/>
    <s v="Y"/>
    <s v="Y"/>
    <s v="N"/>
    <n v="20170410"/>
    <m/>
    <m/>
    <m/>
    <m/>
    <n v="633"/>
    <s v="W7"/>
    <n v="20170220"/>
    <n v="20170813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66"/>
    <m/>
    <x v="0"/>
    <x v="1"/>
    <m/>
    <m/>
    <s v="Y"/>
  </r>
  <r>
    <x v="0"/>
    <n v="314304"/>
    <n v="26489138"/>
    <s v="JD2163D17628"/>
    <s v="JERMIA"/>
    <s v="JUPITER"/>
    <n v="20170413"/>
    <n v="20170705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67"/>
    <m/>
    <x v="0"/>
    <x v="1"/>
    <m/>
    <m/>
    <m/>
  </r>
  <r>
    <x v="0"/>
    <n v="314304"/>
    <n v="26529118"/>
    <n v="531703168793"/>
    <s v="VERONICA"/>
    <s v="GUY"/>
    <n v="20170413"/>
    <n v="20170601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68"/>
    <m/>
    <x v="0"/>
    <x v="1"/>
    <m/>
    <m/>
    <m/>
  </r>
  <r>
    <x v="1"/>
    <n v="314304"/>
    <n v="26581350"/>
    <s v="EX2372B17197"/>
    <s v="YAN"/>
    <s v="LI"/>
    <n v="20170403"/>
    <n v="20170403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69"/>
    <m/>
    <x v="2"/>
    <x v="1"/>
    <m/>
    <m/>
    <m/>
  </r>
  <r>
    <x v="1"/>
    <n v="314304"/>
    <n v="26581350"/>
    <s v="EX2372B17197"/>
    <s v="YAN"/>
    <s v="LI"/>
    <n v="20170122"/>
    <n v="20170402"/>
    <x v="8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70"/>
    <m/>
    <x v="0"/>
    <x v="1"/>
    <m/>
    <m/>
    <m/>
  </r>
  <r>
    <x v="1"/>
    <n v="314304"/>
    <n v="26581350"/>
    <s v="EX2372B17197"/>
    <s v="YAN"/>
    <s v="LI"/>
    <n v="20161126"/>
    <n v="20170402"/>
    <x v="10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71"/>
    <m/>
    <x v="1"/>
    <x v="1"/>
    <m/>
    <m/>
    <m/>
  </r>
  <r>
    <x v="0"/>
    <n v="314304"/>
    <n v="26581350"/>
    <s v="EX2372B17197"/>
    <s v="YAN"/>
    <s v="LI"/>
    <n v="20161211"/>
    <n v="20170331"/>
    <x v="10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72"/>
    <m/>
    <x v="1"/>
    <x v="1"/>
    <s v="Y"/>
    <m/>
    <m/>
  </r>
  <r>
    <x v="0"/>
    <n v="314304"/>
    <n v="26581350"/>
    <s v="EX2372B17197"/>
    <s v="YAN"/>
    <s v="LI"/>
    <n v="20170122"/>
    <n v="20170331"/>
    <x v="8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73"/>
    <m/>
    <x v="0"/>
    <x v="1"/>
    <s v="Y"/>
    <m/>
    <m/>
  </r>
  <r>
    <x v="0"/>
    <n v="314304"/>
    <n v="26581350"/>
    <s v="EX2372B17197"/>
    <s v="YAN"/>
    <s v="LI"/>
    <n v="20170401"/>
    <n v="20170401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74"/>
    <m/>
    <x v="2"/>
    <x v="1"/>
    <m/>
    <m/>
    <m/>
  </r>
  <r>
    <x v="0"/>
    <n v="314304"/>
    <n v="26588344"/>
    <n v="511703168801"/>
    <s v="BLANCA"/>
    <s v="SHARP"/>
    <n v="20170328"/>
    <n v="20170523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75"/>
    <m/>
    <x v="0"/>
    <x v="1"/>
    <m/>
    <m/>
    <m/>
  </r>
  <r>
    <x v="1"/>
    <n v="314304"/>
    <n v="26592054"/>
    <s v="BK388BD17038"/>
    <s v="ERNEST"/>
    <s v="MACCORMACK"/>
    <n v="20170411"/>
    <n v="20170411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76"/>
    <m/>
    <x v="2"/>
    <x v="1"/>
    <m/>
    <m/>
    <m/>
  </r>
  <r>
    <x v="1"/>
    <n v="314304"/>
    <n v="26592054"/>
    <n v="521704118342"/>
    <s v="ERNEST"/>
    <s v="MACCORMACK"/>
    <n v="20170408"/>
    <n v="20170508"/>
    <x v="0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77"/>
    <m/>
    <x v="0"/>
    <x v="1"/>
    <m/>
    <m/>
    <m/>
  </r>
  <r>
    <x v="0"/>
    <n v="314304"/>
    <n v="26592054"/>
    <n v="521704118342"/>
    <s v="ERNEST"/>
    <s v="MACCORMACK"/>
    <n v="20170408"/>
    <n v="20170408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78"/>
    <m/>
    <x v="3"/>
    <x v="1"/>
    <s v="Y"/>
    <m/>
    <m/>
  </r>
  <r>
    <x v="1"/>
    <n v="314304"/>
    <n v="26607267"/>
    <s v="G9448EC17118"/>
    <s v="DENZEL"/>
    <s v="ENOCH"/>
    <n v="20170408"/>
    <n v="20170408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79"/>
    <m/>
    <x v="2"/>
    <x v="1"/>
    <m/>
    <m/>
    <m/>
  </r>
  <r>
    <x v="0"/>
    <n v="314304"/>
    <n v="26607267"/>
    <s v="G9448EC17118"/>
    <s v="DENZEL"/>
    <s v="ENOCH"/>
    <n v="20170306"/>
    <n v="20170407"/>
    <x v="3"/>
    <m/>
    <m/>
    <s v="N"/>
    <s v="N"/>
    <s v="Y"/>
    <s v="Y"/>
    <s v="Y"/>
    <s v="Y"/>
    <s v="Y"/>
    <s v="N"/>
    <n v="20170411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80"/>
    <m/>
    <x v="1"/>
    <x v="1"/>
    <s v="Y"/>
    <m/>
    <s v="Y"/>
  </r>
  <r>
    <x v="0"/>
    <n v="314301"/>
    <n v="26691013"/>
    <s v="KA672DD17238"/>
    <s v="COURTNEY"/>
    <s v="COAKLEY"/>
    <n v="20170412"/>
    <n v="20170801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81"/>
    <m/>
    <x v="1"/>
    <x v="1"/>
    <m/>
    <m/>
    <m/>
  </r>
  <r>
    <x v="1"/>
    <n v="314301"/>
    <n v="26692117"/>
    <n v="521703298082"/>
    <s v="ANGEL"/>
    <s v="WILCHAR"/>
    <n v="20170328"/>
    <n v="20170718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82"/>
    <m/>
    <x v="0"/>
    <x v="1"/>
    <m/>
    <m/>
    <m/>
  </r>
  <r>
    <x v="0"/>
    <n v="314301"/>
    <n v="26692117"/>
    <n v="521703298082"/>
    <s v="ANGEL"/>
    <s v="WILCHAR"/>
    <n v="20170328"/>
    <n v="20170509"/>
    <x v="8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83"/>
    <m/>
    <x v="0"/>
    <x v="1"/>
    <m/>
    <m/>
    <m/>
  </r>
  <r>
    <x v="0"/>
    <n v="314301"/>
    <n v="26692117"/>
    <n v="521703298082"/>
    <s v="ANGEL"/>
    <s v="WILCHAR"/>
    <n v="20170328"/>
    <n v="20170509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84"/>
    <m/>
    <x v="0"/>
    <x v="1"/>
    <m/>
    <m/>
    <m/>
  </r>
  <r>
    <x v="0"/>
    <n v="314301"/>
    <n v="26692117"/>
    <n v="521703298082"/>
    <s v="ANGEL"/>
    <s v="WILCHAR"/>
    <n v="20170404"/>
    <n v="20170509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85"/>
    <m/>
    <x v="0"/>
    <x v="1"/>
    <m/>
    <m/>
    <m/>
  </r>
  <r>
    <x v="1"/>
    <n v="314304"/>
    <n v="26749541"/>
    <s v="A07789A17577"/>
    <s v="TOMASZ"/>
    <s v="GIZA"/>
    <n v="20170214"/>
    <n v="20170422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86"/>
    <m/>
    <x v="0"/>
    <x v="1"/>
    <m/>
    <m/>
    <m/>
  </r>
  <r>
    <x v="0"/>
    <n v="314304"/>
    <n v="26749541"/>
    <s v="A07789A17577"/>
    <s v="TOMASZ"/>
    <s v="GIZA"/>
    <n v="20170214"/>
    <n v="20170514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87"/>
    <m/>
    <x v="0"/>
    <x v="1"/>
    <m/>
    <m/>
    <m/>
  </r>
  <r>
    <x v="1"/>
    <n v="314301"/>
    <n v="26776672"/>
    <s v="CK8726C17708"/>
    <s v="FABIO"/>
    <s v="MARANHAO A COELHO"/>
    <n v="20170403"/>
    <n v="2017040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88"/>
    <m/>
    <x v="2"/>
    <x v="1"/>
    <m/>
    <m/>
    <m/>
  </r>
  <r>
    <x v="1"/>
    <n v="314301"/>
    <n v="26776672"/>
    <s v="CK8726C17708"/>
    <s v="FABIO"/>
    <s v="MARANHAO A COELHO"/>
    <n v="20170306"/>
    <n v="20170402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89"/>
    <m/>
    <x v="0"/>
    <x v="1"/>
    <m/>
    <m/>
    <m/>
  </r>
  <r>
    <x v="0"/>
    <n v="314301"/>
    <n v="26776672"/>
    <s v="CK8726C17708"/>
    <s v="FABIO"/>
    <s v="MARANHAO A COELHO"/>
    <n v="20170306"/>
    <n v="20170306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90"/>
    <m/>
    <x v="3"/>
    <x v="1"/>
    <s v="Y"/>
    <m/>
    <m/>
  </r>
  <r>
    <x v="1"/>
    <n v="314304"/>
    <n v="26781189"/>
    <s v="CP9363A17277"/>
    <s v="T MARION"/>
    <s v="DAVENPORT"/>
    <n v="20161127"/>
    <n v="20170330"/>
    <x v="3"/>
    <m/>
    <m/>
    <s v="N"/>
    <s v="N"/>
    <s v="Y"/>
    <s v="Y"/>
    <s v="Y"/>
    <s v="Y"/>
    <s v="Y"/>
    <s v="N"/>
    <n v="20170331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91"/>
    <m/>
    <x v="1"/>
    <x v="1"/>
    <m/>
    <m/>
    <m/>
  </r>
  <r>
    <x v="0"/>
    <n v="314304"/>
    <n v="26781189"/>
    <s v="CP9363A17277"/>
    <s v="T MARION"/>
    <s v="DAVENPORT"/>
    <n v="20170119"/>
    <n v="20170329"/>
    <x v="8"/>
    <m/>
    <m/>
    <s v="N"/>
    <s v="N"/>
    <s v="Y"/>
    <s v="Y"/>
    <s v="Y"/>
    <s v="Y"/>
    <s v="Y"/>
    <s v="N"/>
    <n v="20170331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92"/>
    <m/>
    <x v="0"/>
    <x v="1"/>
    <m/>
    <m/>
    <s v="Y"/>
  </r>
  <r>
    <x v="0"/>
    <n v="314304"/>
    <n v="26781189"/>
    <s v="CP9363A17277"/>
    <s v="T MARION"/>
    <s v="DAVENPORT"/>
    <n v="20170119"/>
    <n v="20170329"/>
    <x v="10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93"/>
    <m/>
    <x v="1"/>
    <x v="1"/>
    <m/>
    <m/>
    <m/>
  </r>
  <r>
    <x v="0"/>
    <n v="314304"/>
    <n v="26786533"/>
    <n v="501704068630"/>
    <s v="STEPHANIE"/>
    <s v="CURBELO"/>
    <n v="20170412"/>
    <n v="20170505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94"/>
    <m/>
    <x v="0"/>
    <x v="1"/>
    <m/>
    <m/>
    <m/>
  </r>
  <r>
    <x v="0"/>
    <n v="314304"/>
    <n v="26791115"/>
    <n v="501702218420"/>
    <s v="KAREN"/>
    <s v="MANNIS"/>
    <n v="20170225"/>
    <n v="20170416"/>
    <x v="1"/>
    <m/>
    <m/>
    <s v="Y"/>
    <m/>
    <m/>
    <m/>
    <m/>
    <m/>
    <m/>
    <m/>
    <n v="20170417"/>
    <m/>
    <m/>
    <m/>
    <m/>
    <n v="472"/>
    <s v="W7"/>
    <n v="20170225"/>
    <n v="20170818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95"/>
    <m/>
    <x v="0"/>
    <x v="1"/>
    <m/>
    <m/>
    <s v="Y"/>
  </r>
  <r>
    <x v="0"/>
    <n v="314304"/>
    <n v="26800656"/>
    <n v="541704058194"/>
    <s v="RAMENA"/>
    <s v="DE LA PAZ"/>
    <n v="20170412"/>
    <n v="2017052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96"/>
    <m/>
    <x v="0"/>
    <x v="1"/>
    <m/>
    <m/>
    <m/>
  </r>
  <r>
    <x v="0"/>
    <n v="314304"/>
    <n v="26822471"/>
    <n v="501704058368"/>
    <s v="TALYIA"/>
    <s v="FLINT"/>
    <n v="20170413"/>
    <n v="20170506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97"/>
    <m/>
    <x v="0"/>
    <x v="1"/>
    <m/>
    <m/>
    <m/>
  </r>
  <r>
    <x v="0"/>
    <n v="314304"/>
    <n v="26827510"/>
    <s v="B2230AC17018"/>
    <s v="NANCY"/>
    <s v="AVALOS"/>
    <n v="20161023"/>
    <n v="20170311"/>
    <x v="1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98"/>
    <m/>
    <x v="1"/>
    <x v="1"/>
    <m/>
    <m/>
    <m/>
  </r>
  <r>
    <x v="0"/>
    <n v="314304"/>
    <n v="26844995"/>
    <n v="541704128574"/>
    <s v="CHINYERE"/>
    <s v="ELMORE"/>
    <n v="20170413"/>
    <n v="20170513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599"/>
    <m/>
    <x v="0"/>
    <x v="1"/>
    <m/>
    <m/>
    <m/>
  </r>
  <r>
    <x v="1"/>
    <n v="314304"/>
    <n v="26858346"/>
    <n v="511703038429"/>
    <s v="TOYA"/>
    <s v="ROCKAMORE"/>
    <n v="20170310"/>
    <n v="20170331"/>
    <x v="1"/>
    <m/>
    <m/>
    <s v="N"/>
    <s v="N"/>
    <s v="Y"/>
    <s v="Y"/>
    <s v="Y"/>
    <s v="Y"/>
    <s v="Y"/>
    <s v="N"/>
    <n v="20170410"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00"/>
    <m/>
    <x v="0"/>
    <x v="1"/>
    <m/>
    <m/>
    <m/>
  </r>
  <r>
    <x v="0"/>
    <n v="314304"/>
    <n v="26858346"/>
    <n v="511703038429"/>
    <s v="TOYA"/>
    <s v="ROCKAMORE"/>
    <n v="20170310"/>
    <n v="20170417"/>
    <x v="1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01"/>
    <m/>
    <x v="0"/>
    <x v="1"/>
    <m/>
    <m/>
    <m/>
  </r>
  <r>
    <x v="0"/>
    <n v="314304"/>
    <n v="26858346"/>
    <s v="HJ3743C17608"/>
    <s v="TOYA"/>
    <s v="ROCKAMORE"/>
    <n v="20170401"/>
    <n v="20170417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02"/>
    <m/>
    <x v="1"/>
    <x v="1"/>
    <m/>
    <m/>
    <m/>
  </r>
  <r>
    <x v="1"/>
    <n v="314304"/>
    <n v="26920162"/>
    <s v="DG6953A17277"/>
    <s v="MICHELLE"/>
    <s v="QUINONES"/>
    <n v="20161219"/>
    <n v="20170312"/>
    <x v="6"/>
    <m/>
    <m/>
    <s v="N"/>
    <s v="N"/>
    <s v="Y"/>
    <s v="Y"/>
    <s v="Y"/>
    <s v="Y"/>
    <s v="Y"/>
    <s v="N"/>
    <n v="20170313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03"/>
    <m/>
    <x v="1"/>
    <x v="1"/>
    <m/>
    <m/>
    <m/>
  </r>
  <r>
    <x v="0"/>
    <n v="314304"/>
    <n v="26920162"/>
    <s v="DG6953A17277"/>
    <s v="MICHELLE"/>
    <s v="QUINONES"/>
    <n v="20161219"/>
    <n v="20170312"/>
    <x v="8"/>
    <m/>
    <m/>
    <s v="N"/>
    <s v="N"/>
    <s v="Y"/>
    <s v="Y"/>
    <s v="Y"/>
    <s v="Y"/>
    <s v="Y"/>
    <s v="N"/>
    <n v="20170313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04"/>
    <m/>
    <x v="0"/>
    <x v="1"/>
    <m/>
    <m/>
    <s v="Y"/>
  </r>
  <r>
    <x v="0"/>
    <n v="314304"/>
    <n v="26920162"/>
    <s v="DG6953A17277"/>
    <s v="MICHELLE"/>
    <s v="QUINONES"/>
    <n v="20161219"/>
    <n v="20170312"/>
    <x v="10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05"/>
    <m/>
    <x v="1"/>
    <x v="1"/>
    <m/>
    <m/>
    <m/>
  </r>
  <r>
    <x v="1"/>
    <n v="314304"/>
    <n v="26928467"/>
    <n v="541702238824"/>
    <s v="CLINTON"/>
    <s v="LEWIS"/>
    <n v="20170228"/>
    <n v="2017051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06"/>
    <m/>
    <x v="0"/>
    <x v="1"/>
    <m/>
    <m/>
    <m/>
  </r>
  <r>
    <x v="0"/>
    <n v="314304"/>
    <n v="26928467"/>
    <n v="541702238824"/>
    <s v="CLINTON"/>
    <s v="LEWIS"/>
    <n v="20170228"/>
    <n v="20170423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07"/>
    <m/>
    <x v="0"/>
    <x v="1"/>
    <m/>
    <m/>
    <m/>
  </r>
  <r>
    <x v="0"/>
    <n v="314305"/>
    <n v="26984674"/>
    <s v="D8992DD17238"/>
    <s v="ADELA"/>
    <s v="PRIETO"/>
    <n v="20170413"/>
    <n v="20170608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08"/>
    <m/>
    <x v="1"/>
    <x v="1"/>
    <m/>
    <m/>
    <m/>
  </r>
  <r>
    <x v="1"/>
    <n v="314304"/>
    <n v="27007727"/>
    <s v="B2400GC17318"/>
    <s v="CRYSTAL"/>
    <s v="HUTCHINS"/>
    <n v="20170316"/>
    <n v="20170428"/>
    <x v="6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09"/>
    <m/>
    <x v="1"/>
    <x v="1"/>
    <m/>
    <m/>
    <m/>
  </r>
  <r>
    <x v="0"/>
    <n v="314304"/>
    <n v="27007727"/>
    <s v="B2400GC17318"/>
    <s v="CRYSTAL"/>
    <s v="HUTCHINS"/>
    <n v="20170316"/>
    <n v="20170316"/>
    <x v="5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10"/>
    <m/>
    <x v="3"/>
    <x v="1"/>
    <m/>
    <m/>
    <m/>
  </r>
  <r>
    <x v="1"/>
    <n v="314304"/>
    <n v="27026999"/>
    <s v="KX948YC17428"/>
    <s v="GABRIEL"/>
    <s v="ROBINSON"/>
    <n v="20170406"/>
    <n v="20170406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11"/>
    <m/>
    <x v="2"/>
    <x v="1"/>
    <m/>
    <m/>
    <m/>
  </r>
  <r>
    <x v="1"/>
    <n v="314304"/>
    <n v="27026999"/>
    <s v="KX948YC17428"/>
    <s v="GABRIEL"/>
    <s v="ROBINSON"/>
    <n v="20170406"/>
    <n v="20170406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12"/>
    <m/>
    <x v="2"/>
    <x v="1"/>
    <m/>
    <m/>
    <m/>
  </r>
  <r>
    <x v="1"/>
    <n v="314304"/>
    <n v="27026999"/>
    <n v="531703308163"/>
    <s v="GABRIEL"/>
    <s v="ROBINSON"/>
    <n v="20170328"/>
    <n v="20170427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13"/>
    <m/>
    <x v="0"/>
    <x v="1"/>
    <m/>
    <m/>
    <m/>
  </r>
  <r>
    <x v="0"/>
    <n v="314304"/>
    <n v="27026999"/>
    <n v="531703308163"/>
    <s v="GABRIEL"/>
    <s v="ROBINSON"/>
    <n v="20170328"/>
    <n v="2017043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14"/>
    <m/>
    <x v="0"/>
    <x v="1"/>
    <s v="Y"/>
    <m/>
    <m/>
  </r>
  <r>
    <x v="0"/>
    <n v="314304"/>
    <n v="27026999"/>
    <n v="531703308163"/>
    <s v="GABRIEL"/>
    <s v="ROBINSON"/>
    <n v="20170404"/>
    <n v="2017043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15"/>
    <m/>
    <x v="0"/>
    <x v="1"/>
    <s v="Y"/>
    <m/>
    <m/>
  </r>
  <r>
    <x v="0"/>
    <n v="314304"/>
    <n v="27028101"/>
    <n v="551704138675"/>
    <s v="CHRISTINE"/>
    <s v="KNUTSON"/>
    <n v="20170401"/>
    <n v="2017060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16"/>
    <m/>
    <x v="0"/>
    <x v="1"/>
    <m/>
    <m/>
    <m/>
  </r>
  <r>
    <x v="1"/>
    <n v="314301"/>
    <n v="27030547"/>
    <s v="M2392BA17877"/>
    <s v="SVETLANA"/>
    <s v="LAWLOR"/>
    <n v="20161206"/>
    <n v="20170531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17"/>
    <m/>
    <x v="1"/>
    <x v="1"/>
    <m/>
    <m/>
    <m/>
  </r>
  <r>
    <x v="0"/>
    <n v="314301"/>
    <n v="27030547"/>
    <s v="M2392BA17877"/>
    <s v="SVETLANA"/>
    <s v="LAWLOR"/>
    <n v="20161206"/>
    <n v="20170630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18"/>
    <m/>
    <x v="1"/>
    <x v="1"/>
    <m/>
    <m/>
    <m/>
  </r>
  <r>
    <x v="1"/>
    <n v="314304"/>
    <n v="27031156"/>
    <s v="JR170FM16527"/>
    <s v="VERONICA"/>
    <s v="LOPEZ"/>
    <n v="20160812"/>
    <n v="20160812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19"/>
    <m/>
    <x v="2"/>
    <x v="1"/>
    <m/>
    <m/>
    <m/>
  </r>
  <r>
    <x v="1"/>
    <n v="314304"/>
    <n v="27031156"/>
    <s v="JR170FM16527"/>
    <s v="VERONICA"/>
    <s v="LOPEZ"/>
    <n v="20160801"/>
    <n v="20160811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20"/>
    <m/>
    <x v="1"/>
    <x v="1"/>
    <m/>
    <m/>
    <m/>
  </r>
  <r>
    <x v="0"/>
    <n v="314304"/>
    <n v="27031156"/>
    <s v="JR170FM16527"/>
    <s v="VERONICA"/>
    <s v="LOPEZ"/>
    <n v="20160801"/>
    <n v="20170414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21"/>
    <m/>
    <x v="1"/>
    <x v="1"/>
    <s v="Y"/>
    <m/>
    <m/>
  </r>
  <r>
    <x v="0"/>
    <n v="314304"/>
    <n v="27044442"/>
    <s v="ET6913D17628"/>
    <s v="LILIA"/>
    <s v="GARCIA"/>
    <n v="20170405"/>
    <n v="20170405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22"/>
    <m/>
    <x v="2"/>
    <x v="1"/>
    <m/>
    <m/>
    <m/>
  </r>
  <r>
    <x v="0"/>
    <n v="314301"/>
    <n v="27069685"/>
    <n v="201704128590"/>
    <s v="PRISCILLA"/>
    <s v="BALDARI"/>
    <n v="20170317"/>
    <n v="20170706"/>
    <x v="8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23"/>
    <m/>
    <x v="0"/>
    <x v="1"/>
    <m/>
    <m/>
    <m/>
  </r>
  <r>
    <x v="0"/>
    <n v="314301"/>
    <n v="27069685"/>
    <n v="201704128590"/>
    <s v="PRISCILLA"/>
    <s v="BALDARI"/>
    <n v="20170324"/>
    <n v="20170706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24"/>
    <m/>
    <x v="0"/>
    <x v="1"/>
    <m/>
    <m/>
    <m/>
  </r>
  <r>
    <x v="0"/>
    <n v="314301"/>
    <n v="27097881"/>
    <s v="A2354RA17587"/>
    <s v="XIAOQING"/>
    <s v="QUIGLEY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25"/>
    <m/>
    <x v="2"/>
    <x v="1"/>
    <m/>
    <m/>
    <m/>
  </r>
  <r>
    <x v="0"/>
    <n v="314304"/>
    <n v="27101563"/>
    <n v="511703238931"/>
    <s v="CHRISTOPHER"/>
    <s v="GONZALEZ"/>
    <n v="20170413"/>
    <n v="20170506"/>
    <x v="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26"/>
    <m/>
    <x v="0"/>
    <x v="1"/>
    <m/>
    <m/>
    <m/>
  </r>
  <r>
    <x v="0"/>
    <n v="314301"/>
    <n v="27108933"/>
    <n v="551703178905"/>
    <s v="RICK"/>
    <s v="OWENS"/>
    <n v="20170411"/>
    <n v="2017061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27"/>
    <m/>
    <x v="0"/>
    <x v="1"/>
    <m/>
    <m/>
    <m/>
  </r>
  <r>
    <x v="1"/>
    <n v="314304"/>
    <n v="27117502"/>
    <s v="JW9263A17277"/>
    <s v="JONATHAN"/>
    <s v="RAYGOZA"/>
    <n v="20161028"/>
    <n v="20170602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28"/>
    <m/>
    <x v="1"/>
    <x v="1"/>
    <m/>
    <m/>
    <m/>
  </r>
  <r>
    <x v="0"/>
    <n v="314304"/>
    <n v="27117502"/>
    <s v="JW9263A17277"/>
    <s v="JONATHAN"/>
    <s v="RAYGOZA"/>
    <n v="20170113"/>
    <n v="20170602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29"/>
    <m/>
    <x v="1"/>
    <x v="1"/>
    <m/>
    <m/>
    <m/>
  </r>
  <r>
    <x v="0"/>
    <n v="314301"/>
    <n v="27289479"/>
    <n v="571701278287"/>
    <s v="THERESA"/>
    <s v="MITCHELL"/>
    <n v="20170224"/>
    <n v="20170416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30"/>
    <m/>
    <x v="0"/>
    <x v="1"/>
    <m/>
    <m/>
    <s v="Y"/>
  </r>
  <r>
    <x v="1"/>
    <n v="314305"/>
    <n v="27320765"/>
    <n v="501701138768"/>
    <s v="DEBORAH"/>
    <s v="BEHM"/>
    <n v="20170321"/>
    <n v="20170416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31"/>
    <m/>
    <x v="0"/>
    <x v="1"/>
    <m/>
    <m/>
    <m/>
  </r>
  <r>
    <x v="0"/>
    <n v="314305"/>
    <n v="27320765"/>
    <n v="501701138768"/>
    <s v="DEBORAH"/>
    <s v="BEHM"/>
    <n v="20170321"/>
    <n v="20170430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32"/>
    <m/>
    <x v="0"/>
    <x v="1"/>
    <m/>
    <m/>
    <m/>
  </r>
  <r>
    <x v="0"/>
    <n v="314301"/>
    <n v="27390087"/>
    <n v="511701268021"/>
    <s v="BRANDON"/>
    <s v="JUENGER"/>
    <n v="20170324"/>
    <n v="20170414"/>
    <x v="2"/>
    <m/>
    <m/>
    <s v="N"/>
    <s v="N"/>
    <s v="Y"/>
    <s v="Y"/>
    <s v="Y"/>
    <s v="Y"/>
    <s v="Y"/>
    <s v="N"/>
    <n v="20170415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33"/>
    <m/>
    <x v="0"/>
    <x v="1"/>
    <m/>
    <m/>
    <s v="Y"/>
  </r>
  <r>
    <x v="0"/>
    <n v="314304"/>
    <n v="27435492"/>
    <n v="531704138713"/>
    <s v="SANA"/>
    <s v="JIMERSON"/>
    <n v="20170409"/>
    <n v="20170509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34"/>
    <m/>
    <x v="0"/>
    <x v="1"/>
    <m/>
    <m/>
    <m/>
  </r>
  <r>
    <x v="1"/>
    <n v="314304"/>
    <n v="27468547"/>
    <n v="561702108696"/>
    <s v="MONA"/>
    <s v="BOLEN"/>
    <n v="20170316"/>
    <n v="20170423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35"/>
    <m/>
    <x v="0"/>
    <x v="1"/>
    <m/>
    <m/>
    <m/>
  </r>
  <r>
    <x v="0"/>
    <n v="314304"/>
    <n v="27468547"/>
    <n v="561702108696"/>
    <s v="MONA"/>
    <s v="BOLEN"/>
    <n v="20170316"/>
    <n v="2017043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36"/>
    <m/>
    <x v="0"/>
    <x v="1"/>
    <m/>
    <m/>
    <m/>
  </r>
  <r>
    <x v="0"/>
    <n v="314304"/>
    <n v="27468645"/>
    <s v="G5591DD17238"/>
    <s v="EBONY"/>
    <s v="BOOKER"/>
    <n v="20170413"/>
    <n v="20170514"/>
    <x v="3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37"/>
    <m/>
    <x v="1"/>
    <x v="1"/>
    <m/>
    <m/>
    <m/>
  </r>
  <r>
    <x v="0"/>
    <n v="314304"/>
    <n v="27486243"/>
    <s v="MH026NC17518"/>
    <s v="LINDSEY"/>
    <s v="JAKUBOWSKI"/>
    <n v="20170310"/>
    <n v="20170412"/>
    <x v="3"/>
    <m/>
    <m/>
    <s v="N"/>
    <s v="N"/>
    <s v="Y"/>
    <s v="Y"/>
    <s v="Y"/>
    <s v="Y"/>
    <s v="Y"/>
    <s v="N"/>
    <n v="20170413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38"/>
    <m/>
    <x v="1"/>
    <x v="1"/>
    <m/>
    <m/>
    <s v="Y"/>
  </r>
  <r>
    <x v="1"/>
    <n v="314304"/>
    <n v="27503237"/>
    <n v="571703228727"/>
    <s v="MEKAYLA"/>
    <s v="BRAND"/>
    <n v="20170329"/>
    <n v="20170507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39"/>
    <m/>
    <x v="0"/>
    <x v="1"/>
    <m/>
    <m/>
    <m/>
  </r>
  <r>
    <x v="0"/>
    <n v="314304"/>
    <n v="27503237"/>
    <n v="571703228727"/>
    <s v="MEKAYLA"/>
    <s v="BRAND"/>
    <n v="20170329"/>
    <n v="2017050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40"/>
    <m/>
    <x v="0"/>
    <x v="1"/>
    <m/>
    <m/>
    <m/>
  </r>
  <r>
    <x v="0"/>
    <n v="314304"/>
    <n v="27505735"/>
    <s v="MX204RA17587"/>
    <s v="FLORENCE"/>
    <s v="MCCAULEY"/>
    <n v="20170311"/>
    <n v="20170414"/>
    <x v="7"/>
    <m/>
    <s v="Medical"/>
    <s v="N"/>
    <s v="N"/>
    <s v="Y"/>
    <s v="Y"/>
    <s v="Y"/>
    <s v="Y"/>
    <s v="Y"/>
    <s v="N"/>
    <n v="20170415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41"/>
    <m/>
    <x v="1"/>
    <x v="1"/>
    <m/>
    <m/>
    <s v="Y"/>
  </r>
  <r>
    <x v="1"/>
    <n v="314304"/>
    <n v="27523499"/>
    <n v="561703108676"/>
    <s v="GABRIELLE"/>
    <s v="GATTS"/>
    <n v="20170401"/>
    <n v="20170512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42"/>
    <m/>
    <x v="0"/>
    <x v="1"/>
    <m/>
    <m/>
    <m/>
  </r>
  <r>
    <x v="0"/>
    <n v="314304"/>
    <n v="27523499"/>
    <n v="561703108676"/>
    <s v="GABRIELLE"/>
    <s v="GATTS"/>
    <n v="20170401"/>
    <n v="20170709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43"/>
    <m/>
    <x v="0"/>
    <x v="1"/>
    <m/>
    <m/>
    <m/>
  </r>
  <r>
    <x v="1"/>
    <n v="314304"/>
    <n v="27534150"/>
    <s v="G9548SB17208"/>
    <s v="KAREN"/>
    <s v="PARAMO"/>
    <n v="20170408"/>
    <n v="20170408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44"/>
    <m/>
    <x v="2"/>
    <x v="1"/>
    <m/>
    <m/>
    <m/>
  </r>
  <r>
    <x v="1"/>
    <n v="314304"/>
    <n v="27534150"/>
    <s v="G9548SB17208"/>
    <s v="KAREN"/>
    <s v="PARAMO"/>
    <n v="20170223"/>
    <n v="20170407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45"/>
    <m/>
    <x v="1"/>
    <x v="1"/>
    <m/>
    <m/>
    <m/>
  </r>
  <r>
    <x v="0"/>
    <n v="314304"/>
    <n v="27534150"/>
    <s v="G9548SB17208"/>
    <s v="KAREN"/>
    <s v="PARAMO"/>
    <n v="20170224"/>
    <n v="20170406"/>
    <x v="3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46"/>
    <m/>
    <x v="1"/>
    <x v="1"/>
    <s v="Y"/>
    <m/>
    <s v="Y"/>
  </r>
  <r>
    <x v="1"/>
    <n v="314304"/>
    <n v="27538633"/>
    <n v="501703028210"/>
    <s v="CHRISTINE"/>
    <s v="VALDEZ"/>
    <n v="20170305"/>
    <n v="20170410"/>
    <x v="1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47"/>
    <m/>
    <x v="0"/>
    <x v="1"/>
    <m/>
    <m/>
    <m/>
  </r>
  <r>
    <x v="1"/>
    <n v="314304"/>
    <n v="27538633"/>
    <n v="501703028210"/>
    <s v="CHRISTINE"/>
    <s v="VALDEZ"/>
    <n v="20170226"/>
    <n v="20170328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48"/>
    <m/>
    <x v="0"/>
    <x v="1"/>
    <m/>
    <m/>
    <m/>
  </r>
  <r>
    <x v="0"/>
    <n v="314304"/>
    <n v="27538633"/>
    <n v="501703028210"/>
    <s v="CHRISTINE"/>
    <s v="VALDEZ"/>
    <n v="20170227"/>
    <n v="20170410"/>
    <x v="0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49"/>
    <m/>
    <x v="0"/>
    <x v="1"/>
    <m/>
    <m/>
    <m/>
  </r>
  <r>
    <x v="0"/>
    <n v="314304"/>
    <n v="27538633"/>
    <n v="501703028210"/>
    <s v="CHRISTINE"/>
    <s v="VALDEZ"/>
    <n v="20170306"/>
    <n v="20170410"/>
    <x v="1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50"/>
    <m/>
    <x v="0"/>
    <x v="1"/>
    <m/>
    <m/>
    <m/>
  </r>
  <r>
    <x v="1"/>
    <n v="314305"/>
    <n v="27541231"/>
    <n v="501703278478"/>
    <s v="KRISTI"/>
    <s v="LEWIS"/>
    <n v="20170327"/>
    <n v="2017043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51"/>
    <m/>
    <x v="0"/>
    <x v="1"/>
    <m/>
    <m/>
    <m/>
  </r>
  <r>
    <x v="0"/>
    <n v="314305"/>
    <n v="27541231"/>
    <n v="501703278478"/>
    <s v="KRISTI"/>
    <s v="LEWIS"/>
    <n v="20170327"/>
    <n v="20170426"/>
    <x v="1"/>
    <m/>
    <m/>
    <s v="N"/>
    <s v="N"/>
    <s v="Y"/>
    <s v="Y"/>
    <s v="Y"/>
    <s v="Y"/>
    <s v="Y"/>
    <s v="N"/>
    <n v="2017041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52"/>
    <m/>
    <x v="0"/>
    <x v="1"/>
    <m/>
    <m/>
    <s v="Y"/>
  </r>
  <r>
    <x v="0"/>
    <n v="314304"/>
    <n v="27598456"/>
    <n v="511702038369"/>
    <s v="MARY"/>
    <s v="JOHNSTON-NIKITENKO"/>
    <n v="20170224"/>
    <n v="20170416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53"/>
    <m/>
    <x v="0"/>
    <x v="1"/>
    <m/>
    <m/>
    <s v="Y"/>
  </r>
  <r>
    <x v="1"/>
    <n v="314304"/>
    <n v="27598953"/>
    <n v="561702158396"/>
    <s v="JENNIFER"/>
    <s v="LAMSON"/>
    <n v="20170214"/>
    <n v="20170330"/>
    <x v="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54"/>
    <m/>
    <x v="0"/>
    <x v="1"/>
    <m/>
    <m/>
    <m/>
  </r>
  <r>
    <x v="0"/>
    <n v="314304"/>
    <n v="27598953"/>
    <n v="561702158396"/>
    <s v="JENNIFER"/>
    <s v="LAMSON"/>
    <n v="20170214"/>
    <n v="20170430"/>
    <x v="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55"/>
    <m/>
    <x v="0"/>
    <x v="1"/>
    <m/>
    <m/>
    <m/>
  </r>
  <r>
    <x v="0"/>
    <n v="314304"/>
    <n v="27598953"/>
    <n v="561702158396"/>
    <s v="JENNIFER"/>
    <s v="LAMSON"/>
    <n v="20170411"/>
    <n v="20170430"/>
    <x v="2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56"/>
    <m/>
    <x v="0"/>
    <x v="1"/>
    <m/>
    <m/>
    <m/>
  </r>
  <r>
    <x v="1"/>
    <n v="314301"/>
    <n v="27616693"/>
    <s v="DP221AC17018"/>
    <s v="ROBERT"/>
    <s v="GONZALES"/>
    <n v="20170221"/>
    <n v="20170303"/>
    <x v="9"/>
    <m/>
    <m/>
    <s v="N"/>
    <s v="N"/>
    <s v="Y"/>
    <s v="Y"/>
    <s v="Y"/>
    <s v="Y"/>
    <s v="Y"/>
    <s v="N"/>
    <n v="20170306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57"/>
    <m/>
    <x v="0"/>
    <x v="1"/>
    <m/>
    <m/>
    <m/>
  </r>
  <r>
    <x v="0"/>
    <n v="314301"/>
    <n v="27616693"/>
    <s v="DP221AC17018"/>
    <s v="ROBERT"/>
    <s v="GONZALES"/>
    <n v="20170221"/>
    <n v="20170221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58"/>
    <m/>
    <x v="3"/>
    <x v="1"/>
    <m/>
    <m/>
    <m/>
  </r>
  <r>
    <x v="0"/>
    <n v="314304"/>
    <n v="27636579"/>
    <s v="GW952DD17238"/>
    <s v="ALEXANDER"/>
    <s v="HILLEY"/>
    <n v="20170404"/>
    <n v="20170504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59"/>
    <m/>
    <x v="1"/>
    <x v="1"/>
    <m/>
    <m/>
    <m/>
  </r>
  <r>
    <x v="0"/>
    <n v="314301"/>
    <n v="27639551"/>
    <s v="B1367DB17697"/>
    <s v="ANA"/>
    <s v="FERNANDEZ"/>
    <n v="20170322"/>
    <n v="20170414"/>
    <x v="3"/>
    <m/>
    <m/>
    <s v="N"/>
    <s v="N"/>
    <s v="Y"/>
    <s v="Y"/>
    <s v="Y"/>
    <s v="Y"/>
    <s v="Y"/>
    <s v="N"/>
    <n v="20170415"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60"/>
    <m/>
    <x v="1"/>
    <x v="1"/>
    <m/>
    <m/>
    <s v="Y"/>
  </r>
  <r>
    <x v="1"/>
    <n v="314304"/>
    <n v="27665519"/>
    <s v="GF263CD17138"/>
    <s v="ANDRE"/>
    <s v="DUPRE"/>
    <n v="20170410"/>
    <n v="2017041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61"/>
    <m/>
    <x v="2"/>
    <x v="1"/>
    <m/>
    <m/>
    <m/>
  </r>
  <r>
    <x v="1"/>
    <n v="314304"/>
    <n v="27665519"/>
    <s v="JA122KA17487"/>
    <s v="ANDRE"/>
    <s v="DUPRE"/>
    <n v="20170130"/>
    <n v="20170130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62"/>
    <m/>
    <x v="2"/>
    <x v="1"/>
    <m/>
    <m/>
    <m/>
  </r>
  <r>
    <x v="1"/>
    <n v="314304"/>
    <n v="27665519"/>
    <s v="JA122KA17487"/>
    <s v="ANDRE"/>
    <s v="DUPRE"/>
    <n v="20161219"/>
    <n v="20170129"/>
    <x v="8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63"/>
    <m/>
    <x v="0"/>
    <x v="1"/>
    <m/>
    <m/>
    <m/>
  </r>
  <r>
    <x v="1"/>
    <n v="314304"/>
    <n v="27665519"/>
    <s v="JA122KA17487"/>
    <s v="ANDRE"/>
    <s v="DUPRE"/>
    <n v="20161219"/>
    <n v="20170129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64"/>
    <m/>
    <x v="1"/>
    <x v="1"/>
    <m/>
    <m/>
    <m/>
  </r>
  <r>
    <x v="1"/>
    <n v="314304"/>
    <n v="27665519"/>
    <s v="JA122KA17487"/>
    <s v="ANDRE"/>
    <s v="DUPRE"/>
    <n v="20161109"/>
    <n v="20161109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65"/>
    <m/>
    <x v="2"/>
    <x v="1"/>
    <m/>
    <m/>
    <m/>
  </r>
  <r>
    <x v="0"/>
    <n v="314304"/>
    <n v="27665519"/>
    <s v="GF263CD17138"/>
    <s v="ANDRE"/>
    <s v="DUPRE"/>
    <n v="20161109"/>
    <n v="20161109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66"/>
    <m/>
    <x v="2"/>
    <x v="1"/>
    <m/>
    <m/>
    <m/>
  </r>
  <r>
    <x v="0"/>
    <n v="314304"/>
    <n v="27665519"/>
    <s v="GF263CD17138"/>
    <s v="ANDRE"/>
    <s v="DUPRE"/>
    <n v="20161219"/>
    <n v="20170414"/>
    <x v="8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67"/>
    <m/>
    <x v="0"/>
    <x v="1"/>
    <s v="Y"/>
    <m/>
    <m/>
  </r>
  <r>
    <x v="0"/>
    <n v="314304"/>
    <n v="27665519"/>
    <s v="JA122KA17487"/>
    <s v="ANDRE"/>
    <s v="DUPRE"/>
    <n v="20161219"/>
    <n v="20170414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68"/>
    <m/>
    <x v="1"/>
    <x v="1"/>
    <s v="Y"/>
    <m/>
    <m/>
  </r>
  <r>
    <x v="0"/>
    <n v="314304"/>
    <n v="27665519"/>
    <s v="GF263CD17138"/>
    <s v="ANDRE"/>
    <s v="DUPRE"/>
    <n v="20170130"/>
    <n v="20170414"/>
    <x v="8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69"/>
    <m/>
    <x v="0"/>
    <x v="1"/>
    <s v="Y"/>
    <m/>
    <m/>
  </r>
  <r>
    <x v="0"/>
    <n v="314304"/>
    <n v="27665519"/>
    <s v="GF263CD17138"/>
    <s v="ANDRE"/>
    <s v="DUPRE"/>
    <n v="20170410"/>
    <n v="20170414"/>
    <x v="1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70"/>
    <m/>
    <x v="1"/>
    <x v="1"/>
    <s v="Y"/>
    <m/>
    <m/>
  </r>
  <r>
    <x v="0"/>
    <n v="314304"/>
    <n v="27684785"/>
    <s v="GT3566D17828"/>
    <s v="DEBORAH"/>
    <s v="KING"/>
    <n v="20170413"/>
    <n v="20170523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71"/>
    <m/>
    <x v="1"/>
    <x v="1"/>
    <m/>
    <m/>
    <m/>
  </r>
  <r>
    <x v="0"/>
    <n v="314304"/>
    <n v="27693675"/>
    <s v="M16146D17828"/>
    <s v="RYAN"/>
    <s v="HOWARD"/>
    <n v="20170404"/>
    <n v="20170501"/>
    <x v="1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72"/>
    <m/>
    <x v="1"/>
    <x v="1"/>
    <m/>
    <m/>
    <m/>
  </r>
  <r>
    <x v="0"/>
    <n v="314304"/>
    <n v="27714471"/>
    <s v="B6300DD17238"/>
    <s v="JEROME"/>
    <s v="TAYLOR"/>
    <n v="20170413"/>
    <n v="20170802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73"/>
    <m/>
    <x v="0"/>
    <x v="1"/>
    <m/>
    <m/>
    <m/>
  </r>
  <r>
    <x v="1"/>
    <n v="314301"/>
    <n v="27720648"/>
    <n v="531704048993"/>
    <s v="MERIDA"/>
    <s v="DE LA PENA"/>
    <n v="20170331"/>
    <n v="20170717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74"/>
    <m/>
    <x v="0"/>
    <x v="1"/>
    <m/>
    <m/>
    <m/>
  </r>
  <r>
    <x v="0"/>
    <n v="314301"/>
    <n v="27720648"/>
    <n v="531704048993"/>
    <s v="MERIDA"/>
    <s v="DE LA PENA"/>
    <n v="20170331"/>
    <n v="2017072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75"/>
    <m/>
    <x v="0"/>
    <x v="1"/>
    <m/>
    <m/>
    <m/>
  </r>
  <r>
    <x v="1"/>
    <n v="314304"/>
    <n v="27767401"/>
    <s v="BT5467C17808"/>
    <s v="VERONICA"/>
    <s v="URRUSTIETA"/>
    <n v="20170308"/>
    <n v="20170404"/>
    <x v="3"/>
    <m/>
    <m/>
    <s v="N"/>
    <s v="N"/>
    <s v="Y"/>
    <s v="Y"/>
    <s v="Y"/>
    <s v="Y"/>
    <s v="Y"/>
    <s v="N"/>
    <n v="20170405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76"/>
    <m/>
    <x v="1"/>
    <x v="1"/>
    <m/>
    <m/>
    <m/>
  </r>
  <r>
    <x v="0"/>
    <n v="314304"/>
    <n v="27767401"/>
    <s v="BT5467C17808"/>
    <s v="VERONICA"/>
    <s v="URRUSTIETA"/>
    <n v="20170308"/>
    <n v="20170425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77"/>
    <m/>
    <x v="1"/>
    <x v="1"/>
    <m/>
    <m/>
    <m/>
  </r>
  <r>
    <x v="1"/>
    <n v="314304"/>
    <n v="27828619"/>
    <s v="KZ711PC17618"/>
    <s v="DEBORAH"/>
    <s v="GONZALEZ"/>
    <n v="20170406"/>
    <n v="20170406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78"/>
    <m/>
    <x v="2"/>
    <x v="1"/>
    <m/>
    <m/>
    <m/>
  </r>
  <r>
    <x v="0"/>
    <n v="314304"/>
    <n v="27828619"/>
    <s v="KZ711PC17618"/>
    <s v="DEBORAH"/>
    <s v="GONZALEZ"/>
    <n v="20170328"/>
    <n v="20170405"/>
    <x v="6"/>
    <m/>
    <m/>
    <s v="N"/>
    <s v="N"/>
    <s v="Y"/>
    <s v="Y"/>
    <s v="Y"/>
    <s v="Y"/>
    <s v="Y"/>
    <s v="N"/>
    <n v="20170406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79"/>
    <m/>
    <x v="1"/>
    <x v="1"/>
    <s v="Y"/>
    <m/>
    <s v="Y"/>
  </r>
  <r>
    <x v="1"/>
    <n v="314304"/>
    <n v="27927004"/>
    <s v="H2517JA17287"/>
    <s v="KAYE"/>
    <s v="JOHNSON"/>
    <n v="20170126"/>
    <n v="20170219"/>
    <x v="3"/>
    <m/>
    <m/>
    <s v="Y"/>
    <m/>
    <m/>
    <m/>
    <m/>
    <m/>
    <m/>
    <m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80"/>
    <m/>
    <x v="1"/>
    <x v="1"/>
    <m/>
    <m/>
    <m/>
  </r>
  <r>
    <x v="0"/>
    <n v="314301"/>
    <n v="27959442"/>
    <n v="571704048057"/>
    <s v="WALDINA"/>
    <s v="ZALDIVAR"/>
    <n v="20170406"/>
    <n v="20170506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81"/>
    <m/>
    <x v="0"/>
    <x v="1"/>
    <m/>
    <m/>
    <m/>
  </r>
  <r>
    <x v="0"/>
    <n v="314301"/>
    <n v="27959442"/>
    <n v="571704048057"/>
    <s v="WALDINA"/>
    <s v="ZALDIVAR"/>
    <n v="20170413"/>
    <n v="20170506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82"/>
    <m/>
    <x v="0"/>
    <x v="1"/>
    <m/>
    <m/>
    <m/>
  </r>
  <r>
    <x v="1"/>
    <n v="314304"/>
    <n v="27972013"/>
    <n v="501703298078"/>
    <s v="GLADYS"/>
    <s v="CUFRE"/>
    <n v="20170330"/>
    <n v="20170511"/>
    <x v="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83"/>
    <m/>
    <x v="0"/>
    <x v="1"/>
    <m/>
    <m/>
    <m/>
  </r>
  <r>
    <x v="0"/>
    <n v="314304"/>
    <n v="27972013"/>
    <n v="501703298078"/>
    <s v="GLADYS"/>
    <s v="CUFRE"/>
    <n v="20170330"/>
    <n v="20170427"/>
    <x v="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84"/>
    <m/>
    <x v="0"/>
    <x v="1"/>
    <m/>
    <m/>
    <m/>
  </r>
  <r>
    <x v="0"/>
    <n v="314304"/>
    <n v="28002303"/>
    <s v="AK084ZA17987"/>
    <s v="CARLA"/>
    <s v="LABUGUEN"/>
    <n v="20170308"/>
    <n v="20170516"/>
    <x v="1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85"/>
    <m/>
    <x v="1"/>
    <x v="1"/>
    <m/>
    <m/>
    <m/>
  </r>
  <r>
    <x v="0"/>
    <n v="314304"/>
    <n v="28020271"/>
    <s v="HU519DC17018"/>
    <s v="LYDIA"/>
    <s v="TRAHAN"/>
    <n v="20170413"/>
    <n v="20170608"/>
    <x v="3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86"/>
    <m/>
    <x v="1"/>
    <x v="1"/>
    <m/>
    <m/>
    <m/>
  </r>
  <r>
    <x v="0"/>
    <n v="314304"/>
    <n v="28022906"/>
    <n v="541703078004"/>
    <s v="MARGARET"/>
    <s v="HOLLIS"/>
    <n v="20170327"/>
    <n v="20170627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87"/>
    <m/>
    <x v="0"/>
    <x v="1"/>
    <m/>
    <m/>
    <m/>
  </r>
  <r>
    <x v="0"/>
    <n v="314304"/>
    <n v="28022906"/>
    <n v="541703078004"/>
    <s v="MARGARET"/>
    <s v="HOLLIS"/>
    <n v="20170403"/>
    <n v="20170627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88"/>
    <m/>
    <x v="0"/>
    <x v="1"/>
    <m/>
    <m/>
    <m/>
  </r>
  <r>
    <x v="1"/>
    <n v="314304"/>
    <n v="28062136"/>
    <s v="HD658GB17897"/>
    <s v="BRENDA"/>
    <s v="HARRIS"/>
    <n v="20170403"/>
    <n v="2017040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89"/>
    <m/>
    <x v="2"/>
    <x v="1"/>
    <m/>
    <m/>
    <m/>
  </r>
  <r>
    <x v="0"/>
    <n v="314304"/>
    <n v="28062136"/>
    <n v="571702168727"/>
    <s v="BRENDA"/>
    <s v="HARRIS"/>
    <n v="20170224"/>
    <n v="20170402"/>
    <x v="1"/>
    <m/>
    <m/>
    <s v="N"/>
    <s v="N"/>
    <s v="Y"/>
    <s v="Y"/>
    <s v="Y"/>
    <s v="Y"/>
    <s v="Y"/>
    <s v="N"/>
    <n v="2017040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90"/>
    <m/>
    <x v="0"/>
    <x v="1"/>
    <s v="Y"/>
    <m/>
    <s v="Y"/>
  </r>
  <r>
    <x v="0"/>
    <n v="314304"/>
    <n v="28094368"/>
    <n v="511704138831"/>
    <s v="E URIQUE"/>
    <s v="BAKER"/>
    <n v="20170412"/>
    <n v="20170512"/>
    <x v="0"/>
    <m/>
    <m/>
    <s v="N"/>
    <s v="N"/>
    <s v="N"/>
    <s v="Y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91"/>
    <m/>
    <x v="0"/>
    <x v="1"/>
    <m/>
    <m/>
    <m/>
  </r>
  <r>
    <x v="1"/>
    <n v="314304"/>
    <n v="28117404"/>
    <n v="501704038728"/>
    <s v="JOY"/>
    <s v="MANLAPAZ"/>
    <n v="20170331"/>
    <n v="2017050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92"/>
    <m/>
    <x v="0"/>
    <x v="1"/>
    <m/>
    <m/>
    <m/>
  </r>
  <r>
    <x v="0"/>
    <n v="314304"/>
    <n v="28117404"/>
    <n v="501704038728"/>
    <s v="JOY"/>
    <s v="MANLAPAZ"/>
    <n v="20170331"/>
    <n v="20170504"/>
    <x v="1"/>
    <m/>
    <m/>
    <s v="N"/>
    <s v="N"/>
    <s v="Y"/>
    <s v="Y"/>
    <s v="Y"/>
    <s v="Y"/>
    <s v="Y"/>
    <s v="N"/>
    <m/>
    <m/>
    <m/>
    <m/>
    <m/>
    <n v="673"/>
    <s v="W7"/>
    <n v="20170331"/>
    <n v="20170921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93"/>
    <m/>
    <x v="0"/>
    <x v="1"/>
    <m/>
    <m/>
    <m/>
  </r>
  <r>
    <x v="0"/>
    <n v="314304"/>
    <n v="28157763"/>
    <s v="BD2539B17597"/>
    <s v="PAMELA"/>
    <s v="PRENTICE"/>
    <n v="20170228"/>
    <n v="20170416"/>
    <x v="3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94"/>
    <m/>
    <x v="1"/>
    <x v="1"/>
    <m/>
    <m/>
    <s v="Y"/>
  </r>
  <r>
    <x v="1"/>
    <n v="314304"/>
    <n v="28171082"/>
    <s v="KB203VC17228"/>
    <s v="APRIL"/>
    <s v="MARSH"/>
    <n v="20170412"/>
    <n v="20170412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95"/>
    <m/>
    <x v="2"/>
    <x v="1"/>
    <m/>
    <m/>
    <m/>
  </r>
  <r>
    <x v="0"/>
    <n v="314304"/>
    <n v="28171082"/>
    <s v="KB203VC17228"/>
    <s v="APRIL"/>
    <s v="MARSH"/>
    <n v="20170327"/>
    <n v="20170411"/>
    <x v="10"/>
    <m/>
    <m/>
    <s v="N"/>
    <s v="N"/>
    <s v="Y"/>
    <s v="Y"/>
    <s v="Y"/>
    <s v="Y"/>
    <s v="Y"/>
    <s v="N"/>
    <n v="2017041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96"/>
    <m/>
    <x v="1"/>
    <x v="1"/>
    <s v="Y"/>
    <m/>
    <s v="Y"/>
  </r>
  <r>
    <x v="1"/>
    <n v="314304"/>
    <n v="28184637"/>
    <n v="511702078109"/>
    <s v="TYNIESHA"/>
    <s v="BURLEY"/>
    <n v="20170331"/>
    <n v="20170409"/>
    <x v="2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97"/>
    <m/>
    <x v="0"/>
    <x v="1"/>
    <m/>
    <m/>
    <m/>
  </r>
  <r>
    <x v="0"/>
    <n v="314304"/>
    <n v="28184637"/>
    <n v="511702078109"/>
    <s v="TYNIESHA"/>
    <s v="BURLEY"/>
    <n v="20170331"/>
    <n v="20170416"/>
    <x v="2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98"/>
    <m/>
    <x v="0"/>
    <x v="1"/>
    <m/>
    <m/>
    <m/>
  </r>
  <r>
    <x v="1"/>
    <n v="314304"/>
    <n v="28205173"/>
    <n v="251702218925"/>
    <s v="CATRESHA"/>
    <s v="TERRY"/>
    <n v="20161118"/>
    <n v="20161218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699"/>
    <m/>
    <x v="0"/>
    <x v="1"/>
    <m/>
    <m/>
    <m/>
  </r>
  <r>
    <x v="0"/>
    <n v="314304"/>
    <n v="28205173"/>
    <n v="251702218925"/>
    <s v="CATRESHA"/>
    <s v="TERRY"/>
    <n v="20161118"/>
    <n v="20170116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00"/>
    <m/>
    <x v="0"/>
    <x v="1"/>
    <m/>
    <m/>
    <m/>
  </r>
  <r>
    <x v="0"/>
    <n v="314304"/>
    <n v="28233495"/>
    <n v="571702238847"/>
    <s v="KENYA"/>
    <s v="KNIGHTON"/>
    <n v="20170307"/>
    <n v="20170416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01"/>
    <m/>
    <x v="0"/>
    <x v="1"/>
    <m/>
    <m/>
    <s v="Y"/>
  </r>
  <r>
    <x v="1"/>
    <n v="314304"/>
    <n v="28247628"/>
    <s v="G31517B17497"/>
    <s v="DIANE"/>
    <s v="PETTY"/>
    <n v="20170203"/>
    <n v="20170203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02"/>
    <m/>
    <x v="2"/>
    <x v="1"/>
    <m/>
    <m/>
    <m/>
  </r>
  <r>
    <x v="1"/>
    <n v="314304"/>
    <n v="28247628"/>
    <s v="E8028BK16896"/>
    <s v="DIANE"/>
    <s v="PETTY"/>
    <n v="20160622"/>
    <n v="20160622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03"/>
    <m/>
    <x v="2"/>
    <x v="1"/>
    <m/>
    <m/>
    <m/>
  </r>
  <r>
    <x v="1"/>
    <n v="314304"/>
    <n v="28247628"/>
    <n v="291703018269"/>
    <s v="DIANE"/>
    <s v="PETTY"/>
    <n v="20160318"/>
    <n v="2016062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04"/>
    <m/>
    <x v="0"/>
    <x v="1"/>
    <m/>
    <m/>
    <m/>
  </r>
  <r>
    <x v="0"/>
    <n v="314304"/>
    <n v="28247628"/>
    <n v="291703018269"/>
    <s v="DIANE"/>
    <s v="PETTY"/>
    <n v="20160318"/>
    <n v="2017033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05"/>
    <m/>
    <x v="0"/>
    <x v="1"/>
    <s v="Y"/>
    <m/>
    <m/>
  </r>
  <r>
    <x v="0"/>
    <n v="314304"/>
    <n v="28247628"/>
    <s v="G31517B17497"/>
    <s v="DIANE"/>
    <s v="PETTY"/>
    <n v="20160325"/>
    <n v="20170331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06"/>
    <m/>
    <x v="1"/>
    <x v="1"/>
    <s v="Y"/>
    <m/>
    <m/>
  </r>
  <r>
    <x v="0"/>
    <n v="314304"/>
    <n v="28247628"/>
    <s v="G31517B17497"/>
    <s v="DIANE"/>
    <s v="PETTY"/>
    <n v="20161219"/>
    <n v="20161219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07"/>
    <m/>
    <x v="2"/>
    <x v="1"/>
    <m/>
    <m/>
    <m/>
  </r>
  <r>
    <x v="0"/>
    <n v="314304"/>
    <n v="28247628"/>
    <s v="G31517B17497"/>
    <s v="DIANE"/>
    <s v="PETTY"/>
    <n v="20170401"/>
    <n v="20170401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08"/>
    <m/>
    <x v="2"/>
    <x v="1"/>
    <m/>
    <m/>
    <m/>
  </r>
  <r>
    <x v="1"/>
    <n v="314304"/>
    <n v="28272594"/>
    <s v="KJ1085D17728"/>
    <s v="JESSICA"/>
    <s v="GALLARDO-GREEN"/>
    <n v="20170410"/>
    <n v="20170509"/>
    <x v="3"/>
    <m/>
    <s v="Maternity"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09"/>
    <m/>
    <x v="1"/>
    <x v="1"/>
    <m/>
    <m/>
    <m/>
  </r>
  <r>
    <x v="0"/>
    <n v="314304"/>
    <n v="28272594"/>
    <s v="KJ1085D17728"/>
    <s v="JESSICA"/>
    <s v="GALLARDO-GREEN"/>
    <n v="20170411"/>
    <n v="20170523"/>
    <x v="1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10"/>
    <m/>
    <x v="1"/>
    <x v="1"/>
    <m/>
    <m/>
    <m/>
  </r>
  <r>
    <x v="0"/>
    <n v="314304"/>
    <n v="28272594"/>
    <n v="571704058297"/>
    <s v="JESSICA"/>
    <s v="GALLARDO-GREEN"/>
    <n v="20170411"/>
    <n v="20170523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11"/>
    <m/>
    <x v="0"/>
    <x v="1"/>
    <m/>
    <m/>
    <m/>
  </r>
  <r>
    <x v="0"/>
    <n v="314301"/>
    <n v="28290645"/>
    <s v="CX289GC17218"/>
    <s v="KEVIN"/>
    <s v="GLICK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12"/>
    <m/>
    <x v="2"/>
    <x v="1"/>
    <m/>
    <m/>
    <m/>
  </r>
  <r>
    <x v="1"/>
    <n v="314304"/>
    <n v="28324549"/>
    <s v="EX8123D17628"/>
    <s v="FAITH"/>
    <s v="HALE"/>
    <n v="20170410"/>
    <n v="2017041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13"/>
    <m/>
    <x v="2"/>
    <x v="1"/>
    <m/>
    <m/>
    <m/>
  </r>
  <r>
    <x v="1"/>
    <n v="314304"/>
    <n v="28324549"/>
    <n v="541704038634"/>
    <s v="FAITH"/>
    <s v="HALE"/>
    <n v="20170331"/>
    <n v="20170503"/>
    <x v="1"/>
    <m/>
    <m/>
    <s v="N"/>
    <s v="N"/>
    <s v="Y"/>
    <s v="Y"/>
    <s v="Y"/>
    <s v="Y"/>
    <s v="Y"/>
    <s v="N"/>
    <n v="2017041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14"/>
    <m/>
    <x v="0"/>
    <x v="1"/>
    <m/>
    <m/>
    <m/>
  </r>
  <r>
    <x v="0"/>
    <n v="314304"/>
    <n v="28324549"/>
    <n v="541704038634"/>
    <s v="FAITH"/>
    <s v="HALE"/>
    <n v="20170331"/>
    <n v="20170503"/>
    <x v="1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15"/>
    <m/>
    <x v="0"/>
    <x v="1"/>
    <s v="Y"/>
    <m/>
    <s v="Y"/>
  </r>
  <r>
    <x v="1"/>
    <n v="314301"/>
    <n v="28328199"/>
    <n v="551702238875"/>
    <s v="CINDY"/>
    <s v="ROZMARYNOSKI"/>
    <n v="20170223"/>
    <n v="20170412"/>
    <x v="1"/>
    <m/>
    <m/>
    <s v="N"/>
    <s v="N"/>
    <s v="Y"/>
    <s v="Y"/>
    <s v="Y"/>
    <s v="Y"/>
    <s v="Y"/>
    <s v="N"/>
    <n v="2017041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16"/>
    <m/>
    <x v="0"/>
    <x v="1"/>
    <m/>
    <m/>
    <m/>
  </r>
  <r>
    <x v="0"/>
    <n v="314301"/>
    <n v="28328199"/>
    <n v="551702238875"/>
    <s v="CINDY"/>
    <s v="ROZMARYNOSKI"/>
    <n v="20170223"/>
    <n v="20170510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17"/>
    <m/>
    <x v="0"/>
    <x v="1"/>
    <m/>
    <m/>
    <m/>
  </r>
  <r>
    <x v="0"/>
    <n v="314301"/>
    <n v="28328199"/>
    <n v="551702238875"/>
    <s v="CINDY"/>
    <s v="ROZMARYNOSKI"/>
    <n v="20170413"/>
    <n v="20170510"/>
    <x v="17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18"/>
    <m/>
    <x v="0"/>
    <x v="1"/>
    <m/>
    <m/>
    <m/>
  </r>
  <r>
    <x v="1"/>
    <n v="314304"/>
    <n v="28341272"/>
    <s v="GA559KA17387"/>
    <s v="ANDREW"/>
    <s v="MORENO"/>
    <n v="20170411"/>
    <n v="20170411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19"/>
    <m/>
    <x v="2"/>
    <x v="1"/>
    <m/>
    <m/>
    <m/>
  </r>
  <r>
    <x v="1"/>
    <n v="314304"/>
    <n v="28341272"/>
    <s v="GA559KA17387"/>
    <s v="ANDREW"/>
    <s v="MORENO"/>
    <n v="20170411"/>
    <n v="20170411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20"/>
    <m/>
    <x v="2"/>
    <x v="1"/>
    <m/>
    <m/>
    <m/>
  </r>
  <r>
    <x v="1"/>
    <n v="314304"/>
    <n v="28341272"/>
    <s v="GA559KA17387"/>
    <s v="ANDREW"/>
    <s v="MORENO"/>
    <n v="20170117"/>
    <n v="20170410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21"/>
    <m/>
    <x v="1"/>
    <x v="1"/>
    <m/>
    <m/>
    <m/>
  </r>
  <r>
    <x v="1"/>
    <n v="314304"/>
    <n v="28341272"/>
    <n v="571701198817"/>
    <s v="ANDREW"/>
    <s v="MORENO"/>
    <n v="20170110"/>
    <n v="2017041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22"/>
    <m/>
    <x v="0"/>
    <x v="1"/>
    <m/>
    <m/>
    <m/>
  </r>
  <r>
    <x v="1"/>
    <n v="314304"/>
    <n v="28341272"/>
    <n v="521701068572"/>
    <s v="ANDREW"/>
    <s v="MORENO"/>
    <n v="20170109"/>
    <n v="2017041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23"/>
    <m/>
    <x v="0"/>
    <x v="1"/>
    <m/>
    <m/>
    <m/>
  </r>
  <r>
    <x v="0"/>
    <n v="314304"/>
    <n v="28341272"/>
    <n v="521701068572"/>
    <s v="ANDREW"/>
    <s v="MORENO"/>
    <n v="20170109"/>
    <n v="2017041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24"/>
    <m/>
    <x v="0"/>
    <x v="1"/>
    <s v="Y"/>
    <m/>
    <m/>
  </r>
  <r>
    <x v="0"/>
    <n v="314304"/>
    <n v="28341272"/>
    <n v="571701198817"/>
    <s v="ANDREW"/>
    <s v="MORENO"/>
    <n v="20170110"/>
    <n v="2017041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25"/>
    <m/>
    <x v="0"/>
    <x v="1"/>
    <s v="Y"/>
    <m/>
    <m/>
  </r>
  <r>
    <x v="0"/>
    <n v="314304"/>
    <n v="28341272"/>
    <s v="GA559KA17387"/>
    <s v="ANDREW"/>
    <s v="MORENO"/>
    <n v="20170117"/>
    <n v="20170414"/>
    <x v="3"/>
    <m/>
    <m/>
    <s v="N"/>
    <s v="N"/>
    <s v="Y"/>
    <s v="Y"/>
    <s v="Y"/>
    <s v="Y"/>
    <s v="Y"/>
    <s v="N"/>
    <n v="20170415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26"/>
    <m/>
    <x v="1"/>
    <x v="1"/>
    <s v="Y"/>
    <m/>
    <s v="Y"/>
  </r>
  <r>
    <x v="0"/>
    <n v="314307"/>
    <n v="28354611"/>
    <s v="HW332CA17087"/>
    <s v="THOMAS"/>
    <s v="DRUELINGER"/>
    <n v="20170117"/>
    <n v="20170416"/>
    <x v="9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27"/>
    <m/>
    <x v="0"/>
    <x v="1"/>
    <m/>
    <m/>
    <s v="Y"/>
  </r>
  <r>
    <x v="0"/>
    <n v="314304"/>
    <n v="28402692"/>
    <n v="501704128648"/>
    <s v="PARVEEN"/>
    <s v="KAUR"/>
    <n v="20170401"/>
    <n v="20170508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28"/>
    <m/>
    <x v="0"/>
    <x v="1"/>
    <m/>
    <m/>
    <m/>
  </r>
  <r>
    <x v="0"/>
    <n v="314304"/>
    <n v="28421342"/>
    <n v="501704138768"/>
    <s v="RUBY"/>
    <s v="MORENO-GAMBOA"/>
    <n v="20170406"/>
    <n v="20170506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29"/>
    <m/>
    <x v="0"/>
    <x v="1"/>
    <m/>
    <m/>
    <m/>
  </r>
  <r>
    <x v="1"/>
    <n v="314304"/>
    <n v="28425250"/>
    <s v="E0079EC17118"/>
    <s v="GILDA"/>
    <s v="LAPID"/>
    <n v="20160923"/>
    <n v="20170502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30"/>
    <m/>
    <x v="1"/>
    <x v="1"/>
    <m/>
    <m/>
    <m/>
  </r>
  <r>
    <x v="0"/>
    <n v="314304"/>
    <n v="28425250"/>
    <s v="E0079EC17118"/>
    <s v="GILDA"/>
    <s v="LAPID"/>
    <n v="20170113"/>
    <n v="20170502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31"/>
    <m/>
    <x v="1"/>
    <x v="1"/>
    <m/>
    <m/>
    <m/>
  </r>
  <r>
    <x v="0"/>
    <n v="314304"/>
    <n v="28438233"/>
    <s v="B5112NB17108"/>
    <s v="LORI"/>
    <s v="KOPINSKY"/>
    <n v="20170413"/>
    <n v="20170417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32"/>
    <m/>
    <x v="1"/>
    <x v="1"/>
    <m/>
    <m/>
    <m/>
  </r>
  <r>
    <x v="0"/>
    <n v="314304"/>
    <n v="28457063"/>
    <s v="HP217CD17138"/>
    <s v="LILIANA"/>
    <s v="GONZALEZ"/>
    <n v="20170413"/>
    <n v="20170531"/>
    <x v="1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33"/>
    <m/>
    <x v="1"/>
    <x v="1"/>
    <m/>
    <m/>
    <m/>
  </r>
  <r>
    <x v="1"/>
    <n v="314304"/>
    <n v="28520073"/>
    <s v="BB2617C17808"/>
    <s v="VICTOR"/>
    <s v="RAMOS"/>
    <n v="20170403"/>
    <n v="20170502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34"/>
    <m/>
    <x v="1"/>
    <x v="1"/>
    <m/>
    <m/>
    <m/>
  </r>
  <r>
    <x v="0"/>
    <n v="314304"/>
    <n v="28520073"/>
    <s v="BB2617C17808"/>
    <s v="VICTOR"/>
    <s v="RAMOS"/>
    <n v="20170403"/>
    <n v="20170502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35"/>
    <m/>
    <x v="1"/>
    <x v="2"/>
    <m/>
    <m/>
    <m/>
  </r>
  <r>
    <x v="1"/>
    <n v="314304"/>
    <n v="28538556"/>
    <s v="C45005D17828"/>
    <s v="ALISON"/>
    <s v="TENHAGEN"/>
    <n v="20170324"/>
    <n v="20170505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36"/>
    <m/>
    <x v="1"/>
    <x v="2"/>
    <m/>
    <m/>
    <m/>
  </r>
  <r>
    <x v="0"/>
    <n v="314304"/>
    <n v="28538556"/>
    <s v="C45005D17828"/>
    <s v="ALISON"/>
    <s v="TENHAGEN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37"/>
    <m/>
    <x v="2"/>
    <x v="2"/>
    <m/>
    <m/>
    <m/>
  </r>
  <r>
    <x v="1"/>
    <n v="314304"/>
    <n v="28547001"/>
    <s v="AY411WB17408"/>
    <s v="LIZAMARIE"/>
    <s v="FERRER-GONZALEZ"/>
    <n v="20170408"/>
    <n v="20170408"/>
    <x v="4"/>
    <m/>
    <m/>
    <s v="N"/>
    <s v="Y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38"/>
    <m/>
    <x v="2"/>
    <x v="2"/>
    <m/>
    <m/>
    <m/>
  </r>
  <r>
    <x v="1"/>
    <n v="314304"/>
    <n v="28547001"/>
    <s v="AY411WB17408"/>
    <s v="LIZAMARIE"/>
    <s v="FERRER-GONZALEZ"/>
    <n v="20170331"/>
    <n v="20170407"/>
    <x v="15"/>
    <m/>
    <m/>
    <s v="N"/>
    <s v="Y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39"/>
    <m/>
    <x v="1"/>
    <x v="2"/>
    <m/>
    <m/>
    <m/>
  </r>
  <r>
    <x v="0"/>
    <n v="314304"/>
    <n v="28547001"/>
    <s v="AY411WB17408"/>
    <s v="LIZAMARIE"/>
    <s v="FERRER-GONZALEZ"/>
    <n v="20170331"/>
    <n v="20170331"/>
    <x v="5"/>
    <m/>
    <m/>
    <s v="N"/>
    <s v="Y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40"/>
    <m/>
    <x v="3"/>
    <x v="2"/>
    <s v="Y"/>
    <m/>
    <m/>
  </r>
  <r>
    <x v="0"/>
    <n v="314304"/>
    <n v="28549784"/>
    <n v="511704128631"/>
    <s v="MELVIN"/>
    <s v="SANTAMARIA"/>
    <n v="20170409"/>
    <n v="2017051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41"/>
    <m/>
    <x v="0"/>
    <x v="2"/>
    <m/>
    <m/>
    <m/>
  </r>
  <r>
    <x v="0"/>
    <n v="314304"/>
    <n v="28556266"/>
    <s v="HM469EM16227"/>
    <s v="DAVQUATYAH"/>
    <s v="YEHUDAH"/>
    <n v="20170319"/>
    <n v="20170319"/>
    <x v="4"/>
    <m/>
    <m/>
    <s v="N"/>
    <s v="N"/>
    <s v="Y"/>
    <s v="Y"/>
    <s v="Y"/>
    <s v="Y"/>
    <s v="Y"/>
    <s v="N"/>
    <n v="20170331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42"/>
    <m/>
    <x v="2"/>
    <x v="2"/>
    <m/>
    <m/>
    <s v="Y"/>
  </r>
  <r>
    <x v="1"/>
    <n v="314304"/>
    <n v="28574416"/>
    <n v="511703178019"/>
    <s v="TARA"/>
    <s v="PARKER"/>
    <n v="20170410"/>
    <n v="20170522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43"/>
    <m/>
    <x v="0"/>
    <x v="2"/>
    <m/>
    <m/>
    <m/>
  </r>
  <r>
    <x v="0"/>
    <n v="314304"/>
    <n v="28574416"/>
    <n v="511703178019"/>
    <s v="TARA"/>
    <s v="PARKER"/>
    <n v="20170410"/>
    <n v="2017052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44"/>
    <m/>
    <x v="0"/>
    <x v="2"/>
    <m/>
    <m/>
    <m/>
  </r>
  <r>
    <x v="0"/>
    <n v="314301"/>
    <n v="28614699"/>
    <n v="551703308265"/>
    <s v="BRYAN"/>
    <s v="BESSLING"/>
    <n v="20170405"/>
    <n v="20170604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45"/>
    <m/>
    <x v="0"/>
    <x v="0"/>
    <m/>
    <m/>
    <m/>
  </r>
  <r>
    <x v="0"/>
    <n v="314301"/>
    <n v="28614699"/>
    <n v="551703308265"/>
    <s v="BRYAN"/>
    <s v="BESSLING"/>
    <n v="20170412"/>
    <n v="2017060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46"/>
    <m/>
    <x v="0"/>
    <x v="0"/>
    <m/>
    <m/>
    <m/>
  </r>
  <r>
    <x v="1"/>
    <n v="314304"/>
    <n v="28682495"/>
    <s v="BP192YC17528"/>
    <s v="MARGUERITE"/>
    <s v="MARTINSON"/>
    <n v="20170308"/>
    <n v="20170308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47"/>
    <m/>
    <x v="2"/>
    <x v="2"/>
    <m/>
    <m/>
    <m/>
  </r>
  <r>
    <x v="0"/>
    <n v="314304"/>
    <n v="28682495"/>
    <s v="BP192YC17528"/>
    <s v="MARGUERITE"/>
    <s v="MARTINSON"/>
    <n v="20170308"/>
    <n v="20170405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48"/>
    <m/>
    <x v="1"/>
    <x v="2"/>
    <s v="Y"/>
    <m/>
    <m/>
  </r>
  <r>
    <x v="0"/>
    <n v="314304"/>
    <n v="28682495"/>
    <s v="BP192YC17528"/>
    <s v="MARGUERITE"/>
    <s v="MARTINSON"/>
    <n v="20170406"/>
    <n v="20170406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49"/>
    <m/>
    <x v="2"/>
    <x v="2"/>
    <m/>
    <m/>
    <m/>
  </r>
  <r>
    <x v="1"/>
    <n v="314304"/>
    <n v="28683196"/>
    <s v="A5863TA17787"/>
    <s v="SHARON"/>
    <s v="WESTHEIMER"/>
    <n v="20170111"/>
    <n v="20170111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50"/>
    <m/>
    <x v="2"/>
    <x v="2"/>
    <m/>
    <m/>
    <m/>
  </r>
  <r>
    <x v="1"/>
    <n v="314304"/>
    <n v="28683196"/>
    <s v="A5863TA17787"/>
    <s v="SHARON"/>
    <s v="WESTHEIMER"/>
    <n v="20170106"/>
    <n v="20170110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51"/>
    <m/>
    <x v="1"/>
    <x v="2"/>
    <m/>
    <m/>
    <m/>
  </r>
  <r>
    <x v="0"/>
    <n v="314304"/>
    <n v="28683196"/>
    <s v="A5863TA17787"/>
    <s v="SHARON"/>
    <s v="WESTHEIMER"/>
    <n v="20170106"/>
    <n v="20170106"/>
    <x v="5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52"/>
    <m/>
    <x v="3"/>
    <x v="2"/>
    <s v="Y"/>
    <m/>
    <m/>
  </r>
  <r>
    <x v="1"/>
    <n v="314304"/>
    <n v="28760691"/>
    <s v="AY120MB17008"/>
    <s v="SHERYL ANN"/>
    <s v="AKINWUNMI"/>
    <n v="20170320"/>
    <n v="20170727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53"/>
    <m/>
    <x v="1"/>
    <x v="2"/>
    <m/>
    <m/>
    <m/>
  </r>
  <r>
    <x v="0"/>
    <n v="314304"/>
    <n v="28760691"/>
    <s v="AY120MB17008"/>
    <s v="SHERYL ANN"/>
    <s v="AKINWUNMI"/>
    <n v="20170413"/>
    <n v="20170727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54"/>
    <m/>
    <x v="1"/>
    <x v="2"/>
    <m/>
    <m/>
    <m/>
  </r>
  <r>
    <x v="0"/>
    <n v="314304"/>
    <n v="28770327"/>
    <s v="HP4341C17508"/>
    <s v="CIERA"/>
    <s v="JACKSON"/>
    <n v="20170413"/>
    <n v="20170413"/>
    <x v="4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55"/>
    <m/>
    <x v="2"/>
    <x v="2"/>
    <m/>
    <m/>
    <m/>
  </r>
  <r>
    <x v="1"/>
    <n v="314304"/>
    <n v="28947821"/>
    <s v="MP958HC17318"/>
    <s v="CRYSTAL"/>
    <s v="CRUMP"/>
    <n v="20170317"/>
    <n v="20170918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56"/>
    <m/>
    <x v="1"/>
    <x v="2"/>
    <m/>
    <m/>
    <m/>
  </r>
  <r>
    <x v="0"/>
    <n v="314304"/>
    <n v="28947821"/>
    <s v="MP958HC17318"/>
    <s v="CRYSTAL"/>
    <s v="CRUMP"/>
    <n v="20170413"/>
    <n v="20170918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57"/>
    <m/>
    <x v="1"/>
    <x v="2"/>
    <m/>
    <m/>
    <m/>
  </r>
  <r>
    <x v="0"/>
    <n v="314301"/>
    <n v="28982222"/>
    <n v="501703288788"/>
    <s v="ERIN"/>
    <s v="URQUIDEZ"/>
    <n v="20170411"/>
    <n v="20170606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58"/>
    <m/>
    <x v="0"/>
    <x v="0"/>
    <m/>
    <m/>
    <m/>
  </r>
  <r>
    <x v="0"/>
    <n v="314304"/>
    <n v="28993855"/>
    <s v="BN684EC17118"/>
    <s v="TIFFANY"/>
    <s v="GRAMICCIONI"/>
    <n v="20170413"/>
    <n v="20170501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59"/>
    <m/>
    <x v="1"/>
    <x v="2"/>
    <m/>
    <m/>
    <m/>
  </r>
  <r>
    <x v="1"/>
    <n v="314301"/>
    <n v="29070004"/>
    <s v="JT1827D17928"/>
    <s v="MICHELLE"/>
    <s v="GLOVER"/>
    <n v="20170326"/>
    <n v="20170326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60"/>
    <m/>
    <x v="2"/>
    <x v="0"/>
    <m/>
    <m/>
    <m/>
  </r>
  <r>
    <x v="1"/>
    <n v="314301"/>
    <n v="29070004"/>
    <s v="JT1827D17928"/>
    <s v="MICHELLE"/>
    <s v="GLOVER"/>
    <n v="20161219"/>
    <n v="20170325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61"/>
    <m/>
    <x v="1"/>
    <x v="0"/>
    <m/>
    <m/>
    <m/>
  </r>
  <r>
    <x v="0"/>
    <n v="314301"/>
    <n v="29070004"/>
    <s v="JT1827D17928"/>
    <s v="MICHELLE"/>
    <s v="GLOVER"/>
    <n v="20161219"/>
    <n v="20170324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62"/>
    <m/>
    <x v="1"/>
    <x v="0"/>
    <s v="Y"/>
    <m/>
    <m/>
  </r>
  <r>
    <x v="0"/>
    <n v="314301"/>
    <n v="29070004"/>
    <s v="JT1827D17928"/>
    <s v="MICHELLE"/>
    <s v="GLOVER"/>
    <n v="20170325"/>
    <n v="20170325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63"/>
    <m/>
    <x v="2"/>
    <x v="0"/>
    <m/>
    <m/>
    <m/>
  </r>
  <r>
    <x v="1"/>
    <n v="314304"/>
    <n v="29070763"/>
    <s v="MZ472GC17318"/>
    <s v="SAMUEL"/>
    <s v="REYNOSO"/>
    <n v="20170317"/>
    <n v="20170413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64"/>
    <m/>
    <x v="1"/>
    <x v="2"/>
    <m/>
    <m/>
    <m/>
  </r>
  <r>
    <x v="0"/>
    <n v="314304"/>
    <n v="29070763"/>
    <s v="MZ472GC17318"/>
    <s v="SAMUEL"/>
    <s v="REYNOSO"/>
    <n v="20170317"/>
    <n v="20170516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65"/>
    <m/>
    <x v="1"/>
    <x v="2"/>
    <m/>
    <m/>
    <m/>
  </r>
  <r>
    <x v="1"/>
    <n v="314304"/>
    <n v="29073181"/>
    <n v="501703308128"/>
    <s v="IRA"/>
    <s v="HANDLER"/>
    <n v="20170404"/>
    <n v="20170429"/>
    <x v="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66"/>
    <m/>
    <x v="0"/>
    <x v="2"/>
    <m/>
    <m/>
    <m/>
  </r>
  <r>
    <x v="0"/>
    <n v="314304"/>
    <n v="29073181"/>
    <n v="501703308128"/>
    <s v="IRA"/>
    <s v="HANDLER"/>
    <n v="20170404"/>
    <n v="20170430"/>
    <x v="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67"/>
    <m/>
    <x v="0"/>
    <x v="2"/>
    <m/>
    <m/>
    <m/>
  </r>
  <r>
    <x v="0"/>
    <n v="314304"/>
    <n v="29095255"/>
    <s v="BX133BA17877"/>
    <s v="MARIA"/>
    <s v="TORRES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68"/>
    <m/>
    <x v="2"/>
    <x v="2"/>
    <m/>
    <m/>
    <m/>
  </r>
  <r>
    <x v="0"/>
    <n v="314304"/>
    <n v="29100933"/>
    <n v="501703158438"/>
    <s v="AILEEN"/>
    <s v="TERRAZAS"/>
    <n v="20170410"/>
    <n v="20170513"/>
    <x v="0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69"/>
    <m/>
    <x v="0"/>
    <x v="2"/>
    <m/>
    <m/>
    <m/>
  </r>
  <r>
    <x v="0"/>
    <n v="314305"/>
    <n v="29152729"/>
    <n v="511702168741"/>
    <s v="ALDO"/>
    <s v="CARRILLO"/>
    <n v="20170413"/>
    <n v="20170509"/>
    <x v="2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70"/>
    <m/>
    <x v="0"/>
    <x v="2"/>
    <m/>
    <m/>
    <m/>
  </r>
  <r>
    <x v="0"/>
    <n v="314304"/>
    <n v="29154556"/>
    <s v="AU7333D17628"/>
    <s v="TANYIA"/>
    <s v="ANDERSON"/>
    <n v="20170413"/>
    <n v="20170413"/>
    <x v="4"/>
    <m/>
    <m/>
    <s v="N"/>
    <s v="N"/>
    <s v="N"/>
    <s v="N"/>
    <s v="Y"/>
    <s v="Y"/>
    <s v="Y"/>
    <s v="Y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71"/>
    <m/>
    <x v="2"/>
    <x v="2"/>
    <m/>
    <m/>
    <m/>
  </r>
  <r>
    <x v="0"/>
    <n v="314304"/>
    <n v="29202101"/>
    <s v="BC430MC17418"/>
    <s v="MARIO"/>
    <s v="ZULUAGA"/>
    <n v="20170320"/>
    <n v="20170416"/>
    <x v="9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72"/>
    <m/>
    <x v="0"/>
    <x v="2"/>
    <m/>
    <m/>
    <s v="Y"/>
  </r>
  <r>
    <x v="1"/>
    <n v="314304"/>
    <n v="29240436"/>
    <n v="571701118247"/>
    <s v="YESICA"/>
    <s v="BENITEZ"/>
    <n v="20170318"/>
    <n v="20170505"/>
    <x v="11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73"/>
    <m/>
    <x v="0"/>
    <x v="2"/>
    <m/>
    <m/>
    <m/>
  </r>
  <r>
    <x v="0"/>
    <n v="314304"/>
    <n v="29240436"/>
    <n v="571701118247"/>
    <s v="YESICA"/>
    <s v="BENITEZ"/>
    <n v="20170318"/>
    <n v="20170630"/>
    <x v="1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74"/>
    <m/>
    <x v="0"/>
    <x v="2"/>
    <m/>
    <m/>
    <m/>
  </r>
  <r>
    <x v="0"/>
    <n v="314304"/>
    <n v="29295710"/>
    <n v="531704138803"/>
    <s v="ROBIN"/>
    <s v="LOVETT"/>
    <n v="20170408"/>
    <n v="20170508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75"/>
    <m/>
    <x v="0"/>
    <x v="2"/>
    <m/>
    <m/>
    <m/>
  </r>
  <r>
    <x v="1"/>
    <n v="314304"/>
    <n v="29362266"/>
    <s v="D65406B17397"/>
    <s v="IAN"/>
    <s v="RODRIGUEZ"/>
    <n v="20170206"/>
    <n v="20170324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76"/>
    <m/>
    <x v="1"/>
    <x v="2"/>
    <m/>
    <m/>
    <m/>
  </r>
  <r>
    <x v="0"/>
    <n v="314301"/>
    <n v="29365063"/>
    <s v="G7081AA17877"/>
    <s v="LAURIANO"/>
    <s v="BARAJAS"/>
    <n v="20161227"/>
    <n v="20170417"/>
    <x v="9"/>
    <m/>
    <m/>
    <s v="N"/>
    <s v="N"/>
    <s v="Y"/>
    <s v="Y"/>
    <s v="Y"/>
    <s v="Y"/>
    <s v="Y"/>
    <s v="N"/>
    <n v="20170417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77"/>
    <m/>
    <x v="0"/>
    <x v="0"/>
    <m/>
    <m/>
    <s v="Y"/>
  </r>
  <r>
    <x v="0"/>
    <n v="314301"/>
    <n v="29366590"/>
    <s v="A4340BA17977"/>
    <s v="KYLE"/>
    <s v="BORK"/>
    <n v="20170123"/>
    <n v="20170409"/>
    <x v="9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78"/>
    <m/>
    <x v="0"/>
    <x v="0"/>
    <m/>
    <m/>
    <s v="Y"/>
  </r>
  <r>
    <x v="1"/>
    <n v="314301"/>
    <n v="29380784"/>
    <n v="531704058203"/>
    <s v="AMIRAH"/>
    <s v="WILLIAMS"/>
    <n v="20170325"/>
    <n v="20170424"/>
    <x v="0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79"/>
    <m/>
    <x v="0"/>
    <x v="0"/>
    <m/>
    <m/>
    <m/>
  </r>
  <r>
    <x v="0"/>
    <n v="314301"/>
    <n v="29380784"/>
    <n v="531704058203"/>
    <s v="AMIRAH"/>
    <s v="WILLIAMS"/>
    <n v="20170327"/>
    <n v="2017050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80"/>
    <m/>
    <x v="0"/>
    <x v="0"/>
    <m/>
    <m/>
    <m/>
  </r>
  <r>
    <x v="0"/>
    <n v="314301"/>
    <n v="29380784"/>
    <n v="531704058203"/>
    <s v="AMIRAH"/>
    <s v="WILLIAMS"/>
    <n v="20170403"/>
    <n v="20170505"/>
    <x v="1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81"/>
    <m/>
    <x v="0"/>
    <x v="0"/>
    <m/>
    <m/>
    <s v="Y"/>
  </r>
  <r>
    <x v="1"/>
    <n v="314304"/>
    <n v="29383754"/>
    <s v="D6195WC17328"/>
    <s v="YOLANDA"/>
    <s v="LEWIS"/>
    <n v="20170411"/>
    <n v="20170411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82"/>
    <m/>
    <x v="2"/>
    <x v="2"/>
    <m/>
    <m/>
    <m/>
  </r>
  <r>
    <x v="1"/>
    <n v="314304"/>
    <n v="29383754"/>
    <s v="D6195WC17328"/>
    <s v="YOLANDA"/>
    <s v="LEWIS"/>
    <n v="20170324"/>
    <n v="20170410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83"/>
    <m/>
    <x v="1"/>
    <x v="2"/>
    <m/>
    <m/>
    <m/>
  </r>
  <r>
    <x v="1"/>
    <n v="314304"/>
    <n v="29383754"/>
    <s v="MJ485EB17797"/>
    <s v="YOLANDA"/>
    <s v="LEWIS"/>
    <n v="20170210"/>
    <n v="20170323"/>
    <x v="3"/>
    <m/>
    <m/>
    <s v="N"/>
    <s v="N"/>
    <s v="Y"/>
    <s v="Y"/>
    <s v="Y"/>
    <s v="Y"/>
    <s v="Y"/>
    <s v="N"/>
    <n v="20170324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84"/>
    <m/>
    <x v="1"/>
    <x v="2"/>
    <m/>
    <m/>
    <m/>
  </r>
  <r>
    <x v="0"/>
    <n v="314304"/>
    <n v="29383754"/>
    <s v="MJ485EB17797"/>
    <s v="YOLANDA"/>
    <s v="LEWIS"/>
    <n v="20170210"/>
    <n v="20170412"/>
    <x v="3"/>
    <m/>
    <m/>
    <s v="N"/>
    <s v="N"/>
    <s v="Y"/>
    <s v="Y"/>
    <s v="Y"/>
    <s v="Y"/>
    <s v="Y"/>
    <s v="N"/>
    <n v="2017041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85"/>
    <m/>
    <x v="1"/>
    <x v="2"/>
    <s v="Y"/>
    <m/>
    <s v="Y"/>
  </r>
  <r>
    <x v="0"/>
    <n v="314304"/>
    <n v="29383754"/>
    <s v="D6195WC17328"/>
    <s v="YOLANDA"/>
    <s v="LEWIS"/>
    <n v="20170324"/>
    <n v="20170324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86"/>
    <m/>
    <x v="3"/>
    <x v="2"/>
    <s v="Y"/>
    <m/>
    <m/>
  </r>
  <r>
    <x v="1"/>
    <n v="314305"/>
    <n v="29458573"/>
    <s v="HJ382MB17008"/>
    <s v="TYONNA"/>
    <s v="ADAMS"/>
    <n v="20170412"/>
    <n v="20170412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87"/>
    <m/>
    <x v="2"/>
    <x v="2"/>
    <m/>
    <m/>
    <m/>
  </r>
  <r>
    <x v="0"/>
    <n v="314305"/>
    <n v="29458573"/>
    <s v="HJ382MB17008"/>
    <s v="TYONNA"/>
    <s v="ADAMS"/>
    <n v="20170309"/>
    <n v="20170411"/>
    <x v="3"/>
    <m/>
    <m/>
    <s v="N"/>
    <s v="N"/>
    <s v="Y"/>
    <s v="Y"/>
    <s v="Y"/>
    <s v="Y"/>
    <s v="Y"/>
    <s v="N"/>
    <n v="2017041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88"/>
    <m/>
    <x v="1"/>
    <x v="2"/>
    <s v="Y"/>
    <m/>
    <s v="Y"/>
  </r>
  <r>
    <x v="1"/>
    <n v="314301"/>
    <n v="29487364"/>
    <s v="H2489KC17318"/>
    <s v="SARAH"/>
    <s v="PAKIZER"/>
    <n v="20170320"/>
    <n v="20170414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89"/>
    <m/>
    <x v="1"/>
    <x v="0"/>
    <m/>
    <m/>
    <m/>
  </r>
  <r>
    <x v="0"/>
    <n v="314301"/>
    <n v="29487364"/>
    <s v="H2489KC17318"/>
    <s v="SARAH"/>
    <s v="PAKIZER"/>
    <n v="20170320"/>
    <n v="20170417"/>
    <x v="6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90"/>
    <m/>
    <x v="1"/>
    <x v="0"/>
    <m/>
    <m/>
    <m/>
  </r>
  <r>
    <x v="1"/>
    <n v="314304"/>
    <n v="29505129"/>
    <n v="551703248195"/>
    <s v="JAYNE"/>
    <s v="LOWE"/>
    <n v="20170331"/>
    <n v="20170409"/>
    <x v="1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91"/>
    <m/>
    <x v="0"/>
    <x v="2"/>
    <m/>
    <m/>
    <m/>
  </r>
  <r>
    <x v="0"/>
    <n v="314304"/>
    <n v="29505129"/>
    <n v="551703248195"/>
    <s v="JAYNE"/>
    <s v="LOWE"/>
    <n v="20170331"/>
    <n v="2017060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92"/>
    <m/>
    <x v="0"/>
    <x v="2"/>
    <m/>
    <m/>
    <m/>
  </r>
  <r>
    <x v="1"/>
    <n v="314304"/>
    <n v="29531777"/>
    <n v="561703158456"/>
    <s v="NATALIE"/>
    <s v="MORRIS"/>
    <n v="20170403"/>
    <n v="20170509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93"/>
    <m/>
    <x v="0"/>
    <x v="2"/>
    <m/>
    <m/>
    <m/>
  </r>
  <r>
    <x v="0"/>
    <n v="314304"/>
    <n v="29531777"/>
    <n v="561703158456"/>
    <s v="NATALIE"/>
    <s v="MORRIS"/>
    <n v="20170403"/>
    <n v="20170514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94"/>
    <m/>
    <x v="0"/>
    <x v="2"/>
    <m/>
    <m/>
    <m/>
  </r>
  <r>
    <x v="1"/>
    <n v="314301"/>
    <n v="29552179"/>
    <n v="531703288773"/>
    <s v="DARRIN"/>
    <s v="WARD"/>
    <n v="20170324"/>
    <n v="20170427"/>
    <x v="1"/>
    <m/>
    <m/>
    <s v="N"/>
    <s v="N"/>
    <s v="Y"/>
    <s v="Y"/>
    <s v="Y"/>
    <s v="Y"/>
    <s v="Y"/>
    <s v="N"/>
    <m/>
    <m/>
    <m/>
    <m/>
    <m/>
    <n v="170"/>
    <s v="W5"/>
    <n v="20170324"/>
    <n v="20170914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95"/>
    <m/>
    <x v="0"/>
    <x v="0"/>
    <m/>
    <m/>
    <m/>
  </r>
  <r>
    <x v="0"/>
    <n v="314301"/>
    <n v="29552179"/>
    <n v="531703288773"/>
    <s v="DARRIN"/>
    <s v="WARD"/>
    <n v="20170324"/>
    <n v="20170602"/>
    <x v="1"/>
    <m/>
    <m/>
    <s v="N"/>
    <s v="N"/>
    <s v="Y"/>
    <s v="Y"/>
    <s v="Y"/>
    <s v="Y"/>
    <s v="Y"/>
    <s v="N"/>
    <m/>
    <m/>
    <m/>
    <m/>
    <m/>
    <n v="170"/>
    <s v="W5"/>
    <n v="20170324"/>
    <n v="20170914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96"/>
    <m/>
    <x v="0"/>
    <x v="0"/>
    <m/>
    <m/>
    <m/>
  </r>
  <r>
    <x v="1"/>
    <n v="314301"/>
    <n v="29560225"/>
    <s v="A6989YC17428"/>
    <s v="ERIC"/>
    <s v="GREENWALD"/>
    <n v="20170410"/>
    <n v="20170730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97"/>
    <m/>
    <x v="0"/>
    <x v="0"/>
    <m/>
    <m/>
    <m/>
  </r>
  <r>
    <x v="0"/>
    <n v="314301"/>
    <n v="29560225"/>
    <s v="A6989YC17428"/>
    <s v="ERIC"/>
    <s v="GREENWALD"/>
    <n v="20170413"/>
    <n v="20170803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98"/>
    <m/>
    <x v="0"/>
    <x v="0"/>
    <m/>
    <m/>
    <m/>
  </r>
  <r>
    <x v="1"/>
    <n v="314305"/>
    <n v="29570349"/>
    <s v="H1225XC17428"/>
    <s v="SUSAN"/>
    <s v="TRENT"/>
    <n v="20170331"/>
    <n v="20170331"/>
    <x v="5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799"/>
    <m/>
    <x v="3"/>
    <x v="2"/>
    <m/>
    <m/>
    <m/>
  </r>
  <r>
    <x v="0"/>
    <n v="314305"/>
    <n v="29570349"/>
    <s v="H1225XC17428"/>
    <s v="SUSAN"/>
    <s v="TRENT"/>
    <n v="20170331"/>
    <n v="20170531"/>
    <x v="6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00"/>
    <m/>
    <x v="1"/>
    <x v="2"/>
    <m/>
    <m/>
    <m/>
  </r>
  <r>
    <x v="0"/>
    <n v="314304"/>
    <n v="29592454"/>
    <s v="AC7965D17728"/>
    <s v="ALICIA"/>
    <s v="DALY"/>
    <n v="20170413"/>
    <n v="20170504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01"/>
    <m/>
    <x v="1"/>
    <x v="2"/>
    <m/>
    <m/>
    <m/>
  </r>
  <r>
    <x v="1"/>
    <n v="314304"/>
    <n v="29605411"/>
    <s v="K8187EM16227"/>
    <s v="AMY"/>
    <s v="PROVOST"/>
    <n v="20161213"/>
    <n v="20170201"/>
    <x v="3"/>
    <m/>
    <m/>
    <s v="N"/>
    <s v="N"/>
    <s v="Y"/>
    <s v="Y"/>
    <s v="Y"/>
    <s v="Y"/>
    <s v="Y"/>
    <s v="N"/>
    <n v="20170202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02"/>
    <m/>
    <x v="1"/>
    <x v="2"/>
    <m/>
    <m/>
    <m/>
  </r>
  <r>
    <x v="0"/>
    <n v="314304"/>
    <n v="29605411"/>
    <s v="K8187EM16227"/>
    <s v="AMY"/>
    <s v="PROVOST"/>
    <n v="20161213"/>
    <n v="20170329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03"/>
    <m/>
    <x v="1"/>
    <x v="2"/>
    <m/>
    <m/>
    <m/>
  </r>
  <r>
    <x v="0"/>
    <n v="314304"/>
    <n v="29629582"/>
    <n v="561701058236"/>
    <s v="STEPHANIE"/>
    <s v="SINNOTT"/>
    <n v="20170413"/>
    <n v="20171102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04"/>
    <m/>
    <x v="0"/>
    <x v="2"/>
    <m/>
    <m/>
    <m/>
  </r>
  <r>
    <x v="0"/>
    <n v="314304"/>
    <n v="29654278"/>
    <n v="521704138842"/>
    <s v="LATRISHA"/>
    <s v="SUTTON"/>
    <n v="20170407"/>
    <n v="2017051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05"/>
    <m/>
    <x v="0"/>
    <x v="2"/>
    <m/>
    <m/>
    <m/>
  </r>
  <r>
    <x v="1"/>
    <n v="314304"/>
    <n v="29669564"/>
    <s v="JT7418C17908"/>
    <s v="KAREN"/>
    <s v="MORAN VARGAS"/>
    <n v="20170324"/>
    <n v="20170421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06"/>
    <m/>
    <x v="1"/>
    <x v="2"/>
    <m/>
    <m/>
    <m/>
  </r>
  <r>
    <x v="0"/>
    <n v="314304"/>
    <n v="29669564"/>
    <s v="JT7418C17908"/>
    <s v="KAREN"/>
    <s v="MORAN VARGAS"/>
    <n v="20170324"/>
    <n v="20170515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07"/>
    <m/>
    <x v="1"/>
    <x v="2"/>
    <m/>
    <m/>
    <m/>
  </r>
  <r>
    <x v="0"/>
    <n v="314304"/>
    <n v="29669564"/>
    <n v="521703088322"/>
    <s v="KAREN"/>
    <s v="MORAN VARGAS"/>
    <n v="20170327"/>
    <n v="2017051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08"/>
    <m/>
    <x v="0"/>
    <x v="2"/>
    <m/>
    <m/>
    <m/>
  </r>
  <r>
    <x v="0"/>
    <n v="314304"/>
    <n v="29669564"/>
    <n v="521703088322"/>
    <s v="KAREN"/>
    <s v="MORAN VARGAS"/>
    <n v="20170403"/>
    <n v="20170515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09"/>
    <m/>
    <x v="0"/>
    <x v="2"/>
    <m/>
    <m/>
    <m/>
  </r>
  <r>
    <x v="0"/>
    <n v="314304"/>
    <n v="29708255"/>
    <s v="GZ9927D17928"/>
    <s v="TERRANCE"/>
    <s v="GRAHAM"/>
    <n v="20170413"/>
    <n v="2017041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10"/>
    <m/>
    <x v="2"/>
    <x v="2"/>
    <m/>
    <m/>
    <m/>
  </r>
  <r>
    <x v="0"/>
    <n v="314305"/>
    <n v="29747750"/>
    <s v="JT797GC17218"/>
    <s v="DENISE"/>
    <s v="TAYLOR"/>
    <n v="20170409"/>
    <n v="20170409"/>
    <x v="3"/>
    <m/>
    <m/>
    <s v="Y"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11"/>
    <m/>
    <x v="1"/>
    <x v="2"/>
    <m/>
    <m/>
    <m/>
  </r>
  <r>
    <x v="0"/>
    <n v="314304"/>
    <n v="29767150"/>
    <n v="501704138700"/>
    <s v="JOHN"/>
    <s v="NARDIN"/>
    <n v="20170411"/>
    <n v="2017051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12"/>
    <m/>
    <x v="0"/>
    <x v="2"/>
    <m/>
    <m/>
    <m/>
  </r>
  <r>
    <x v="1"/>
    <n v="314304"/>
    <n v="29803352"/>
    <s v="CX070RA17587"/>
    <s v="SHARON"/>
    <s v="GROOMS"/>
    <n v="20170113"/>
    <n v="20170327"/>
    <x v="3"/>
    <m/>
    <m/>
    <s v="N"/>
    <s v="N"/>
    <s v="Y"/>
    <s v="Y"/>
    <s v="Y"/>
    <s v="Y"/>
    <s v="Y"/>
    <s v="N"/>
    <n v="20170328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13"/>
    <m/>
    <x v="1"/>
    <x v="2"/>
    <m/>
    <m/>
    <m/>
  </r>
  <r>
    <x v="0"/>
    <n v="314304"/>
    <n v="29803352"/>
    <s v="CX070RA17587"/>
    <s v="SHARON"/>
    <s v="GROOMS"/>
    <n v="20170328"/>
    <n v="20170328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14"/>
    <m/>
    <x v="2"/>
    <x v="2"/>
    <m/>
    <m/>
    <m/>
  </r>
  <r>
    <x v="0"/>
    <n v="314304"/>
    <n v="29804110"/>
    <n v="541704138724"/>
    <s v="MEGAN"/>
    <s v="STEVE"/>
    <n v="20170401"/>
    <n v="20170501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15"/>
    <m/>
    <x v="0"/>
    <x v="2"/>
    <m/>
    <m/>
    <m/>
  </r>
  <r>
    <x v="0"/>
    <n v="314304"/>
    <n v="29804412"/>
    <n v="521702088292"/>
    <s v="RUTH"/>
    <s v="PERRETT"/>
    <n v="20170413"/>
    <n v="20170613"/>
    <x v="1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16"/>
    <m/>
    <x v="0"/>
    <x v="2"/>
    <m/>
    <m/>
    <m/>
  </r>
  <r>
    <x v="0"/>
    <n v="314304"/>
    <n v="29807571"/>
    <n v="541704048984"/>
    <s v="LORI"/>
    <s v="CATTS"/>
    <n v="20170328"/>
    <n v="20170427"/>
    <x v="0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17"/>
    <m/>
    <x v="0"/>
    <x v="2"/>
    <m/>
    <m/>
    <s v="Y"/>
  </r>
  <r>
    <x v="1"/>
    <n v="314304"/>
    <n v="29818776"/>
    <n v="511703018061"/>
    <s v="SETO"/>
    <s v="ASATOURIAN"/>
    <n v="20170225"/>
    <n v="20170225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18"/>
    <m/>
    <x v="3"/>
    <x v="2"/>
    <m/>
    <m/>
    <m/>
  </r>
  <r>
    <x v="0"/>
    <n v="314304"/>
    <n v="29818776"/>
    <n v="511703018061"/>
    <s v="SETO"/>
    <s v="ASATOURIAN"/>
    <n v="20170227"/>
    <n v="20170424"/>
    <x v="0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19"/>
    <m/>
    <x v="0"/>
    <x v="2"/>
    <m/>
    <m/>
    <m/>
  </r>
  <r>
    <x v="0"/>
    <n v="314304"/>
    <n v="29818776"/>
    <s v="K38451C17508"/>
    <s v="SETO"/>
    <s v="ASATOURIAN"/>
    <n v="20170306"/>
    <n v="20170424"/>
    <x v="3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20"/>
    <m/>
    <x v="1"/>
    <x v="2"/>
    <m/>
    <m/>
    <m/>
  </r>
  <r>
    <x v="1"/>
    <n v="314305"/>
    <n v="29845973"/>
    <s v="M10517B17497"/>
    <s v="ALYSSA"/>
    <s v="SHEPHERD"/>
    <n v="20170401"/>
    <n v="20170401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21"/>
    <m/>
    <x v="2"/>
    <x v="2"/>
    <m/>
    <m/>
    <m/>
  </r>
  <r>
    <x v="1"/>
    <n v="314305"/>
    <n v="29845973"/>
    <s v="M10517B17497"/>
    <s v="ALYSSA"/>
    <s v="SHEPHERD"/>
    <n v="20161214"/>
    <n v="20170331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22"/>
    <m/>
    <x v="1"/>
    <x v="2"/>
    <m/>
    <m/>
    <m/>
  </r>
  <r>
    <x v="0"/>
    <n v="314305"/>
    <n v="29845973"/>
    <s v="M10517B17497"/>
    <s v="ALYSSA"/>
    <s v="SHEPHERD"/>
    <n v="20161214"/>
    <n v="20170403"/>
    <x v="3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23"/>
    <m/>
    <x v="1"/>
    <x v="2"/>
    <s v="Y"/>
    <m/>
    <m/>
  </r>
  <r>
    <x v="0"/>
    <n v="314305"/>
    <n v="29845973"/>
    <s v="M10517B17497"/>
    <s v="ALYSSA"/>
    <s v="SHEPHERD"/>
    <n v="20170404"/>
    <n v="20170404"/>
    <x v="4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24"/>
    <m/>
    <x v="2"/>
    <x v="2"/>
    <m/>
    <m/>
    <m/>
  </r>
  <r>
    <x v="0"/>
    <n v="314304"/>
    <n v="29882214"/>
    <s v="MG380AC17018"/>
    <s v="MATTHEW"/>
    <s v="LEAL"/>
    <n v="20170413"/>
    <n v="20170802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25"/>
    <m/>
    <x v="0"/>
    <x v="2"/>
    <m/>
    <m/>
    <m/>
  </r>
  <r>
    <x v="1"/>
    <n v="314304"/>
    <n v="29905226"/>
    <s v="K5501FB17897"/>
    <s v="GLYNIS"/>
    <s v="MALDONADO"/>
    <n v="20170403"/>
    <n v="20170403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26"/>
    <m/>
    <x v="2"/>
    <x v="2"/>
    <m/>
    <m/>
    <m/>
  </r>
  <r>
    <x v="1"/>
    <n v="314304"/>
    <n v="29905226"/>
    <n v="521702158562"/>
    <s v="GLYNIS"/>
    <s v="MALDONADO"/>
    <n v="20170321"/>
    <n v="20170402"/>
    <x v="1"/>
    <m/>
    <m/>
    <s v="N"/>
    <s v="N"/>
    <s v="Y"/>
    <s v="Y"/>
    <s v="Y"/>
    <s v="Y"/>
    <s v="Y"/>
    <s v="N"/>
    <n v="2017040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27"/>
    <m/>
    <x v="0"/>
    <x v="2"/>
    <m/>
    <m/>
    <m/>
  </r>
  <r>
    <x v="0"/>
    <n v="314304"/>
    <n v="29905226"/>
    <n v="521702158562"/>
    <s v="GLYNIS"/>
    <s v="MALDONADO"/>
    <n v="20170321"/>
    <n v="20170406"/>
    <x v="1"/>
    <m/>
    <m/>
    <s v="N"/>
    <s v="N"/>
    <s v="Y"/>
    <s v="Y"/>
    <s v="Y"/>
    <s v="Y"/>
    <s v="Y"/>
    <s v="N"/>
    <n v="2017040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28"/>
    <m/>
    <x v="0"/>
    <x v="2"/>
    <s v="Y"/>
    <m/>
    <s v="Y"/>
  </r>
  <r>
    <x v="0"/>
    <n v="314307"/>
    <n v="29906110"/>
    <n v="531702158533"/>
    <s v="ANTHONY"/>
    <s v="PAOLO"/>
    <n v="20170411"/>
    <n v="20170416"/>
    <x v="1"/>
    <m/>
    <m/>
    <s v="N"/>
    <s v="N"/>
    <s v="Y"/>
    <s v="Y"/>
    <s v="Y"/>
    <s v="Y"/>
    <s v="Y"/>
    <s v="N"/>
    <n v="20170417"/>
    <m/>
    <m/>
    <m/>
    <m/>
    <n v="170"/>
    <s v="W5"/>
    <n v="20170411"/>
    <n v="20171002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29"/>
    <m/>
    <x v="0"/>
    <x v="0"/>
    <m/>
    <m/>
    <s v="Y"/>
  </r>
  <r>
    <x v="1"/>
    <n v="314301"/>
    <n v="29907533"/>
    <s v="A6105FC17218"/>
    <s v="NICOLE"/>
    <s v="FARMER"/>
    <n v="20170327"/>
    <n v="20170420"/>
    <x v="3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30"/>
    <m/>
    <x v="1"/>
    <x v="0"/>
    <m/>
    <m/>
    <m/>
  </r>
  <r>
    <x v="0"/>
    <n v="314301"/>
    <n v="29907533"/>
    <s v="A6105FC17218"/>
    <s v="NICOLE"/>
    <s v="FARMER"/>
    <n v="20170327"/>
    <n v="20170515"/>
    <x v="7"/>
    <m/>
    <s v="Medical"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31"/>
    <m/>
    <x v="1"/>
    <x v="0"/>
    <m/>
    <m/>
    <m/>
  </r>
  <r>
    <x v="0"/>
    <n v="314301"/>
    <n v="29907533"/>
    <n v="511703158489"/>
    <s v="NICOLE"/>
    <s v="FARMER"/>
    <n v="20170403"/>
    <n v="20170515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32"/>
    <m/>
    <x v="0"/>
    <x v="0"/>
    <m/>
    <m/>
    <m/>
  </r>
  <r>
    <x v="0"/>
    <n v="314301"/>
    <n v="29907533"/>
    <n v="511703158489"/>
    <s v="NICOLE"/>
    <s v="FARMER"/>
    <n v="20170410"/>
    <n v="20170515"/>
    <x v="1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33"/>
    <m/>
    <x v="0"/>
    <x v="0"/>
    <m/>
    <m/>
    <m/>
  </r>
  <r>
    <x v="1"/>
    <n v="314304"/>
    <n v="29933845"/>
    <s v="AA440UN16867"/>
    <s v="JAIMAAL"/>
    <s v="MUNIR"/>
    <n v="20170330"/>
    <n v="20170401"/>
    <x v="12"/>
    <m/>
    <m/>
    <s v="N"/>
    <s v="N"/>
    <s v="Y"/>
    <s v="Y"/>
    <s v="Y"/>
    <s v="Y"/>
    <s v="Y"/>
    <s v="N"/>
    <n v="20170402"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34"/>
    <m/>
    <x v="1"/>
    <x v="2"/>
    <m/>
    <m/>
    <m/>
  </r>
  <r>
    <x v="1"/>
    <n v="314304"/>
    <n v="29933845"/>
    <s v="AA440UN16867"/>
    <s v="JAIMAAL"/>
    <s v="MUNIR"/>
    <n v="20161207"/>
    <n v="20170401"/>
    <x v="9"/>
    <m/>
    <m/>
    <s v="N"/>
    <s v="N"/>
    <s v="Y"/>
    <s v="Y"/>
    <s v="Y"/>
    <s v="Y"/>
    <s v="Y"/>
    <s v="N"/>
    <m/>
    <m/>
    <m/>
    <m/>
    <m/>
    <m/>
    <m/>
    <m/>
    <m/>
    <s v="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35"/>
    <m/>
    <x v="0"/>
    <x v="2"/>
    <m/>
    <m/>
    <m/>
  </r>
  <r>
    <x v="0"/>
    <n v="314304"/>
    <n v="29933845"/>
    <s v="AA440UN16867"/>
    <s v="JAIMAAL"/>
    <s v="MUNIR"/>
    <n v="20161207"/>
    <n v="20170328"/>
    <x v="9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36"/>
    <m/>
    <x v="0"/>
    <x v="2"/>
    <m/>
    <m/>
    <m/>
  </r>
  <r>
    <x v="0"/>
    <n v="314304"/>
    <n v="29933845"/>
    <s v="AA440UN16867"/>
    <s v="JAIMAAL"/>
    <s v="MUNIR"/>
    <n v="20170329"/>
    <n v="20170329"/>
    <x v="4"/>
    <m/>
    <m/>
    <s v="N"/>
    <s v="N"/>
    <s v="Y"/>
    <s v="Y"/>
    <s v="Y"/>
    <s v="Y"/>
    <s v="Y"/>
    <s v="N"/>
    <n v="20170402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37"/>
    <m/>
    <x v="2"/>
    <x v="2"/>
    <m/>
    <m/>
    <s v="Y"/>
  </r>
  <r>
    <x v="0"/>
    <n v="314304"/>
    <n v="29949090"/>
    <n v="501704038828"/>
    <s v="KATHLEEN"/>
    <s v="QUIGLEY"/>
    <n v="20170408"/>
    <n v="20170630"/>
    <x v="0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38"/>
    <m/>
    <x v="0"/>
    <x v="2"/>
    <m/>
    <m/>
    <m/>
  </r>
  <r>
    <x v="1"/>
    <n v="314304"/>
    <n v="29975759"/>
    <s v="D2892AC17018"/>
    <s v="CHARLES"/>
    <s v="SACCAMANGO"/>
    <n v="20170227"/>
    <n v="20170330"/>
    <x v="6"/>
    <m/>
    <m/>
    <s v="N"/>
    <s v="N"/>
    <s v="Y"/>
    <s v="Y"/>
    <s v="Y"/>
    <s v="Y"/>
    <s v="Y"/>
    <s v="N"/>
    <n v="20170403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39"/>
    <m/>
    <x v="1"/>
    <x v="2"/>
    <m/>
    <m/>
    <m/>
  </r>
  <r>
    <x v="0"/>
    <n v="314304"/>
    <n v="29975759"/>
    <s v="D2892AC17018"/>
    <s v="CHARLES"/>
    <s v="SACCAMANGO"/>
    <n v="20170227"/>
    <n v="20170330"/>
    <x v="6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40"/>
    <m/>
    <x v="1"/>
    <x v="2"/>
    <m/>
    <m/>
    <s v="Y"/>
  </r>
  <r>
    <x v="0"/>
    <n v="314304"/>
    <n v="30017809"/>
    <n v="571703218367"/>
    <s v="CHERYL"/>
    <s v="CLAUDIO"/>
    <n v="20170403"/>
    <n v="20170416"/>
    <x v="1"/>
    <m/>
    <m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41"/>
    <m/>
    <x v="0"/>
    <x v="2"/>
    <m/>
    <m/>
    <s v="Y"/>
  </r>
  <r>
    <x v="1"/>
    <n v="314304"/>
    <n v="30036749"/>
    <s v="BK6121B17097"/>
    <s v="RHONDA"/>
    <s v="KJERSGARD"/>
    <n v="20170410"/>
    <n v="20170410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42"/>
    <m/>
    <x v="2"/>
    <x v="2"/>
    <m/>
    <m/>
    <m/>
  </r>
  <r>
    <x v="0"/>
    <n v="314304"/>
    <n v="30036749"/>
    <n v="551702018925"/>
    <s v="RHONDA"/>
    <s v="KJERSGARD"/>
    <n v="20170330"/>
    <n v="20170409"/>
    <x v="1"/>
    <m/>
    <m/>
    <s v="N"/>
    <s v="N"/>
    <s v="Y"/>
    <s v="Y"/>
    <s v="Y"/>
    <s v="Y"/>
    <s v="Y"/>
    <s v="N"/>
    <n v="20170410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43"/>
    <m/>
    <x v="0"/>
    <x v="2"/>
    <s v="Y"/>
    <m/>
    <s v="Y"/>
  </r>
  <r>
    <x v="1"/>
    <n v="314301"/>
    <n v="30042282"/>
    <n v="531703208303"/>
    <s v="HOLLY"/>
    <s v="AMATUZIO"/>
    <n v="20170321"/>
    <n v="20170321"/>
    <x v="5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44"/>
    <m/>
    <x v="3"/>
    <x v="0"/>
    <m/>
    <m/>
    <m/>
  </r>
  <r>
    <x v="0"/>
    <n v="314301"/>
    <n v="30042282"/>
    <n v="531703208303"/>
    <s v="HOLLY"/>
    <s v="AMATUZIO"/>
    <n v="20170321"/>
    <n v="20170516"/>
    <x v="0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45"/>
    <m/>
    <x v="0"/>
    <x v="0"/>
    <m/>
    <m/>
    <m/>
  </r>
  <r>
    <x v="0"/>
    <n v="314301"/>
    <n v="30042282"/>
    <n v="531703208303"/>
    <s v="HOLLY"/>
    <s v="AMATUZIO"/>
    <n v="20170328"/>
    <n v="20170516"/>
    <x v="1"/>
    <m/>
    <m/>
    <s v="N"/>
    <s v="N"/>
    <s v="Y"/>
    <s v="Y"/>
    <s v="Y"/>
    <s v="Y"/>
    <s v="Y"/>
    <s v="N"/>
    <m/>
    <m/>
    <m/>
    <m/>
    <s v="Y"/>
    <n v="633"/>
    <s v="W7"/>
    <n v="20170328"/>
    <n v="20170918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46"/>
    <m/>
    <x v="0"/>
    <x v="0"/>
    <m/>
    <m/>
    <m/>
  </r>
  <r>
    <x v="0"/>
    <n v="314304"/>
    <n v="30056451"/>
    <s v="JU029AB17597"/>
    <s v="HAZEL"/>
    <s v="WILLIAMS"/>
    <n v="20170404"/>
    <n v="20170416"/>
    <x v="7"/>
    <m/>
    <s v="Medical"/>
    <s v="N"/>
    <s v="N"/>
    <s v="Y"/>
    <s v="Y"/>
    <s v="Y"/>
    <s v="Y"/>
    <s v="Y"/>
    <s v="N"/>
    <n v="20170417"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47"/>
    <m/>
    <x v="1"/>
    <x v="2"/>
    <m/>
    <m/>
    <s v="Y"/>
  </r>
  <r>
    <x v="1"/>
    <n v="314310"/>
    <n v="30076141"/>
    <s v="KA489HA17187"/>
    <s v="AILEEN"/>
    <s v="RICHARDS"/>
    <n v="20170401"/>
    <n v="20170401"/>
    <x v="4"/>
    <m/>
    <m/>
    <s v="N"/>
    <s v="N"/>
    <s v="Y"/>
    <s v="Y"/>
    <s v="Y"/>
    <s v="Y"/>
    <s v="Y"/>
    <s v="N"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48"/>
    <m/>
    <x v="2"/>
    <x v="2"/>
    <m/>
    <m/>
    <m/>
  </r>
  <r>
    <x v="1"/>
    <n v="314310"/>
    <n v="30076141"/>
    <s v="KA489HA17187"/>
    <s v="AILEEN"/>
    <s v="RICHARDS"/>
    <n v="20170111"/>
    <n v="20170331"/>
    <x v="3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49"/>
    <m/>
    <x v="1"/>
    <x v="2"/>
    <m/>
    <m/>
    <m/>
  </r>
  <r>
    <x v="0"/>
    <n v="314310"/>
    <n v="30076141"/>
    <s v="KA489HA17187"/>
    <s v="AILEEN"/>
    <s v="RICHARDS"/>
    <n v="20170111"/>
    <n v="20170502"/>
    <x v="3"/>
    <m/>
    <m/>
    <s v="N"/>
    <s v="N"/>
    <s v="Y"/>
    <s v="Y"/>
    <s v="Y"/>
    <s v="Y"/>
    <s v="Y"/>
    <s v="N"/>
    <m/>
    <m/>
    <m/>
    <m/>
    <s v="Y"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n v="20170413"/>
    <n v="850"/>
    <m/>
    <x v="1"/>
    <x v="2"/>
    <s v="Y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olHeaderCaption="RecordType">
  <location ref="H3:J16" firstHeaderRow="0" firstDataRow="1" firstDataCol="1"/>
  <pivotFields count="37">
    <pivotField axis="axisRow" showAll="0">
      <items count="4">
        <item x="0"/>
        <item x="1"/>
        <item m="1"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2"/>
        <item x="3"/>
        <item x="0"/>
        <item x="1"/>
        <item m="1" x="5"/>
        <item m="1" x="4"/>
        <item t="default"/>
      </items>
    </pivotField>
    <pivotField showAll="0"/>
    <pivotField showAll="0" defaultSubtotal="0"/>
    <pivotField showAll="0" defaultSubtotal="0"/>
    <pivotField showAll="0" defaultSubtotal="0"/>
  </pivotFields>
  <rowFields count="2">
    <field x="32"/>
    <field x="0"/>
  </rowFields>
  <rowItems count="13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Record #" fld="1" subtotal="count" baseField="0" baseItem="0"/>
    <dataField name="RTW date" fld="19" subtotal="count" baseField="0" baseItem="0"/>
  </dataFields>
  <formats count="5"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labelOnly="1" grandRow="1" outline="0" fieldPosition="0"/>
    </format>
    <format dxfId="54">
      <pivotArea dataOnly="0" labelOnly="1" fieldPosition="0">
        <references count="1">
          <reference field="0" count="0"/>
        </references>
      </pivotArea>
    </format>
    <format dxfId="5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olHeaderCaption="RecordType">
  <location ref="A3:D23" firstHeaderRow="1" firstDataRow="2" firstDataCol="1"/>
  <pivotFields count="37">
    <pivotField axis="axisCol" showAll="0">
      <items count="4">
        <item x="0"/>
        <item x="1"/>
        <item m="1"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26">
        <item m="1" x="20"/>
        <item m="1" x="22"/>
        <item x="6"/>
        <item x="17"/>
        <item x="4"/>
        <item x="5"/>
        <item x="8"/>
        <item x="10"/>
        <item x="11"/>
        <item x="3"/>
        <item x="14"/>
        <item x="16"/>
        <item m="1" x="24"/>
        <item m="1" x="23"/>
        <item x="9"/>
        <item x="12"/>
        <item x="15"/>
        <item x="1"/>
        <item x="7"/>
        <item x="0"/>
        <item m="1" x="18"/>
        <item x="2"/>
        <item x="13"/>
        <item m="1" x="21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</pivotFields>
  <rowFields count="1">
    <field x="8"/>
  </rowFields>
  <rowItems count="19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Record #" fld="1" subtotal="count" baseField="0" baseItem="0"/>
  </dataFields>
  <formats count="6">
    <format dxfId="63">
      <pivotArea type="all" dataOnly="0" outline="0" fieldPosition="0"/>
    </format>
    <format dxfId="62">
      <pivotArea outline="0" collapsedLevelsAreSubtotals="1" fieldPosition="0"/>
    </format>
    <format dxfId="61">
      <pivotArea dataOnly="0" labelOnly="1" fieldPosition="0">
        <references count="1">
          <reference field="8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1">
          <reference field="0" count="0"/>
        </references>
      </pivotArea>
    </format>
    <format dxfId="5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olHeaderCaption="RecordType">
  <location ref="N3:R17" firstHeaderRow="1" firstDataRow="2" firstDataCol="1"/>
  <pivotFields count="37">
    <pivotField axis="axisRow" showAll="0">
      <items count="4">
        <item x="0"/>
        <item x="1"/>
        <item m="1"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2"/>
        <item x="3"/>
        <item x="0"/>
        <item x="1"/>
        <item m="1" x="5"/>
        <item m="1" x="4"/>
        <item t="default"/>
      </items>
    </pivotField>
    <pivotField axis="axisCol" showAll="0">
      <items count="4">
        <item x="2"/>
        <item x="0"/>
        <item x="1"/>
        <item t="default"/>
      </items>
    </pivotField>
    <pivotField showAll="0" defaultSubtotal="0"/>
    <pivotField showAll="0" defaultSubtotal="0"/>
    <pivotField showAll="0" defaultSubtotal="0"/>
  </pivotFields>
  <rowFields count="2">
    <field x="32"/>
    <field x="0"/>
  </rowFields>
  <rowItems count="13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 t="grand">
      <x/>
    </i>
  </rowItems>
  <colFields count="1">
    <field x="33"/>
  </colFields>
  <colItems count="4">
    <i>
      <x/>
    </i>
    <i>
      <x v="1"/>
    </i>
    <i>
      <x v="2"/>
    </i>
    <i t="grand">
      <x/>
    </i>
  </colItems>
  <dataFields count="1">
    <dataField name="Record #" fld="1" subtotal="count" baseField="0" baseItem="0"/>
  </dataFields>
  <formats count="5">
    <format dxfId="68">
      <pivotArea type="all" dataOnly="0" outline="0" fieldPosition="0"/>
    </format>
    <format dxfId="67">
      <pivotArea outline="0" collapsedLevelsAreSubtotals="1" fieldPosition="0"/>
    </format>
    <format dxfId="66">
      <pivotArea dataOnly="0" labelOnly="1" grandRow="1" outline="0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TblFeedFile" displayName="TblFeedFile" ref="A1:AK851" totalsRowShown="0" headerRowDxfId="52" headerRowBorderDxfId="51" tableBorderDxfId="50" totalsRowBorderDxfId="49">
  <autoFilter ref="A1:AK851"/>
  <sortState ref="A2:AK851">
    <sortCondition ref="C2:C851"/>
  </sortState>
  <tableColumns count="37">
    <tableColumn id="1" name="Record type" dataDxfId="48"/>
    <tableColumn id="2" name=" Report Number " dataDxfId="47"/>
    <tableColumn id="3" name="Employee ID (Person ID) " dataDxfId="46"/>
    <tableColumn id="4" name="Claim number code " dataDxfId="45"/>
    <tableColumn id="5" name="First Name " dataDxfId="44"/>
    <tableColumn id="6" name="Last Name " dataDxfId="43"/>
    <tableColumn id="7" name="Leave Start Date " dataDxfId="42"/>
    <tableColumn id="8" name="Leave End Date " dataDxfId="41"/>
    <tableColumn id="9" name="Leave Type " dataDxfId="40"/>
    <tableColumn id="10" name="Absence Reason Code " dataDxfId="39"/>
    <tableColumn id="11" name="Absence Reason Description " dataDxfId="38"/>
    <tableColumn id="12" name="Variable Schedule Indicator " dataDxfId="37"/>
    <tableColumn id="13" name="Work Day 1 - Sunday " dataDxfId="36"/>
    <tableColumn id="14" name="Work Day 2 - Monday " dataDxfId="35"/>
    <tableColumn id="15" name="Work Day 3 - Tuesday " dataDxfId="34"/>
    <tableColumn id="16" name="Work Day 4 - Wednesday " dataDxfId="33"/>
    <tableColumn id="17" name="Work Day 5 - Thursday " dataDxfId="32"/>
    <tableColumn id="18" name="Work Day 6 - Friday " dataDxfId="31"/>
    <tableColumn id="19" name="Work Day 7 - Saturday " dataDxfId="30"/>
    <tableColumn id="20" name="Return to Work Date " dataDxfId="29"/>
    <tableColumn id="21" name="Military Pay Amount " dataDxfId="28"/>
    <tableColumn id="22" name="Military Pay Mode " dataDxfId="27"/>
    <tableColumn id="23" name="LES Effective Date " dataDxfId="26"/>
    <tableColumn id="24" name="Workers Comp Indicator " dataDxfId="25"/>
    <tableColumn id="25" name="STD State Offset Amount " dataDxfId="24"/>
    <tableColumn id="26" name="STD State Offset Mode " dataDxfId="23"/>
    <tableColumn id="27" name="Start Date " dataDxfId="22"/>
    <tableColumn id="28" name="End Date " dataDxfId="21"/>
    <tableColumn id="29" name="Takeover Indicator" dataDxfId="20"/>
    <tableColumn id="30" name="File Date" dataDxfId="19"/>
    <tableColumn id="36" name="FileOrder" dataDxfId="18"/>
    <tableColumn id="31" name="Delta" dataDxfId="17"/>
    <tableColumn id="32" name="Pay Type" dataDxfId="16">
      <calculatedColumnFormula>IFERROR(VLOOKUP(TblFeedFile[[#This Row],[Leave Type ]],LkupPayType[],2,FALSE),"TBD")</calculatedColumnFormula>
    </tableColumn>
    <tableColumn id="33" name="Payroll" dataDxfId="15">
      <calculatedColumnFormula>IFERROR(VLOOKUP(TblFeedFile[[#This Row],[ Report Number ]],LkupPayrollCycle[],2,FALSE),"TBD")</calculatedColumnFormula>
    </tableColumn>
    <tableColumn id="34" name="LOA Closed" dataDxfId="14"/>
    <tableColumn id="35" name="Statutory Leave" dataDxfId="13"/>
    <tableColumn id="37" name="RTW date " dataDxfId="1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" name="TblFeedFile1" displayName="TblFeedFile1" ref="A1:AH1562" totalsRowShown="0">
  <autoFilter ref="A1:AH1562"/>
  <tableColumns count="34">
    <tableColumn id="1" name="Record type"/>
    <tableColumn id="2" name=" Report Number "/>
    <tableColumn id="3" name="Employee ID (Person ID) "/>
    <tableColumn id="4" name="Claim number code " dataDxfId="11"/>
    <tableColumn id="5" name="First Name "/>
    <tableColumn id="6" name="Last Name "/>
    <tableColumn id="7" name="Leave Start Date "/>
    <tableColumn id="8" name="Leave End Date "/>
    <tableColumn id="9" name="Leave Type "/>
    <tableColumn id="10" name="Absence Reason Code "/>
    <tableColumn id="11" name="Absence Reason Description "/>
    <tableColumn id="12" name="Variable Schedule Indicator "/>
    <tableColumn id="13" name="Work Day 1 - Sunday "/>
    <tableColumn id="14" name="Work Day 2 - Monday "/>
    <tableColumn id="15" name="Work Day 3 - Tuesday "/>
    <tableColumn id="16" name="Work Day 4 - Wednesday "/>
    <tableColumn id="17" name="Work Day 5 - Thursday "/>
    <tableColumn id="18" name="Work Day 6 - Friday "/>
    <tableColumn id="19" name="Work Day 7 - Saturday "/>
    <tableColumn id="20" name="Return to Work Date "/>
    <tableColumn id="21" name="Military Pay Amount "/>
    <tableColumn id="22" name="Military Pay Mode "/>
    <tableColumn id="23" name="LES Effective Date "/>
    <tableColumn id="24" name="Workers Comp Indicator "/>
    <tableColumn id="25" name="STD State Offset Amount "/>
    <tableColumn id="26" name="STD State Offset Mode "/>
    <tableColumn id="27" name="Start Date "/>
    <tableColumn id="28" name="End Date "/>
    <tableColumn id="29" name="Takeover Indicator"/>
    <tableColumn id="30" name="File Date"/>
    <tableColumn id="31" name="Delta"/>
    <tableColumn id="32" name="Pay Type" dataDxfId="10">
      <calculatedColumnFormula>IFERROR(VLOOKUP(RIGHT(TblFeedFile1[[#This Row],[Leave Type ]],6),LkupPayType[],2,FALSE),"TBD")</calculatedColumnFormula>
    </tableColumn>
    <tableColumn id="33" name="Payroll" dataDxfId="9">
      <calculatedColumnFormula>IFERROR(VLOOKUP(TblFeedFile1[[#This Row],[ Report Number ]],LkupPayrollCycle[],2,FALSE),"TBD")</calculatedColumnFormula>
    </tableColumn>
    <tableColumn id="34" name="RTWDateExists" dataDxfId="8">
      <calculatedColumnFormula>IF(TblFeedFile1[[#This Row],[Return to Work Date ]]="","","Y")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2" name="LkupPayrollCycle" displayName="LkupPayrollCycle" ref="A1:B29" totalsRowShown="0" headerRowDxfId="7" dataDxfId="6">
  <autoFilter ref="A1:B29"/>
  <tableColumns count="2">
    <tableColumn id="1" name="Report Number" dataDxfId="5"/>
    <tableColumn id="2" name="Payroll Cycle" dataDxfId="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4" name="LkupPayType" displayName="LkupPayType" ref="D1:E30" totalsRowShown="0" headerRowDxfId="3" dataDxfId="2">
  <autoFilter ref="D1:E30"/>
  <sortState ref="D2:E26">
    <sortCondition ref="E2:E26"/>
  </sortState>
  <tableColumns count="2">
    <tableColumn id="1" name="Last 6 Char" dataDxfId="1"/>
    <tableColumn id="2" name="Type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8"/>
  <sheetViews>
    <sheetView showGridLines="0" workbookViewId="0">
      <selection activeCell="A16" sqref="A5:A22"/>
      <pivotSelection pane="bottomRight" showHeader="1" axis="axisRow" activeRow="15" previousRow="15" click="1" r:id="rId2">
        <pivotArea dataOnly="0" labelOnly="1" fieldPosition="0">
          <references count="1">
            <reference field="8" count="0"/>
          </references>
        </pivotArea>
      </pivotSelection>
    </sheetView>
  </sheetViews>
  <sheetFormatPr defaultRowHeight="12" x14ac:dyDescent="0.2"/>
  <cols>
    <col min="1" max="1" width="32.42578125" style="8" customWidth="1"/>
    <col min="2" max="2" width="11.5703125" style="8" bestFit="1" customWidth="1"/>
    <col min="3" max="3" width="3.5703125" style="8" bestFit="1" customWidth="1"/>
    <col min="4" max="5" width="9.28515625" style="8" customWidth="1"/>
    <col min="6" max="7" width="1.7109375" style="8" customWidth="1"/>
    <col min="8" max="8" width="11.28515625" style="8" bestFit="1" customWidth="1"/>
    <col min="9" max="9" width="7.140625" style="8" customWidth="1"/>
    <col min="10" max="10" width="8" style="8" customWidth="1"/>
    <col min="11" max="13" width="1.7109375" style="8" customWidth="1"/>
    <col min="14" max="14" width="11.28515625" style="8" bestFit="1" customWidth="1"/>
    <col min="15" max="15" width="11.5703125" style="8" customWidth="1"/>
    <col min="16" max="16" width="11" style="8" customWidth="1"/>
    <col min="17" max="17" width="6" style="8" customWidth="1"/>
    <col min="18" max="18" width="9.28515625" style="8" bestFit="1" customWidth="1"/>
    <col min="19" max="16384" width="9.140625" style="8"/>
  </cols>
  <sheetData>
    <row r="1" spans="1:18" ht="27" x14ac:dyDescent="0.5">
      <c r="A1" s="12" t="s">
        <v>1886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8" x14ac:dyDescent="0.2">
      <c r="F2" s="14"/>
      <c r="L2" s="14"/>
    </row>
    <row r="3" spans="1:18" ht="15" x14ac:dyDescent="0.25">
      <c r="A3" s="7" t="s">
        <v>1884</v>
      </c>
      <c r="B3" s="7" t="s">
        <v>1885</v>
      </c>
      <c r="E3"/>
      <c r="F3" s="14"/>
      <c r="H3" s="7" t="s">
        <v>1882</v>
      </c>
      <c r="I3" s="8" t="s">
        <v>1884</v>
      </c>
      <c r="J3" s="8" t="s">
        <v>1887</v>
      </c>
      <c r="L3" s="14"/>
      <c r="N3" s="7" t="s">
        <v>1884</v>
      </c>
      <c r="O3" s="7" t="s">
        <v>1885</v>
      </c>
    </row>
    <row r="4" spans="1:18" ht="15" x14ac:dyDescent="0.25">
      <c r="A4" s="7" t="s">
        <v>1882</v>
      </c>
      <c r="B4" s="8" t="s">
        <v>37</v>
      </c>
      <c r="C4" s="8" t="s">
        <v>29</v>
      </c>
      <c r="D4" s="8" t="s">
        <v>1883</v>
      </c>
      <c r="E4"/>
      <c r="F4" s="14"/>
      <c r="H4" s="9" t="s">
        <v>1871</v>
      </c>
      <c r="I4" s="10">
        <v>112</v>
      </c>
      <c r="J4" s="10">
        <v>4</v>
      </c>
      <c r="L4" s="14"/>
      <c r="N4" s="7" t="s">
        <v>1882</v>
      </c>
      <c r="O4" s="8" t="s">
        <v>1868</v>
      </c>
      <c r="P4" s="8" t="s">
        <v>1156</v>
      </c>
      <c r="Q4" s="8" t="s">
        <v>2745</v>
      </c>
      <c r="R4" s="8" t="s">
        <v>1883</v>
      </c>
    </row>
    <row r="5" spans="1:18" ht="15" x14ac:dyDescent="0.25">
      <c r="A5" s="9" t="s">
        <v>49</v>
      </c>
      <c r="B5" s="10">
        <v>14</v>
      </c>
      <c r="C5" s="10">
        <v>14</v>
      </c>
      <c r="D5" s="10">
        <v>28</v>
      </c>
      <c r="E5"/>
      <c r="F5" s="14"/>
      <c r="H5" s="11" t="s">
        <v>37</v>
      </c>
      <c r="I5" s="10">
        <v>46</v>
      </c>
      <c r="J5" s="10">
        <v>4</v>
      </c>
      <c r="L5" s="14"/>
      <c r="N5" s="9" t="s">
        <v>1871</v>
      </c>
      <c r="O5" s="10">
        <v>19</v>
      </c>
      <c r="P5" s="10">
        <v>2</v>
      </c>
      <c r="Q5" s="10">
        <v>91</v>
      </c>
      <c r="R5" s="10">
        <v>112</v>
      </c>
    </row>
    <row r="6" spans="1:18" ht="15" x14ac:dyDescent="0.25">
      <c r="A6" s="9" t="s">
        <v>432</v>
      </c>
      <c r="B6" s="10">
        <v>1</v>
      </c>
      <c r="C6" s="10"/>
      <c r="D6" s="10">
        <v>1</v>
      </c>
      <c r="E6"/>
      <c r="F6" s="14"/>
      <c r="H6" s="11" t="s">
        <v>29</v>
      </c>
      <c r="I6" s="10">
        <v>66</v>
      </c>
      <c r="J6" s="10"/>
      <c r="L6" s="14"/>
      <c r="N6" s="11" t="s">
        <v>37</v>
      </c>
      <c r="O6" s="10">
        <v>10</v>
      </c>
      <c r="P6" s="10">
        <v>1</v>
      </c>
      <c r="Q6" s="10">
        <v>35</v>
      </c>
      <c r="R6" s="10">
        <v>46</v>
      </c>
    </row>
    <row r="7" spans="1:18" ht="15" x14ac:dyDescent="0.25">
      <c r="A7" s="9" t="s">
        <v>33</v>
      </c>
      <c r="B7" s="10">
        <v>46</v>
      </c>
      <c r="C7" s="10">
        <v>66</v>
      </c>
      <c r="D7" s="10">
        <v>112</v>
      </c>
      <c r="E7"/>
      <c r="F7" s="14"/>
      <c r="H7" s="9" t="s">
        <v>1872</v>
      </c>
      <c r="I7" s="10">
        <v>28</v>
      </c>
      <c r="J7" s="10"/>
      <c r="L7" s="14"/>
      <c r="N7" s="11" t="s">
        <v>29</v>
      </c>
      <c r="O7" s="10">
        <v>9</v>
      </c>
      <c r="P7" s="10">
        <v>1</v>
      </c>
      <c r="Q7" s="10">
        <v>56</v>
      </c>
      <c r="R7" s="10">
        <v>66</v>
      </c>
    </row>
    <row r="8" spans="1:18" ht="15" x14ac:dyDescent="0.25">
      <c r="A8" s="9" t="s">
        <v>43</v>
      </c>
      <c r="B8" s="10">
        <v>17</v>
      </c>
      <c r="C8" s="10">
        <v>11</v>
      </c>
      <c r="D8" s="10">
        <v>28</v>
      </c>
      <c r="E8"/>
      <c r="F8" s="14"/>
      <c r="H8" s="11" t="s">
        <v>37</v>
      </c>
      <c r="I8" s="10">
        <v>17</v>
      </c>
      <c r="J8" s="10"/>
      <c r="L8" s="14"/>
      <c r="N8" s="9" t="s">
        <v>1872</v>
      </c>
      <c r="O8" s="10">
        <v>5</v>
      </c>
      <c r="P8" s="10">
        <v>1</v>
      </c>
      <c r="Q8" s="10">
        <v>22</v>
      </c>
      <c r="R8" s="10">
        <v>28</v>
      </c>
    </row>
    <row r="9" spans="1:18" ht="15" x14ac:dyDescent="0.25">
      <c r="A9" s="9" t="s">
        <v>155</v>
      </c>
      <c r="B9" s="10">
        <v>15</v>
      </c>
      <c r="C9" s="10">
        <v>5</v>
      </c>
      <c r="D9" s="10">
        <v>20</v>
      </c>
      <c r="E9"/>
      <c r="F9" s="14"/>
      <c r="H9" s="11" t="s">
        <v>29</v>
      </c>
      <c r="I9" s="10">
        <v>11</v>
      </c>
      <c r="J9" s="10"/>
      <c r="L9" s="14"/>
      <c r="N9" s="11" t="s">
        <v>37</v>
      </c>
      <c r="O9" s="10">
        <v>3</v>
      </c>
      <c r="P9" s="10"/>
      <c r="Q9" s="10">
        <v>14</v>
      </c>
      <c r="R9" s="10">
        <v>17</v>
      </c>
    </row>
    <row r="10" spans="1:18" ht="15" x14ac:dyDescent="0.25">
      <c r="A10" s="9" t="s">
        <v>156</v>
      </c>
      <c r="B10" s="10">
        <v>13</v>
      </c>
      <c r="C10" s="10">
        <v>4</v>
      </c>
      <c r="D10" s="10">
        <v>17</v>
      </c>
      <c r="E10"/>
      <c r="F10" s="14"/>
      <c r="H10" s="9" t="s">
        <v>1869</v>
      </c>
      <c r="I10" s="10">
        <v>460</v>
      </c>
      <c r="J10" s="10">
        <v>85</v>
      </c>
      <c r="L10" s="14"/>
      <c r="N10" s="11" t="s">
        <v>29</v>
      </c>
      <c r="O10" s="10">
        <v>2</v>
      </c>
      <c r="P10" s="10">
        <v>1</v>
      </c>
      <c r="Q10" s="10">
        <v>8</v>
      </c>
      <c r="R10" s="10">
        <v>11</v>
      </c>
    </row>
    <row r="11" spans="1:18" ht="15" x14ac:dyDescent="0.25">
      <c r="A11" s="9" t="s">
        <v>459</v>
      </c>
      <c r="B11" s="10">
        <v>11</v>
      </c>
      <c r="C11" s="10">
        <v>6</v>
      </c>
      <c r="D11" s="10">
        <v>17</v>
      </c>
      <c r="E11"/>
      <c r="F11" s="14"/>
      <c r="H11" s="11" t="s">
        <v>37</v>
      </c>
      <c r="I11" s="10">
        <v>333</v>
      </c>
      <c r="J11" s="10">
        <v>67</v>
      </c>
      <c r="L11" s="14"/>
      <c r="N11" s="9" t="s">
        <v>1869</v>
      </c>
      <c r="O11" s="10">
        <v>32</v>
      </c>
      <c r="P11" s="10">
        <v>20</v>
      </c>
      <c r="Q11" s="10">
        <v>408</v>
      </c>
      <c r="R11" s="10">
        <v>460</v>
      </c>
    </row>
    <row r="12" spans="1:18" ht="15" x14ac:dyDescent="0.25">
      <c r="A12" s="9" t="s">
        <v>36</v>
      </c>
      <c r="B12" s="10">
        <v>103</v>
      </c>
      <c r="C12" s="10">
        <v>56</v>
      </c>
      <c r="D12" s="10">
        <v>159</v>
      </c>
      <c r="E12"/>
      <c r="F12" s="14"/>
      <c r="H12" s="11" t="s">
        <v>29</v>
      </c>
      <c r="I12" s="10">
        <v>127</v>
      </c>
      <c r="J12" s="10">
        <v>18</v>
      </c>
      <c r="L12" s="14"/>
      <c r="N12" s="11" t="s">
        <v>37</v>
      </c>
      <c r="O12" s="10">
        <v>25</v>
      </c>
      <c r="P12" s="10">
        <v>15</v>
      </c>
      <c r="Q12" s="10">
        <v>293</v>
      </c>
      <c r="R12" s="10">
        <v>333</v>
      </c>
    </row>
    <row r="13" spans="1:18" ht="15" x14ac:dyDescent="0.25">
      <c r="A13" s="9" t="s">
        <v>423</v>
      </c>
      <c r="B13" s="10">
        <v>3</v>
      </c>
      <c r="C13" s="10">
        <v>1</v>
      </c>
      <c r="D13" s="10">
        <v>4</v>
      </c>
      <c r="E13"/>
      <c r="F13" s="14"/>
      <c r="H13" s="9" t="s">
        <v>1870</v>
      </c>
      <c r="I13" s="10">
        <v>250</v>
      </c>
      <c r="J13" s="10">
        <v>66</v>
      </c>
      <c r="L13" s="14"/>
      <c r="N13" s="11" t="s">
        <v>29</v>
      </c>
      <c r="O13" s="10">
        <v>7</v>
      </c>
      <c r="P13" s="10">
        <v>5</v>
      </c>
      <c r="Q13" s="10">
        <v>115</v>
      </c>
      <c r="R13" s="10">
        <v>127</v>
      </c>
    </row>
    <row r="14" spans="1:18" ht="15" x14ac:dyDescent="0.25">
      <c r="A14" s="9" t="s">
        <v>537</v>
      </c>
      <c r="B14" s="10">
        <v>1</v>
      </c>
      <c r="C14" s="10">
        <v>1</v>
      </c>
      <c r="D14" s="10">
        <v>2</v>
      </c>
      <c r="E14"/>
      <c r="F14" s="14"/>
      <c r="H14" s="11" t="s">
        <v>37</v>
      </c>
      <c r="I14" s="10">
        <v>158</v>
      </c>
      <c r="J14" s="10">
        <v>43</v>
      </c>
      <c r="L14" s="14"/>
      <c r="N14" s="9" t="s">
        <v>1870</v>
      </c>
      <c r="O14" s="10">
        <v>34</v>
      </c>
      <c r="P14" s="10">
        <v>6</v>
      </c>
      <c r="Q14" s="10">
        <v>210</v>
      </c>
      <c r="R14" s="10">
        <v>250</v>
      </c>
    </row>
    <row r="15" spans="1:18" ht="15" x14ac:dyDescent="0.25">
      <c r="A15" s="9" t="s">
        <v>223</v>
      </c>
      <c r="B15" s="10">
        <v>32</v>
      </c>
      <c r="C15" s="10">
        <v>11</v>
      </c>
      <c r="D15" s="10">
        <v>43</v>
      </c>
      <c r="E15"/>
      <c r="F15" s="14"/>
      <c r="H15" s="11" t="s">
        <v>29</v>
      </c>
      <c r="I15" s="10">
        <v>92</v>
      </c>
      <c r="J15" s="10">
        <v>23</v>
      </c>
      <c r="L15" s="14"/>
      <c r="N15" s="11" t="s">
        <v>37</v>
      </c>
      <c r="O15" s="10">
        <v>18</v>
      </c>
      <c r="P15" s="10">
        <v>3</v>
      </c>
      <c r="Q15" s="10">
        <v>137</v>
      </c>
      <c r="R15" s="10">
        <v>158</v>
      </c>
    </row>
    <row r="16" spans="1:18" ht="15" x14ac:dyDescent="0.25">
      <c r="A16" s="9" t="s">
        <v>185</v>
      </c>
      <c r="B16" s="10">
        <v>3</v>
      </c>
      <c r="C16" s="10">
        <v>3</v>
      </c>
      <c r="D16" s="10">
        <v>6</v>
      </c>
      <c r="E16"/>
      <c r="F16" s="14"/>
      <c r="H16" s="9" t="s">
        <v>1883</v>
      </c>
      <c r="I16" s="10">
        <v>850</v>
      </c>
      <c r="J16" s="10">
        <v>155</v>
      </c>
      <c r="L16" s="14"/>
      <c r="N16" s="11" t="s">
        <v>29</v>
      </c>
      <c r="O16" s="10">
        <v>16</v>
      </c>
      <c r="P16" s="10">
        <v>3</v>
      </c>
      <c r="Q16" s="10">
        <v>73</v>
      </c>
      <c r="R16" s="10">
        <v>92</v>
      </c>
    </row>
    <row r="17" spans="1:18" ht="15" x14ac:dyDescent="0.25">
      <c r="A17" s="9" t="s">
        <v>127</v>
      </c>
      <c r="B17" s="10">
        <v>2</v>
      </c>
      <c r="C17" s="10">
        <v>2</v>
      </c>
      <c r="D17" s="10">
        <v>4</v>
      </c>
      <c r="E17"/>
      <c r="F17" s="14"/>
      <c r="H17"/>
      <c r="I17"/>
      <c r="J17"/>
      <c r="L17" s="14"/>
      <c r="N17" s="9" t="s">
        <v>1883</v>
      </c>
      <c r="O17" s="10">
        <v>90</v>
      </c>
      <c r="P17" s="10">
        <v>29</v>
      </c>
      <c r="Q17" s="10">
        <v>731</v>
      </c>
      <c r="R17" s="10">
        <v>850</v>
      </c>
    </row>
    <row r="18" spans="1:18" ht="15" x14ac:dyDescent="0.25">
      <c r="A18" s="9" t="s">
        <v>40</v>
      </c>
      <c r="B18" s="10">
        <v>125</v>
      </c>
      <c r="C18" s="10">
        <v>46</v>
      </c>
      <c r="D18" s="10">
        <v>171</v>
      </c>
      <c r="E18"/>
      <c r="F18" s="14"/>
      <c r="H18"/>
      <c r="I18"/>
      <c r="J18"/>
      <c r="L18" s="14"/>
      <c r="N18"/>
      <c r="O18"/>
      <c r="P18"/>
      <c r="Q18"/>
    </row>
    <row r="19" spans="1:18" ht="15" x14ac:dyDescent="0.25">
      <c r="A19" s="9" t="s">
        <v>78</v>
      </c>
      <c r="B19" s="10">
        <v>23</v>
      </c>
      <c r="C19" s="10">
        <v>13</v>
      </c>
      <c r="D19" s="10">
        <v>36</v>
      </c>
      <c r="E19"/>
      <c r="F19" s="14"/>
      <c r="H19"/>
      <c r="I19"/>
      <c r="J19"/>
      <c r="L19" s="14"/>
      <c r="N19"/>
      <c r="O19"/>
      <c r="P19"/>
      <c r="Q19"/>
    </row>
    <row r="20" spans="1:18" ht="15" x14ac:dyDescent="0.25">
      <c r="A20" s="9" t="s">
        <v>53</v>
      </c>
      <c r="B20" s="10">
        <v>120</v>
      </c>
      <c r="C20" s="10">
        <v>46</v>
      </c>
      <c r="D20" s="10">
        <v>166</v>
      </c>
      <c r="E20"/>
      <c r="F20" s="14"/>
      <c r="H20"/>
      <c r="I20"/>
      <c r="J20"/>
      <c r="L20" s="14"/>
      <c r="N20"/>
      <c r="O20"/>
      <c r="P20"/>
    </row>
    <row r="21" spans="1:18" ht="15" x14ac:dyDescent="0.25">
      <c r="A21" s="9" t="s">
        <v>1892</v>
      </c>
      <c r="B21" s="10">
        <v>22</v>
      </c>
      <c r="C21" s="10">
        <v>11</v>
      </c>
      <c r="D21" s="10">
        <v>33</v>
      </c>
      <c r="E21"/>
      <c r="F21" s="14"/>
      <c r="H21"/>
      <c r="I21"/>
      <c r="J21"/>
      <c r="L21" s="14"/>
      <c r="N21"/>
      <c r="O21"/>
      <c r="P21"/>
    </row>
    <row r="22" spans="1:18" ht="15" x14ac:dyDescent="0.25">
      <c r="A22" s="9" t="s">
        <v>1893</v>
      </c>
      <c r="B22" s="10">
        <v>3</v>
      </c>
      <c r="C22" s="10"/>
      <c r="D22" s="10">
        <v>3</v>
      </c>
      <c r="E22"/>
      <c r="F22" s="14"/>
      <c r="H22"/>
      <c r="I22"/>
      <c r="J22"/>
      <c r="L22" s="14"/>
      <c r="N22"/>
      <c r="O22"/>
      <c r="P22"/>
    </row>
    <row r="23" spans="1:18" ht="15" x14ac:dyDescent="0.25">
      <c r="A23" s="9" t="s">
        <v>1883</v>
      </c>
      <c r="B23" s="10">
        <v>554</v>
      </c>
      <c r="C23" s="10">
        <v>296</v>
      </c>
      <c r="D23" s="10">
        <v>850</v>
      </c>
      <c r="E23"/>
      <c r="F23" s="14"/>
      <c r="H23"/>
      <c r="I23"/>
      <c r="J23"/>
      <c r="L23" s="14"/>
      <c r="N23"/>
      <c r="O23"/>
      <c r="P23"/>
    </row>
    <row r="24" spans="1:18" ht="15" x14ac:dyDescent="0.25">
      <c r="A24"/>
      <c r="B24"/>
      <c r="C24"/>
      <c r="D24"/>
      <c r="E24"/>
      <c r="F24" s="14"/>
      <c r="H24"/>
      <c r="I24"/>
      <c r="J24"/>
      <c r="L24" s="14"/>
      <c r="N24"/>
      <c r="O24"/>
      <c r="P24"/>
    </row>
    <row r="25" spans="1:18" ht="15" x14ac:dyDescent="0.25">
      <c r="A25"/>
      <c r="B25"/>
      <c r="C25"/>
      <c r="D25"/>
      <c r="F25" s="14"/>
      <c r="H25"/>
      <c r="I25"/>
      <c r="J25"/>
      <c r="L25" s="14"/>
      <c r="N25"/>
      <c r="O25"/>
      <c r="P25"/>
    </row>
    <row r="26" spans="1:18" ht="15" x14ac:dyDescent="0.25">
      <c r="A26"/>
      <c r="B26"/>
      <c r="C26"/>
      <c r="D26"/>
      <c r="F26" s="14"/>
      <c r="L26" s="14"/>
    </row>
    <row r="27" spans="1:18" ht="15" x14ac:dyDescent="0.25">
      <c r="A27"/>
      <c r="B27"/>
      <c r="C27"/>
      <c r="D27"/>
      <c r="F27" s="14"/>
      <c r="L27" s="14"/>
    </row>
    <row r="28" spans="1:18" ht="15" x14ac:dyDescent="0.25">
      <c r="A28"/>
      <c r="B28"/>
      <c r="C28"/>
      <c r="D28"/>
      <c r="F28" s="14"/>
      <c r="L28" s="14"/>
    </row>
  </sheetData>
  <pageMargins left="0.7" right="0.7" top="0.75" bottom="0.75" header="0.3" footer="0.3"/>
  <pageSetup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851"/>
  <sheetViews>
    <sheetView showGridLines="0" tabSelected="1" zoomScaleNormal="100" workbookViewId="0">
      <pane ySplit="1" topLeftCell="A2" activePane="bottomLeft" state="frozen"/>
      <selection activeCell="H21" sqref="H21"/>
      <selection pane="bottomLeft" activeCell="A2" sqref="A2"/>
    </sheetView>
  </sheetViews>
  <sheetFormatPr defaultRowHeight="15" x14ac:dyDescent="0.25"/>
  <cols>
    <col min="1" max="1" width="13.140625" customWidth="1"/>
    <col min="2" max="2" width="17" customWidth="1"/>
    <col min="3" max="3" width="24" customWidth="1"/>
    <col min="4" max="4" width="19.7109375" style="1" customWidth="1"/>
    <col min="5" max="5" width="14.85546875" customWidth="1"/>
    <col min="6" max="6" width="23.42578125" customWidth="1"/>
    <col min="7" max="7" width="17.7109375" customWidth="1"/>
    <col min="8" max="8" width="16.5703125" customWidth="1"/>
    <col min="9" max="9" width="42.42578125" bestFit="1" customWidth="1"/>
    <col min="10" max="10" width="21.7109375" hidden="1" customWidth="1"/>
    <col min="11" max="11" width="27" hidden="1" customWidth="1"/>
    <col min="12" max="12" width="26.28515625" hidden="1" customWidth="1"/>
    <col min="13" max="13" width="21.28515625" hidden="1" customWidth="1"/>
    <col min="14" max="14" width="22" hidden="1" customWidth="1"/>
    <col min="15" max="15" width="22.140625" hidden="1" customWidth="1"/>
    <col min="16" max="16" width="25" hidden="1" customWidth="1"/>
    <col min="17" max="17" width="22.85546875" hidden="1" customWidth="1"/>
    <col min="18" max="18" width="20.5703125" hidden="1" customWidth="1"/>
    <col min="19" max="19" width="22.7109375" hidden="1" customWidth="1"/>
    <col min="20" max="20" width="21" customWidth="1"/>
    <col min="21" max="21" width="20.85546875" hidden="1" customWidth="1"/>
    <col min="22" max="23" width="19" hidden="1" customWidth="1"/>
    <col min="24" max="24" width="23.7109375" hidden="1" customWidth="1"/>
    <col min="25" max="25" width="24.7109375" hidden="1" customWidth="1"/>
    <col min="26" max="26" width="22.85546875" hidden="1" customWidth="1"/>
    <col min="27" max="27" width="12.28515625" hidden="1" customWidth="1"/>
    <col min="28" max="28" width="11.28515625" hidden="1" customWidth="1"/>
    <col min="29" max="29" width="18.7109375" hidden="1" customWidth="1"/>
    <col min="30" max="30" width="9.140625" customWidth="1"/>
    <col min="33" max="33" width="11.42578125" bestFit="1" customWidth="1"/>
    <col min="34" max="34" width="13.85546875" bestFit="1" customWidth="1"/>
    <col min="35" max="35" width="13.28515625" bestFit="1" customWidth="1"/>
    <col min="36" max="36" width="17.140625" bestFit="1" customWidth="1"/>
    <col min="37" max="37" width="14" bestFit="1" customWidth="1"/>
  </cols>
  <sheetData>
    <row r="1" spans="1:37" x14ac:dyDescent="0.25">
      <c r="A1" s="15" t="s">
        <v>0</v>
      </c>
      <c r="B1" s="16" t="s">
        <v>1</v>
      </c>
      <c r="C1" s="16" t="s">
        <v>2</v>
      </c>
      <c r="D1" s="17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R1" s="16" t="s">
        <v>17</v>
      </c>
      <c r="S1" s="16" t="s">
        <v>18</v>
      </c>
      <c r="T1" s="16" t="s">
        <v>19</v>
      </c>
      <c r="U1" s="16" t="s">
        <v>20</v>
      </c>
      <c r="V1" s="16" t="s">
        <v>21</v>
      </c>
      <c r="W1" s="16" t="s">
        <v>22</v>
      </c>
      <c r="X1" s="16" t="s">
        <v>23</v>
      </c>
      <c r="Y1" s="16" t="s">
        <v>24</v>
      </c>
      <c r="Z1" s="16" t="s">
        <v>25</v>
      </c>
      <c r="AA1" s="16" t="s">
        <v>26</v>
      </c>
      <c r="AB1" s="16" t="s">
        <v>27</v>
      </c>
      <c r="AC1" s="16" t="s">
        <v>28</v>
      </c>
      <c r="AD1" s="18" t="s">
        <v>1877</v>
      </c>
      <c r="AE1" s="18" t="s">
        <v>1880</v>
      </c>
      <c r="AF1" s="18" t="s">
        <v>1878</v>
      </c>
      <c r="AG1" s="18" t="s">
        <v>1875</v>
      </c>
      <c r="AH1" s="18" t="s">
        <v>1876</v>
      </c>
      <c r="AI1" s="19" t="s">
        <v>1888</v>
      </c>
      <c r="AJ1" s="19" t="s">
        <v>1889</v>
      </c>
      <c r="AK1" s="20" t="s">
        <v>1890</v>
      </c>
    </row>
    <row r="2" spans="1:37" x14ac:dyDescent="0.25">
      <c r="A2" s="21" t="s">
        <v>37</v>
      </c>
      <c r="B2" s="22">
        <v>314301</v>
      </c>
      <c r="C2" s="22">
        <v>10108549</v>
      </c>
      <c r="D2" s="23">
        <v>511703148321</v>
      </c>
      <c r="E2" s="22" t="s">
        <v>2072</v>
      </c>
      <c r="F2" s="22" t="s">
        <v>907</v>
      </c>
      <c r="G2" s="22">
        <v>20170401</v>
      </c>
      <c r="H2" s="22">
        <v>20170515</v>
      </c>
      <c r="I2" s="22" t="s">
        <v>53</v>
      </c>
      <c r="J2" s="22"/>
      <c r="K2" s="22"/>
      <c r="L2" s="22" t="s">
        <v>34</v>
      </c>
      <c r="M2" s="22" t="s">
        <v>34</v>
      </c>
      <c r="N2" s="22" t="s">
        <v>35</v>
      </c>
      <c r="O2" s="22" t="s">
        <v>35</v>
      </c>
      <c r="P2" s="22" t="s">
        <v>35</v>
      </c>
      <c r="Q2" s="22" t="s">
        <v>35</v>
      </c>
      <c r="R2" s="22" t="s">
        <v>35</v>
      </c>
      <c r="S2" s="22" t="s">
        <v>34</v>
      </c>
      <c r="T2" s="22"/>
      <c r="U2" s="22"/>
      <c r="V2" s="22"/>
      <c r="W2" s="22"/>
      <c r="X2" s="22"/>
      <c r="Y2" s="22"/>
      <c r="Z2" s="22"/>
      <c r="AA2" s="22"/>
      <c r="AB2" s="22"/>
      <c r="AC2" s="22" t="s">
        <v>1912</v>
      </c>
      <c r="AD2" s="22">
        <v>20170413</v>
      </c>
      <c r="AE2" s="22">
        <v>1</v>
      </c>
      <c r="AF2" s="22"/>
      <c r="AG2" s="22" t="str">
        <f>IFERROR(VLOOKUP(TblFeedFile[[#This Row],[Leave Type ]],LkupPayType[],2,FALSE),"TBD")</f>
        <v>Paid</v>
      </c>
      <c r="AH2" s="22" t="str">
        <f>IFERROR(VLOOKUP(TblFeedFile[[#This Row],[ Report Number ]],LkupPayrollCycle[],2,FALSE),"TBD")</f>
        <v>Semi-Monthly</v>
      </c>
      <c r="AI2" s="25"/>
      <c r="AJ2" s="25"/>
      <c r="AK2" s="26"/>
    </row>
    <row r="3" spans="1:37" x14ac:dyDescent="0.25">
      <c r="A3" s="21" t="s">
        <v>29</v>
      </c>
      <c r="B3" s="22">
        <v>314301</v>
      </c>
      <c r="C3" s="22">
        <v>10109361</v>
      </c>
      <c r="D3" s="23">
        <v>501703038420</v>
      </c>
      <c r="E3" s="22" t="s">
        <v>1898</v>
      </c>
      <c r="F3" s="22" t="s">
        <v>1899</v>
      </c>
      <c r="G3" s="22">
        <v>20170313</v>
      </c>
      <c r="H3" s="22">
        <v>20170819</v>
      </c>
      <c r="I3" s="22" t="s">
        <v>40</v>
      </c>
      <c r="J3" s="22"/>
      <c r="K3" s="22"/>
      <c r="L3" s="22" t="s">
        <v>34</v>
      </c>
      <c r="M3" s="22" t="s">
        <v>34</v>
      </c>
      <c r="N3" s="22" t="s">
        <v>35</v>
      </c>
      <c r="O3" s="22" t="s">
        <v>35</v>
      </c>
      <c r="P3" s="22" t="s">
        <v>35</v>
      </c>
      <c r="Q3" s="22" t="s">
        <v>35</v>
      </c>
      <c r="R3" s="22" t="s">
        <v>35</v>
      </c>
      <c r="S3" s="22" t="s">
        <v>34</v>
      </c>
      <c r="T3" s="22"/>
      <c r="U3" s="22"/>
      <c r="V3" s="22"/>
      <c r="W3" s="22"/>
      <c r="X3" s="22"/>
      <c r="Y3" s="22"/>
      <c r="Z3" s="22"/>
      <c r="AA3" s="22"/>
      <c r="AB3" s="22"/>
      <c r="AC3" s="22" t="s">
        <v>1900</v>
      </c>
      <c r="AD3" s="22">
        <v>20170413</v>
      </c>
      <c r="AE3" s="22">
        <v>2</v>
      </c>
      <c r="AF3" s="22"/>
      <c r="AG3" s="22" t="str">
        <f>IFERROR(VLOOKUP(TblFeedFile[[#This Row],[Leave Type ]],LkupPayType[],2,FALSE),"TBD")</f>
        <v>Paid</v>
      </c>
      <c r="AH3" s="22" t="str">
        <f>IFERROR(VLOOKUP(TblFeedFile[[#This Row],[ Report Number ]],LkupPayrollCycle[],2,FALSE),"TBD")</f>
        <v>Semi-Monthly</v>
      </c>
      <c r="AI3" s="25"/>
      <c r="AJ3" s="25"/>
      <c r="AK3" s="26"/>
    </row>
    <row r="4" spans="1:37" x14ac:dyDescent="0.25">
      <c r="A4" s="21" t="s">
        <v>29</v>
      </c>
      <c r="B4" s="22">
        <v>314301</v>
      </c>
      <c r="C4" s="22">
        <v>10109361</v>
      </c>
      <c r="D4" s="23">
        <v>501703038420</v>
      </c>
      <c r="E4" s="22" t="s">
        <v>1898</v>
      </c>
      <c r="F4" s="22" t="s">
        <v>1899</v>
      </c>
      <c r="G4" s="22">
        <v>20170306</v>
      </c>
      <c r="H4" s="22">
        <v>20170819</v>
      </c>
      <c r="I4" s="22" t="s">
        <v>53</v>
      </c>
      <c r="J4" s="22"/>
      <c r="K4" s="22"/>
      <c r="L4" s="22" t="s">
        <v>34</v>
      </c>
      <c r="M4" s="22" t="s">
        <v>34</v>
      </c>
      <c r="N4" s="22" t="s">
        <v>35</v>
      </c>
      <c r="O4" s="22" t="s">
        <v>35</v>
      </c>
      <c r="P4" s="22" t="s">
        <v>35</v>
      </c>
      <c r="Q4" s="22" t="s">
        <v>35</v>
      </c>
      <c r="R4" s="22" t="s">
        <v>35</v>
      </c>
      <c r="S4" s="22" t="s">
        <v>34</v>
      </c>
      <c r="T4" s="22"/>
      <c r="U4" s="22"/>
      <c r="V4" s="22"/>
      <c r="W4" s="22"/>
      <c r="X4" s="22"/>
      <c r="Y4" s="22"/>
      <c r="Z4" s="22"/>
      <c r="AA4" s="22"/>
      <c r="AB4" s="22"/>
      <c r="AC4" s="22" t="s">
        <v>1901</v>
      </c>
      <c r="AD4" s="22">
        <v>20170413</v>
      </c>
      <c r="AE4" s="22">
        <v>3</v>
      </c>
      <c r="AF4" s="22"/>
      <c r="AG4" s="22" t="str">
        <f>IFERROR(VLOOKUP(TblFeedFile[[#This Row],[Leave Type ]],LkupPayType[],2,FALSE),"TBD")</f>
        <v>Paid</v>
      </c>
      <c r="AH4" s="22" t="str">
        <f>IFERROR(VLOOKUP(TblFeedFile[[#This Row],[ Report Number ]],LkupPayrollCycle[],2,FALSE),"TBD")</f>
        <v>Semi-Monthly</v>
      </c>
      <c r="AI4" s="25"/>
      <c r="AJ4" s="25"/>
      <c r="AK4" s="26"/>
    </row>
    <row r="5" spans="1:37" x14ac:dyDescent="0.25">
      <c r="A5" s="21" t="s">
        <v>37</v>
      </c>
      <c r="B5" s="22">
        <v>314301</v>
      </c>
      <c r="C5" s="22">
        <v>10109361</v>
      </c>
      <c r="D5" s="23">
        <v>501703038420</v>
      </c>
      <c r="E5" s="22" t="s">
        <v>1898</v>
      </c>
      <c r="F5" s="22" t="s">
        <v>1899</v>
      </c>
      <c r="G5" s="22">
        <v>20170304</v>
      </c>
      <c r="H5" s="22">
        <v>20170819</v>
      </c>
      <c r="I5" s="22" t="s">
        <v>53</v>
      </c>
      <c r="J5" s="22"/>
      <c r="K5" s="22"/>
      <c r="L5" s="22" t="s">
        <v>34</v>
      </c>
      <c r="M5" s="22" t="s">
        <v>34</v>
      </c>
      <c r="N5" s="22" t="s">
        <v>35</v>
      </c>
      <c r="O5" s="22" t="s">
        <v>35</v>
      </c>
      <c r="P5" s="22" t="s">
        <v>35</v>
      </c>
      <c r="Q5" s="22" t="s">
        <v>35</v>
      </c>
      <c r="R5" s="22" t="s">
        <v>35</v>
      </c>
      <c r="S5" s="22" t="s">
        <v>34</v>
      </c>
      <c r="T5" s="22"/>
      <c r="U5" s="22"/>
      <c r="V5" s="22"/>
      <c r="W5" s="22"/>
      <c r="X5" s="22"/>
      <c r="Y5" s="22"/>
      <c r="Z5" s="22"/>
      <c r="AA5" s="22"/>
      <c r="AB5" s="22"/>
      <c r="AC5" s="22" t="s">
        <v>1901</v>
      </c>
      <c r="AD5" s="22">
        <v>20170413</v>
      </c>
      <c r="AE5" s="22">
        <v>4</v>
      </c>
      <c r="AF5" s="22"/>
      <c r="AG5" s="22" t="str">
        <f>IFERROR(VLOOKUP(TblFeedFile[[#This Row],[Leave Type ]],LkupPayType[],2,FALSE),"TBD")</f>
        <v>Paid</v>
      </c>
      <c r="AH5" s="22"/>
      <c r="AI5" s="25"/>
      <c r="AJ5" s="25"/>
      <c r="AK5" s="26"/>
    </row>
    <row r="6" spans="1:37" x14ac:dyDescent="0.25">
      <c r="A6" s="21" t="s">
        <v>37</v>
      </c>
      <c r="B6" s="22">
        <v>314301</v>
      </c>
      <c r="C6" s="22">
        <v>10109361</v>
      </c>
      <c r="D6" s="23">
        <v>501703038420</v>
      </c>
      <c r="E6" s="22" t="s">
        <v>1898</v>
      </c>
      <c r="F6" s="22" t="s">
        <v>1899</v>
      </c>
      <c r="G6" s="22">
        <v>20170311</v>
      </c>
      <c r="H6" s="22">
        <v>20170819</v>
      </c>
      <c r="I6" s="22" t="s">
        <v>40</v>
      </c>
      <c r="J6" s="22"/>
      <c r="K6" s="22"/>
      <c r="L6" s="22" t="s">
        <v>34</v>
      </c>
      <c r="M6" s="22" t="s">
        <v>34</v>
      </c>
      <c r="N6" s="22" t="s">
        <v>35</v>
      </c>
      <c r="O6" s="22" t="s">
        <v>35</v>
      </c>
      <c r="P6" s="22" t="s">
        <v>35</v>
      </c>
      <c r="Q6" s="22" t="s">
        <v>35</v>
      </c>
      <c r="R6" s="22" t="s">
        <v>35</v>
      </c>
      <c r="S6" s="22" t="s">
        <v>34</v>
      </c>
      <c r="T6" s="22"/>
      <c r="U6" s="22"/>
      <c r="V6" s="22"/>
      <c r="W6" s="22"/>
      <c r="X6" s="22"/>
      <c r="Y6" s="22"/>
      <c r="Z6" s="22"/>
      <c r="AA6" s="22"/>
      <c r="AB6" s="22"/>
      <c r="AC6" s="22" t="s">
        <v>1900</v>
      </c>
      <c r="AD6" s="22">
        <v>20170413</v>
      </c>
      <c r="AE6" s="22">
        <v>5</v>
      </c>
      <c r="AF6" s="22"/>
      <c r="AG6" s="22" t="str">
        <f>IFERROR(VLOOKUP(TblFeedFile[[#This Row],[Leave Type ]],LkupPayType[],2,FALSE),"TBD")</f>
        <v>Paid</v>
      </c>
      <c r="AH6" s="22"/>
      <c r="AI6" s="25"/>
      <c r="AJ6" s="25"/>
      <c r="AK6" s="26"/>
    </row>
    <row r="7" spans="1:37" x14ac:dyDescent="0.25">
      <c r="A7" s="21" t="s">
        <v>29</v>
      </c>
      <c r="B7" s="22">
        <v>314301</v>
      </c>
      <c r="C7" s="22">
        <v>10138827</v>
      </c>
      <c r="D7" s="23">
        <v>531703238873</v>
      </c>
      <c r="E7" s="22" t="s">
        <v>60</v>
      </c>
      <c r="F7" s="22" t="s">
        <v>2073</v>
      </c>
      <c r="G7" s="22">
        <v>20170322</v>
      </c>
      <c r="H7" s="22">
        <v>20170415</v>
      </c>
      <c r="I7" s="22" t="s">
        <v>40</v>
      </c>
      <c r="J7" s="22"/>
      <c r="K7" s="22"/>
      <c r="L7" s="22" t="s">
        <v>34</v>
      </c>
      <c r="M7" s="22" t="s">
        <v>34</v>
      </c>
      <c r="N7" s="22" t="s">
        <v>35</v>
      </c>
      <c r="O7" s="22" t="s">
        <v>35</v>
      </c>
      <c r="P7" s="22" t="s">
        <v>35</v>
      </c>
      <c r="Q7" s="22" t="s">
        <v>35</v>
      </c>
      <c r="R7" s="22" t="s">
        <v>35</v>
      </c>
      <c r="S7" s="22" t="s">
        <v>34</v>
      </c>
      <c r="T7" s="22"/>
      <c r="U7" s="22"/>
      <c r="V7" s="22"/>
      <c r="W7" s="22"/>
      <c r="X7" s="22"/>
      <c r="Y7" s="22"/>
      <c r="Z7" s="22"/>
      <c r="AA7" s="22"/>
      <c r="AB7" s="22"/>
      <c r="AC7" s="22" t="s">
        <v>1916</v>
      </c>
      <c r="AD7" s="22">
        <v>20170413</v>
      </c>
      <c r="AE7" s="22">
        <v>6</v>
      </c>
      <c r="AF7" s="22"/>
      <c r="AG7" s="22" t="str">
        <f>IFERROR(VLOOKUP(TblFeedFile[[#This Row],[Leave Type ]],LkupPayType[],2,FALSE),"TBD")</f>
        <v>Paid</v>
      </c>
      <c r="AH7" s="22"/>
      <c r="AI7" s="25"/>
      <c r="AJ7" s="25"/>
      <c r="AK7" s="26"/>
    </row>
    <row r="8" spans="1:37" x14ac:dyDescent="0.25">
      <c r="A8" s="21" t="s">
        <v>37</v>
      </c>
      <c r="B8" s="22">
        <v>314301</v>
      </c>
      <c r="C8" s="22">
        <v>10138827</v>
      </c>
      <c r="D8" s="23">
        <v>531703238873</v>
      </c>
      <c r="E8" s="22" t="s">
        <v>60</v>
      </c>
      <c r="F8" s="22" t="s">
        <v>2073</v>
      </c>
      <c r="G8" s="22">
        <v>20170322</v>
      </c>
      <c r="H8" s="22">
        <v>20170515</v>
      </c>
      <c r="I8" s="22" t="s">
        <v>40</v>
      </c>
      <c r="J8" s="22"/>
      <c r="K8" s="22"/>
      <c r="L8" s="22" t="s">
        <v>34</v>
      </c>
      <c r="M8" s="22" t="s">
        <v>34</v>
      </c>
      <c r="N8" s="22" t="s">
        <v>35</v>
      </c>
      <c r="O8" s="22" t="s">
        <v>35</v>
      </c>
      <c r="P8" s="22" t="s">
        <v>35</v>
      </c>
      <c r="Q8" s="22" t="s">
        <v>35</v>
      </c>
      <c r="R8" s="22" t="s">
        <v>35</v>
      </c>
      <c r="S8" s="22" t="s">
        <v>34</v>
      </c>
      <c r="T8" s="22"/>
      <c r="U8" s="22"/>
      <c r="V8" s="22"/>
      <c r="W8" s="22"/>
      <c r="X8" s="22"/>
      <c r="Y8" s="22"/>
      <c r="Z8" s="22"/>
      <c r="AA8" s="22"/>
      <c r="AB8" s="22"/>
      <c r="AC8" s="22" t="s">
        <v>1916</v>
      </c>
      <c r="AD8" s="22">
        <v>20170413</v>
      </c>
      <c r="AE8" s="22">
        <v>7</v>
      </c>
      <c r="AF8" s="22"/>
      <c r="AG8" s="22" t="str">
        <f>IFERROR(VLOOKUP(TblFeedFile[[#This Row],[Leave Type ]],LkupPayType[],2,FALSE),"TBD")</f>
        <v>Paid</v>
      </c>
      <c r="AH8" s="22"/>
      <c r="AI8" s="25"/>
      <c r="AJ8" s="25"/>
      <c r="AK8" s="26"/>
    </row>
    <row r="9" spans="1:37" x14ac:dyDescent="0.25">
      <c r="A9" s="21" t="s">
        <v>37</v>
      </c>
      <c r="B9" s="22">
        <v>314304</v>
      </c>
      <c r="C9" s="22">
        <v>10154238</v>
      </c>
      <c r="D9" s="23">
        <v>521702148152</v>
      </c>
      <c r="E9" s="22" t="s">
        <v>246</v>
      </c>
      <c r="F9" s="22" t="s">
        <v>752</v>
      </c>
      <c r="G9" s="22">
        <v>20170308</v>
      </c>
      <c r="H9" s="22">
        <v>20170416</v>
      </c>
      <c r="I9" s="22" t="s">
        <v>40</v>
      </c>
      <c r="J9" s="22"/>
      <c r="K9" s="22"/>
      <c r="L9" s="22" t="s">
        <v>34</v>
      </c>
      <c r="M9" s="22" t="s">
        <v>34</v>
      </c>
      <c r="N9" s="22" t="s">
        <v>35</v>
      </c>
      <c r="O9" s="22" t="s">
        <v>35</v>
      </c>
      <c r="P9" s="22" t="s">
        <v>35</v>
      </c>
      <c r="Q9" s="22" t="s">
        <v>35</v>
      </c>
      <c r="R9" s="22" t="s">
        <v>35</v>
      </c>
      <c r="S9" s="22" t="s">
        <v>34</v>
      </c>
      <c r="T9" s="22">
        <v>20170417</v>
      </c>
      <c r="U9" s="22"/>
      <c r="V9" s="22"/>
      <c r="W9" s="22"/>
      <c r="X9" s="22"/>
      <c r="Y9" s="22"/>
      <c r="Z9" s="22"/>
      <c r="AA9" s="22"/>
      <c r="AB9" s="22"/>
      <c r="AC9" s="22" t="s">
        <v>1896</v>
      </c>
      <c r="AD9" s="22">
        <v>20170413</v>
      </c>
      <c r="AE9" s="22">
        <v>8</v>
      </c>
      <c r="AF9" s="22"/>
      <c r="AG9" s="22" t="str">
        <f>IFERROR(VLOOKUP(TblFeedFile[[#This Row],[Leave Type ]],LkupPayType[],2,FALSE),"TBD")</f>
        <v>Paid</v>
      </c>
      <c r="AH9" s="22"/>
      <c r="AI9" s="25"/>
      <c r="AJ9" s="25"/>
      <c r="AK9" s="26" t="s">
        <v>35</v>
      </c>
    </row>
    <row r="10" spans="1:37" x14ac:dyDescent="0.25">
      <c r="A10" s="21" t="s">
        <v>29</v>
      </c>
      <c r="B10" s="22">
        <v>314304</v>
      </c>
      <c r="C10" s="22">
        <v>10157427</v>
      </c>
      <c r="D10" s="23">
        <v>561701178916</v>
      </c>
      <c r="E10" s="22" t="s">
        <v>57</v>
      </c>
      <c r="F10" s="22" t="s">
        <v>58</v>
      </c>
      <c r="G10" s="22">
        <v>20170321</v>
      </c>
      <c r="H10" s="22">
        <v>20170331</v>
      </c>
      <c r="I10" s="22" t="s">
        <v>1892</v>
      </c>
      <c r="J10" s="22"/>
      <c r="K10" s="22"/>
      <c r="L10" s="22" t="s">
        <v>34</v>
      </c>
      <c r="M10" s="22" t="s">
        <v>34</v>
      </c>
      <c r="N10" s="22" t="s">
        <v>35</v>
      </c>
      <c r="O10" s="22" t="s">
        <v>35</v>
      </c>
      <c r="P10" s="22" t="s">
        <v>35</v>
      </c>
      <c r="Q10" s="22" t="s">
        <v>35</v>
      </c>
      <c r="R10" s="22" t="s">
        <v>35</v>
      </c>
      <c r="S10" s="22" t="s">
        <v>34</v>
      </c>
      <c r="T10" s="22">
        <v>20170401</v>
      </c>
      <c r="U10" s="22"/>
      <c r="V10" s="22"/>
      <c r="W10" s="22"/>
      <c r="X10" s="22"/>
      <c r="Y10" s="22"/>
      <c r="Z10" s="22"/>
      <c r="AA10" s="22"/>
      <c r="AB10" s="22"/>
      <c r="AC10" s="22" t="s">
        <v>1914</v>
      </c>
      <c r="AD10" s="22">
        <v>20170413</v>
      </c>
      <c r="AE10" s="22">
        <v>9</v>
      </c>
      <c r="AF10" s="22"/>
      <c r="AG10" s="22" t="str">
        <f>IFERROR(VLOOKUP(TblFeedFile[[#This Row],[Leave Type ]],LkupPayType[],2,FALSE),"TBD")</f>
        <v>Paid</v>
      </c>
      <c r="AH10" s="22"/>
      <c r="AI10" s="25"/>
      <c r="AJ10" s="25"/>
      <c r="AK10" s="26"/>
    </row>
    <row r="11" spans="1:37" x14ac:dyDescent="0.25">
      <c r="A11" s="21" t="s">
        <v>37</v>
      </c>
      <c r="B11" s="22">
        <v>314304</v>
      </c>
      <c r="C11" s="22">
        <v>10157427</v>
      </c>
      <c r="D11" s="23">
        <v>561701178916</v>
      </c>
      <c r="E11" s="22" t="s">
        <v>57</v>
      </c>
      <c r="F11" s="22" t="s">
        <v>58</v>
      </c>
      <c r="G11" s="22">
        <v>20170321</v>
      </c>
      <c r="H11" s="22">
        <v>20170514</v>
      </c>
      <c r="I11" s="22" t="s">
        <v>1892</v>
      </c>
      <c r="J11" s="22"/>
      <c r="K11" s="22"/>
      <c r="L11" s="22" t="s">
        <v>34</v>
      </c>
      <c r="M11" s="22" t="s">
        <v>34</v>
      </c>
      <c r="N11" s="22" t="s">
        <v>35</v>
      </c>
      <c r="O11" s="22" t="s">
        <v>35</v>
      </c>
      <c r="P11" s="22" t="s">
        <v>35</v>
      </c>
      <c r="Q11" s="22" t="s">
        <v>35</v>
      </c>
      <c r="R11" s="22" t="s">
        <v>35</v>
      </c>
      <c r="S11" s="22" t="s">
        <v>34</v>
      </c>
      <c r="T11" s="22"/>
      <c r="U11" s="22"/>
      <c r="V11" s="22"/>
      <c r="W11" s="22"/>
      <c r="X11" s="22"/>
      <c r="Y11" s="22"/>
      <c r="Z11" s="22"/>
      <c r="AA11" s="22"/>
      <c r="AB11" s="22"/>
      <c r="AC11" s="22" t="s">
        <v>1951</v>
      </c>
      <c r="AD11" s="22">
        <v>20170413</v>
      </c>
      <c r="AE11" s="22">
        <v>10</v>
      </c>
      <c r="AF11" s="22"/>
      <c r="AG11" s="22" t="str">
        <f>IFERROR(VLOOKUP(TblFeedFile[[#This Row],[Leave Type ]],LkupPayType[],2,FALSE),"TBD")</f>
        <v>Paid</v>
      </c>
      <c r="AH11" s="22"/>
      <c r="AI11" s="25"/>
      <c r="AJ11" s="25"/>
      <c r="AK11" s="26"/>
    </row>
    <row r="12" spans="1:37" x14ac:dyDescent="0.25">
      <c r="A12" s="21" t="s">
        <v>37</v>
      </c>
      <c r="B12" s="22">
        <v>314304</v>
      </c>
      <c r="C12" s="22">
        <v>10173960</v>
      </c>
      <c r="D12" s="23">
        <v>571703138067</v>
      </c>
      <c r="E12" s="22" t="s">
        <v>1909</v>
      </c>
      <c r="F12" s="22" t="s">
        <v>1910</v>
      </c>
      <c r="G12" s="22">
        <v>20170412</v>
      </c>
      <c r="H12" s="22">
        <v>20170515</v>
      </c>
      <c r="I12" s="22" t="s">
        <v>53</v>
      </c>
      <c r="J12" s="22"/>
      <c r="K12" s="22"/>
      <c r="L12" s="22" t="s">
        <v>34</v>
      </c>
      <c r="M12" s="22" t="s">
        <v>34</v>
      </c>
      <c r="N12" s="22" t="s">
        <v>35</v>
      </c>
      <c r="O12" s="22" t="s">
        <v>35</v>
      </c>
      <c r="P12" s="22" t="s">
        <v>35</v>
      </c>
      <c r="Q12" s="22" t="s">
        <v>35</v>
      </c>
      <c r="R12" s="22" t="s">
        <v>35</v>
      </c>
      <c r="S12" s="22" t="s">
        <v>34</v>
      </c>
      <c r="T12" s="22"/>
      <c r="U12" s="22"/>
      <c r="V12" s="22"/>
      <c r="W12" s="22"/>
      <c r="X12" s="22"/>
      <c r="Y12" s="22"/>
      <c r="Z12" s="22"/>
      <c r="AA12" s="22"/>
      <c r="AB12" s="22"/>
      <c r="AC12" s="22" t="s">
        <v>1900</v>
      </c>
      <c r="AD12" s="22">
        <v>20170413</v>
      </c>
      <c r="AE12" s="22">
        <v>11</v>
      </c>
      <c r="AF12" s="22"/>
      <c r="AG12" s="22" t="str">
        <f>IFERROR(VLOOKUP(TblFeedFile[[#This Row],[Leave Type ]],LkupPayType[],2,FALSE),"TBD")</f>
        <v>Paid</v>
      </c>
      <c r="AH12" s="22"/>
      <c r="AI12" s="25"/>
      <c r="AJ12" s="25"/>
      <c r="AK12" s="26"/>
    </row>
    <row r="13" spans="1:37" x14ac:dyDescent="0.25">
      <c r="A13" s="21" t="s">
        <v>37</v>
      </c>
      <c r="B13" s="22">
        <v>314304</v>
      </c>
      <c r="C13" s="22">
        <v>10205343</v>
      </c>
      <c r="D13" s="23">
        <v>511701058359</v>
      </c>
      <c r="E13" s="22" t="s">
        <v>2074</v>
      </c>
      <c r="F13" s="22" t="s">
        <v>178</v>
      </c>
      <c r="G13" s="22">
        <v>20170309</v>
      </c>
      <c r="H13" s="22">
        <v>20170416</v>
      </c>
      <c r="I13" s="22" t="s">
        <v>1892</v>
      </c>
      <c r="J13" s="22"/>
      <c r="K13" s="22"/>
      <c r="L13" s="22" t="s">
        <v>34</v>
      </c>
      <c r="M13" s="22" t="s">
        <v>34</v>
      </c>
      <c r="N13" s="22" t="s">
        <v>35</v>
      </c>
      <c r="O13" s="22" t="s">
        <v>35</v>
      </c>
      <c r="P13" s="22" t="s">
        <v>35</v>
      </c>
      <c r="Q13" s="22" t="s">
        <v>35</v>
      </c>
      <c r="R13" s="22" t="s">
        <v>35</v>
      </c>
      <c r="S13" s="22" t="s">
        <v>34</v>
      </c>
      <c r="T13" s="22">
        <v>20170417</v>
      </c>
      <c r="U13" s="22"/>
      <c r="V13" s="22"/>
      <c r="W13" s="22"/>
      <c r="X13" s="22"/>
      <c r="Y13" s="22"/>
      <c r="Z13" s="22"/>
      <c r="AA13" s="22"/>
      <c r="AB13" s="22"/>
      <c r="AC13" s="22" t="s">
        <v>1914</v>
      </c>
      <c r="AD13" s="22">
        <v>20170413</v>
      </c>
      <c r="AE13" s="22">
        <v>12</v>
      </c>
      <c r="AF13" s="22"/>
      <c r="AG13" s="22" t="str">
        <f>IFERROR(VLOOKUP(TblFeedFile[[#This Row],[Leave Type ]],LkupPayType[],2,FALSE),"TBD")</f>
        <v>Paid</v>
      </c>
      <c r="AH13" s="22"/>
      <c r="AI13" s="25"/>
      <c r="AJ13" s="25"/>
      <c r="AK13" s="26" t="s">
        <v>35</v>
      </c>
    </row>
    <row r="14" spans="1:37" x14ac:dyDescent="0.25">
      <c r="A14" s="21" t="s">
        <v>29</v>
      </c>
      <c r="B14" s="22">
        <v>314304</v>
      </c>
      <c r="C14" s="22">
        <v>10206030</v>
      </c>
      <c r="D14" s="23" t="s">
        <v>2075</v>
      </c>
      <c r="E14" s="22" t="s">
        <v>790</v>
      </c>
      <c r="F14" s="22" t="s">
        <v>2076</v>
      </c>
      <c r="G14" s="22">
        <v>20170330</v>
      </c>
      <c r="H14" s="22">
        <v>20170426</v>
      </c>
      <c r="I14" s="22" t="s">
        <v>36</v>
      </c>
      <c r="J14" s="22"/>
      <c r="K14" s="22"/>
      <c r="L14" s="22" t="s">
        <v>34</v>
      </c>
      <c r="M14" s="22" t="s">
        <v>34</v>
      </c>
      <c r="N14" s="22" t="s">
        <v>35</v>
      </c>
      <c r="O14" s="22" t="s">
        <v>35</v>
      </c>
      <c r="P14" s="22" t="s">
        <v>35</v>
      </c>
      <c r="Q14" s="22" t="s">
        <v>35</v>
      </c>
      <c r="R14" s="22" t="s">
        <v>35</v>
      </c>
      <c r="S14" s="22" t="s">
        <v>34</v>
      </c>
      <c r="T14" s="22"/>
      <c r="U14" s="22"/>
      <c r="V14" s="22"/>
      <c r="W14" s="22"/>
      <c r="X14" s="22"/>
      <c r="Y14" s="22"/>
      <c r="Z14" s="22"/>
      <c r="AA14" s="22"/>
      <c r="AB14" s="22"/>
      <c r="AC14" s="22" t="s">
        <v>1935</v>
      </c>
      <c r="AD14" s="22">
        <v>20170413</v>
      </c>
      <c r="AE14" s="22">
        <v>13</v>
      </c>
      <c r="AF14" s="22"/>
      <c r="AG14" s="22" t="str">
        <f>IFERROR(VLOOKUP(TblFeedFile[[#This Row],[Leave Type ]],LkupPayType[],2,FALSE),"TBD")</f>
        <v>Unpaid</v>
      </c>
      <c r="AH14" s="22"/>
      <c r="AI14" s="25"/>
      <c r="AJ14" s="25"/>
      <c r="AK14" s="26"/>
    </row>
    <row r="15" spans="1:37" x14ac:dyDescent="0.25">
      <c r="A15" s="21" t="s">
        <v>37</v>
      </c>
      <c r="B15" s="22">
        <v>314304</v>
      </c>
      <c r="C15" s="22">
        <v>10206030</v>
      </c>
      <c r="D15" s="23" t="s">
        <v>2075</v>
      </c>
      <c r="E15" s="22" t="s">
        <v>790</v>
      </c>
      <c r="F15" s="22" t="s">
        <v>2076</v>
      </c>
      <c r="G15" s="22">
        <v>20170413</v>
      </c>
      <c r="H15" s="22">
        <v>20170413</v>
      </c>
      <c r="I15" s="22" t="s">
        <v>33</v>
      </c>
      <c r="J15" s="22"/>
      <c r="K15" s="22"/>
      <c r="L15" s="22" t="s">
        <v>34</v>
      </c>
      <c r="M15" s="22" t="s">
        <v>34</v>
      </c>
      <c r="N15" s="22" t="s">
        <v>35</v>
      </c>
      <c r="O15" s="22" t="s">
        <v>35</v>
      </c>
      <c r="P15" s="22" t="s">
        <v>35</v>
      </c>
      <c r="Q15" s="22" t="s">
        <v>35</v>
      </c>
      <c r="R15" s="22" t="s">
        <v>35</v>
      </c>
      <c r="S15" s="22" t="s">
        <v>34</v>
      </c>
      <c r="T15" s="22"/>
      <c r="U15" s="22"/>
      <c r="V15" s="22"/>
      <c r="W15" s="22"/>
      <c r="X15" s="22"/>
      <c r="Y15" s="22"/>
      <c r="Z15" s="22"/>
      <c r="AA15" s="22"/>
      <c r="AB15" s="22"/>
      <c r="AC15" s="22" t="s">
        <v>1949</v>
      </c>
      <c r="AD15" s="22">
        <v>20170413</v>
      </c>
      <c r="AE15" s="22">
        <v>14</v>
      </c>
      <c r="AF15" s="22"/>
      <c r="AG15" s="22" t="str">
        <f>IFERROR(VLOOKUP(TblFeedFile[[#This Row],[Leave Type ]],LkupPayType[],2,FALSE),"TBD")</f>
        <v>Closed</v>
      </c>
      <c r="AH15" s="22"/>
      <c r="AI15" s="25"/>
      <c r="AJ15" s="25"/>
      <c r="AK15" s="26"/>
    </row>
    <row r="16" spans="1:37" x14ac:dyDescent="0.25">
      <c r="A16" s="21" t="s">
        <v>37</v>
      </c>
      <c r="B16" s="22">
        <v>314304</v>
      </c>
      <c r="C16" s="22">
        <v>10206271</v>
      </c>
      <c r="D16" s="23">
        <v>531701108023</v>
      </c>
      <c r="E16" s="22" t="s">
        <v>2077</v>
      </c>
      <c r="F16" s="22" t="s">
        <v>637</v>
      </c>
      <c r="G16" s="22">
        <v>20170307</v>
      </c>
      <c r="H16" s="22">
        <v>20170416</v>
      </c>
      <c r="I16" s="22" t="s">
        <v>1892</v>
      </c>
      <c r="J16" s="22"/>
      <c r="K16" s="22"/>
      <c r="L16" s="22" t="s">
        <v>34</v>
      </c>
      <c r="M16" s="22" t="s">
        <v>34</v>
      </c>
      <c r="N16" s="22" t="s">
        <v>35</v>
      </c>
      <c r="O16" s="22" t="s">
        <v>35</v>
      </c>
      <c r="P16" s="22" t="s">
        <v>35</v>
      </c>
      <c r="Q16" s="22" t="s">
        <v>35</v>
      </c>
      <c r="R16" s="22" t="s">
        <v>35</v>
      </c>
      <c r="S16" s="22" t="s">
        <v>34</v>
      </c>
      <c r="T16" s="22">
        <v>20170417</v>
      </c>
      <c r="U16" s="22"/>
      <c r="V16" s="22"/>
      <c r="W16" s="22"/>
      <c r="X16" s="22"/>
      <c r="Y16" s="22"/>
      <c r="Z16" s="22"/>
      <c r="AA16" s="22"/>
      <c r="AB16" s="22"/>
      <c r="AC16" s="22" t="s">
        <v>2078</v>
      </c>
      <c r="AD16" s="22">
        <v>20170413</v>
      </c>
      <c r="AE16" s="22">
        <v>15</v>
      </c>
      <c r="AF16" s="22"/>
      <c r="AG16" s="22" t="str">
        <f>IFERROR(VLOOKUP(TblFeedFile[[#This Row],[Leave Type ]],LkupPayType[],2,FALSE),"TBD")</f>
        <v>Paid</v>
      </c>
      <c r="AH16" s="22"/>
      <c r="AI16" s="25"/>
      <c r="AJ16" s="25"/>
      <c r="AK16" s="26" t="s">
        <v>35</v>
      </c>
    </row>
    <row r="17" spans="1:37" x14ac:dyDescent="0.25">
      <c r="A17" s="21" t="s">
        <v>29</v>
      </c>
      <c r="B17" s="22">
        <v>314304</v>
      </c>
      <c r="C17" s="22">
        <v>10211451</v>
      </c>
      <c r="D17" s="23">
        <v>501702088308</v>
      </c>
      <c r="E17" s="22" t="s">
        <v>304</v>
      </c>
      <c r="F17" s="22" t="s">
        <v>2079</v>
      </c>
      <c r="G17" s="22">
        <v>20170208</v>
      </c>
      <c r="H17" s="22">
        <v>20170409</v>
      </c>
      <c r="I17" s="22" t="s">
        <v>40</v>
      </c>
      <c r="J17" s="22"/>
      <c r="K17" s="22"/>
      <c r="L17" s="22" t="s">
        <v>34</v>
      </c>
      <c r="M17" s="22" t="s">
        <v>34</v>
      </c>
      <c r="N17" s="22" t="s">
        <v>35</v>
      </c>
      <c r="O17" s="22" t="s">
        <v>35</v>
      </c>
      <c r="P17" s="22" t="s">
        <v>35</v>
      </c>
      <c r="Q17" s="22" t="s">
        <v>35</v>
      </c>
      <c r="R17" s="22" t="s">
        <v>35</v>
      </c>
      <c r="S17" s="22" t="s">
        <v>34</v>
      </c>
      <c r="T17" s="22"/>
      <c r="U17" s="22"/>
      <c r="V17" s="22"/>
      <c r="W17" s="22"/>
      <c r="X17" s="22"/>
      <c r="Y17" s="22"/>
      <c r="Z17" s="22"/>
      <c r="AA17" s="22"/>
      <c r="AB17" s="22"/>
      <c r="AC17" s="22" t="s">
        <v>1922</v>
      </c>
      <c r="AD17" s="22">
        <v>20170413</v>
      </c>
      <c r="AE17" s="22">
        <v>16</v>
      </c>
      <c r="AF17" s="22"/>
      <c r="AG17" s="22" t="str">
        <f>IFERROR(VLOOKUP(TblFeedFile[[#This Row],[Leave Type ]],LkupPayType[],2,FALSE),"TBD")</f>
        <v>Paid</v>
      </c>
      <c r="AH17" s="22"/>
      <c r="AI17" s="25"/>
      <c r="AJ17" s="25"/>
      <c r="AK17" s="26"/>
    </row>
    <row r="18" spans="1:37" x14ac:dyDescent="0.25">
      <c r="A18" s="21" t="s">
        <v>37</v>
      </c>
      <c r="B18" s="22">
        <v>314304</v>
      </c>
      <c r="C18" s="22">
        <v>10211451</v>
      </c>
      <c r="D18" s="23">
        <v>501702088308</v>
      </c>
      <c r="E18" s="22" t="s">
        <v>304</v>
      </c>
      <c r="F18" s="22" t="s">
        <v>2079</v>
      </c>
      <c r="G18" s="22">
        <v>20170208</v>
      </c>
      <c r="H18" s="22">
        <v>20170417</v>
      </c>
      <c r="I18" s="22" t="s">
        <v>40</v>
      </c>
      <c r="J18" s="22"/>
      <c r="K18" s="22"/>
      <c r="L18" s="22" t="s">
        <v>34</v>
      </c>
      <c r="M18" s="22" t="s">
        <v>34</v>
      </c>
      <c r="N18" s="22" t="s">
        <v>35</v>
      </c>
      <c r="O18" s="22" t="s">
        <v>35</v>
      </c>
      <c r="P18" s="22" t="s">
        <v>35</v>
      </c>
      <c r="Q18" s="22" t="s">
        <v>35</v>
      </c>
      <c r="R18" s="22" t="s">
        <v>35</v>
      </c>
      <c r="S18" s="22" t="s">
        <v>34</v>
      </c>
      <c r="T18" s="22"/>
      <c r="U18" s="22"/>
      <c r="V18" s="22"/>
      <c r="W18" s="22"/>
      <c r="X18" s="22"/>
      <c r="Y18" s="22"/>
      <c r="Z18" s="22"/>
      <c r="AA18" s="22"/>
      <c r="AB18" s="22"/>
      <c r="AC18" s="22" t="s">
        <v>1922</v>
      </c>
      <c r="AD18" s="22">
        <v>20170413</v>
      </c>
      <c r="AE18" s="22">
        <v>17</v>
      </c>
      <c r="AF18" s="22"/>
      <c r="AG18" s="22" t="str">
        <f>IFERROR(VLOOKUP(TblFeedFile[[#This Row],[Leave Type ]],LkupPayType[],2,FALSE),"TBD")</f>
        <v>Paid</v>
      </c>
      <c r="AH18" s="22"/>
      <c r="AI18" s="25"/>
      <c r="AJ18" s="25"/>
      <c r="AK18" s="26"/>
    </row>
    <row r="19" spans="1:37" x14ac:dyDescent="0.25">
      <c r="A19" s="21" t="s">
        <v>37</v>
      </c>
      <c r="B19" s="22">
        <v>314304</v>
      </c>
      <c r="C19" s="22">
        <v>10211451</v>
      </c>
      <c r="D19" s="23">
        <v>501702088308</v>
      </c>
      <c r="E19" s="22" t="s">
        <v>304</v>
      </c>
      <c r="F19" s="22" t="s">
        <v>2079</v>
      </c>
      <c r="G19" s="22">
        <v>20170405</v>
      </c>
      <c r="H19" s="22">
        <v>20170417</v>
      </c>
      <c r="I19" s="22" t="s">
        <v>1892</v>
      </c>
      <c r="J19" s="22"/>
      <c r="K19" s="22"/>
      <c r="L19" s="22" t="s">
        <v>34</v>
      </c>
      <c r="M19" s="22" t="s">
        <v>34</v>
      </c>
      <c r="N19" s="22" t="s">
        <v>35</v>
      </c>
      <c r="O19" s="22" t="s">
        <v>35</v>
      </c>
      <c r="P19" s="22" t="s">
        <v>35</v>
      </c>
      <c r="Q19" s="22" t="s">
        <v>35</v>
      </c>
      <c r="R19" s="22" t="s">
        <v>35</v>
      </c>
      <c r="S19" s="22" t="s">
        <v>34</v>
      </c>
      <c r="T19" s="22"/>
      <c r="U19" s="22"/>
      <c r="V19" s="22"/>
      <c r="W19" s="22"/>
      <c r="X19" s="22"/>
      <c r="Y19" s="22"/>
      <c r="Z19" s="22"/>
      <c r="AA19" s="22"/>
      <c r="AB19" s="22"/>
      <c r="AC19" s="22" t="s">
        <v>1951</v>
      </c>
      <c r="AD19" s="22">
        <v>20170413</v>
      </c>
      <c r="AE19" s="22">
        <v>18</v>
      </c>
      <c r="AF19" s="22"/>
      <c r="AG19" s="22" t="str">
        <f>IFERROR(VLOOKUP(TblFeedFile[[#This Row],[Leave Type ]],LkupPayType[],2,FALSE),"TBD")</f>
        <v>Paid</v>
      </c>
      <c r="AH19" s="22"/>
      <c r="AI19" s="25"/>
      <c r="AJ19" s="25"/>
      <c r="AK19" s="26"/>
    </row>
    <row r="20" spans="1:37" x14ac:dyDescent="0.25">
      <c r="A20" s="21" t="s">
        <v>29</v>
      </c>
      <c r="B20" s="22">
        <v>314304</v>
      </c>
      <c r="C20" s="22">
        <v>10236605</v>
      </c>
      <c r="D20" s="23">
        <v>511703088241</v>
      </c>
      <c r="E20" s="22" t="s">
        <v>2080</v>
      </c>
      <c r="F20" s="22" t="s">
        <v>2081</v>
      </c>
      <c r="G20" s="22">
        <v>20170302</v>
      </c>
      <c r="H20" s="22">
        <v>20170302</v>
      </c>
      <c r="I20" s="22" t="s">
        <v>43</v>
      </c>
      <c r="J20" s="22"/>
      <c r="K20" s="22"/>
      <c r="L20" s="22" t="s">
        <v>34</v>
      </c>
      <c r="M20" s="22" t="s">
        <v>34</v>
      </c>
      <c r="N20" s="22" t="s">
        <v>35</v>
      </c>
      <c r="O20" s="22" t="s">
        <v>35</v>
      </c>
      <c r="P20" s="22" t="s">
        <v>35</v>
      </c>
      <c r="Q20" s="22" t="s">
        <v>35</v>
      </c>
      <c r="R20" s="22" t="s">
        <v>35</v>
      </c>
      <c r="S20" s="22" t="s">
        <v>34</v>
      </c>
      <c r="T20" s="22"/>
      <c r="U20" s="22"/>
      <c r="V20" s="22"/>
      <c r="W20" s="22"/>
      <c r="X20" s="22"/>
      <c r="Y20" s="22"/>
      <c r="Z20" s="22"/>
      <c r="AA20" s="22"/>
      <c r="AB20" s="22"/>
      <c r="AC20" s="22" t="s">
        <v>1920</v>
      </c>
      <c r="AD20" s="22">
        <v>20170413</v>
      </c>
      <c r="AE20" s="22">
        <v>19</v>
      </c>
      <c r="AF20" s="22"/>
      <c r="AG20" s="22" t="str">
        <f>IFERROR(VLOOKUP(TblFeedFile[[#This Row],[Leave Type ]],LkupPayType[],2,FALSE),"TBD")</f>
        <v>Denied</v>
      </c>
      <c r="AH20" s="22"/>
      <c r="AI20" s="25"/>
      <c r="AJ20" s="25"/>
      <c r="AK20" s="26"/>
    </row>
    <row r="21" spans="1:37" x14ac:dyDescent="0.25">
      <c r="A21" s="21" t="s">
        <v>37</v>
      </c>
      <c r="B21" s="22">
        <v>314304</v>
      </c>
      <c r="C21" s="22">
        <v>10236605</v>
      </c>
      <c r="D21" s="23" t="s">
        <v>2082</v>
      </c>
      <c r="E21" s="22" t="s">
        <v>2080</v>
      </c>
      <c r="F21" s="22" t="s">
        <v>2081</v>
      </c>
      <c r="G21" s="22">
        <v>20170302</v>
      </c>
      <c r="H21" s="22">
        <v>20170302</v>
      </c>
      <c r="I21" s="22" t="s">
        <v>33</v>
      </c>
      <c r="J21" s="22"/>
      <c r="K21" s="22"/>
      <c r="L21" s="22" t="s">
        <v>34</v>
      </c>
      <c r="M21" s="22" t="s">
        <v>34</v>
      </c>
      <c r="N21" s="22" t="s">
        <v>35</v>
      </c>
      <c r="O21" s="22" t="s">
        <v>35</v>
      </c>
      <c r="P21" s="22" t="s">
        <v>35</v>
      </c>
      <c r="Q21" s="22" t="s">
        <v>35</v>
      </c>
      <c r="R21" s="22" t="s">
        <v>35</v>
      </c>
      <c r="S21" s="22" t="s">
        <v>34</v>
      </c>
      <c r="T21" s="22"/>
      <c r="U21" s="22"/>
      <c r="V21" s="22"/>
      <c r="W21" s="22"/>
      <c r="X21" s="22"/>
      <c r="Y21" s="22"/>
      <c r="Z21" s="22"/>
      <c r="AA21" s="22"/>
      <c r="AB21" s="22"/>
      <c r="AC21" s="22" t="s">
        <v>1920</v>
      </c>
      <c r="AD21" s="22">
        <v>20170413</v>
      </c>
      <c r="AE21" s="22">
        <v>20</v>
      </c>
      <c r="AF21" s="22"/>
      <c r="AG21" s="22" t="str">
        <f>IFERROR(VLOOKUP(TblFeedFile[[#This Row],[Leave Type ]],LkupPayType[],2,FALSE),"TBD")</f>
        <v>Closed</v>
      </c>
      <c r="AH21" s="22"/>
      <c r="AI21" s="25"/>
      <c r="AJ21" s="25"/>
      <c r="AK21" s="26"/>
    </row>
    <row r="22" spans="1:37" x14ac:dyDescent="0.25">
      <c r="A22" s="21" t="s">
        <v>37</v>
      </c>
      <c r="B22" s="22">
        <v>314304</v>
      </c>
      <c r="C22" s="22">
        <v>10236605</v>
      </c>
      <c r="D22" s="23">
        <v>511703088241</v>
      </c>
      <c r="E22" s="22" t="s">
        <v>2080</v>
      </c>
      <c r="F22" s="22" t="s">
        <v>2081</v>
      </c>
      <c r="G22" s="22">
        <v>20170302</v>
      </c>
      <c r="H22" s="22">
        <v>20170417</v>
      </c>
      <c r="I22" s="22" t="s">
        <v>53</v>
      </c>
      <c r="J22" s="22"/>
      <c r="K22" s="22"/>
      <c r="L22" s="22" t="s">
        <v>34</v>
      </c>
      <c r="M22" s="22" t="s">
        <v>34</v>
      </c>
      <c r="N22" s="22" t="s">
        <v>35</v>
      </c>
      <c r="O22" s="22" t="s">
        <v>35</v>
      </c>
      <c r="P22" s="22" t="s">
        <v>35</v>
      </c>
      <c r="Q22" s="22" t="s">
        <v>35</v>
      </c>
      <c r="R22" s="22" t="s">
        <v>35</v>
      </c>
      <c r="S22" s="22" t="s">
        <v>34</v>
      </c>
      <c r="T22" s="22"/>
      <c r="U22" s="22"/>
      <c r="V22" s="22"/>
      <c r="W22" s="22"/>
      <c r="X22" s="22"/>
      <c r="Y22" s="22"/>
      <c r="Z22" s="22"/>
      <c r="AA22" s="22"/>
      <c r="AB22" s="22"/>
      <c r="AC22" s="22" t="s">
        <v>1923</v>
      </c>
      <c r="AD22" s="22">
        <v>20170413</v>
      </c>
      <c r="AE22" s="22">
        <v>21</v>
      </c>
      <c r="AF22" s="22"/>
      <c r="AG22" s="22" t="str">
        <f>IFERROR(VLOOKUP(TblFeedFile[[#This Row],[Leave Type ]],LkupPayType[],2,FALSE),"TBD")</f>
        <v>Paid</v>
      </c>
      <c r="AH22" s="22"/>
      <c r="AI22" s="25"/>
      <c r="AJ22" s="25"/>
      <c r="AK22" s="26"/>
    </row>
    <row r="23" spans="1:37" x14ac:dyDescent="0.25">
      <c r="A23" s="21" t="s">
        <v>37</v>
      </c>
      <c r="B23" s="22">
        <v>314304</v>
      </c>
      <c r="C23" s="22">
        <v>10236605</v>
      </c>
      <c r="D23" s="23" t="s">
        <v>2082</v>
      </c>
      <c r="E23" s="22" t="s">
        <v>2080</v>
      </c>
      <c r="F23" s="22" t="s">
        <v>2081</v>
      </c>
      <c r="G23" s="22">
        <v>20170309</v>
      </c>
      <c r="H23" s="22">
        <v>20170417</v>
      </c>
      <c r="I23" s="22" t="s">
        <v>36</v>
      </c>
      <c r="J23" s="22"/>
      <c r="K23" s="22"/>
      <c r="L23" s="22" t="s">
        <v>34</v>
      </c>
      <c r="M23" s="22" t="s">
        <v>34</v>
      </c>
      <c r="N23" s="22" t="s">
        <v>35</v>
      </c>
      <c r="O23" s="22" t="s">
        <v>35</v>
      </c>
      <c r="P23" s="22" t="s">
        <v>35</v>
      </c>
      <c r="Q23" s="22" t="s">
        <v>35</v>
      </c>
      <c r="R23" s="22" t="s">
        <v>35</v>
      </c>
      <c r="S23" s="22" t="s">
        <v>34</v>
      </c>
      <c r="T23" s="22"/>
      <c r="U23" s="22"/>
      <c r="V23" s="22"/>
      <c r="W23" s="22"/>
      <c r="X23" s="22"/>
      <c r="Y23" s="22"/>
      <c r="Z23" s="22"/>
      <c r="AA23" s="22"/>
      <c r="AB23" s="22"/>
      <c r="AC23" s="22" t="s">
        <v>1905</v>
      </c>
      <c r="AD23" s="22">
        <v>20170413</v>
      </c>
      <c r="AE23" s="22">
        <v>22</v>
      </c>
      <c r="AF23" s="22"/>
      <c r="AG23" s="22" t="str">
        <f>IFERROR(VLOOKUP(TblFeedFile[[#This Row],[Leave Type ]],LkupPayType[],2,FALSE),"TBD")</f>
        <v>Unpaid</v>
      </c>
      <c r="AH23" s="22"/>
      <c r="AI23" s="25"/>
      <c r="AJ23" s="25"/>
      <c r="AK23" s="26"/>
    </row>
    <row r="24" spans="1:37" x14ac:dyDescent="0.25">
      <c r="A24" s="21" t="s">
        <v>37</v>
      </c>
      <c r="B24" s="22">
        <v>314301</v>
      </c>
      <c r="C24" s="22">
        <v>10240162</v>
      </c>
      <c r="D24" s="23">
        <v>501704048890</v>
      </c>
      <c r="E24" s="22" t="s">
        <v>1930</v>
      </c>
      <c r="F24" s="22" t="s">
        <v>263</v>
      </c>
      <c r="G24" s="22">
        <v>20170407</v>
      </c>
      <c r="H24" s="22">
        <v>20170514</v>
      </c>
      <c r="I24" s="22" t="s">
        <v>40</v>
      </c>
      <c r="J24" s="22"/>
      <c r="K24" s="22"/>
      <c r="L24" s="22" t="s">
        <v>34</v>
      </c>
      <c r="M24" s="22" t="s">
        <v>34</v>
      </c>
      <c r="N24" s="22" t="s">
        <v>35</v>
      </c>
      <c r="O24" s="22" t="s">
        <v>35</v>
      </c>
      <c r="P24" s="22" t="s">
        <v>35</v>
      </c>
      <c r="Q24" s="22" t="s">
        <v>35</v>
      </c>
      <c r="R24" s="22" t="s">
        <v>35</v>
      </c>
      <c r="S24" s="22" t="s">
        <v>34</v>
      </c>
      <c r="T24" s="22"/>
      <c r="U24" s="22"/>
      <c r="V24" s="22"/>
      <c r="W24" s="22"/>
      <c r="X24" s="22"/>
      <c r="Y24" s="22"/>
      <c r="Z24" s="22"/>
      <c r="AA24" s="22"/>
      <c r="AB24" s="22"/>
      <c r="AC24" s="22" t="s">
        <v>1908</v>
      </c>
      <c r="AD24" s="22">
        <v>20170413</v>
      </c>
      <c r="AE24" s="22">
        <v>23</v>
      </c>
      <c r="AF24" s="22"/>
      <c r="AG24" s="22" t="str">
        <f>IFERROR(VLOOKUP(TblFeedFile[[#This Row],[Leave Type ]],LkupPayType[],2,FALSE),"TBD")</f>
        <v>Paid</v>
      </c>
      <c r="AH24" s="22"/>
      <c r="AI24" s="25"/>
      <c r="AJ24" s="25"/>
      <c r="AK24" s="26"/>
    </row>
    <row r="25" spans="1:37" x14ac:dyDescent="0.25">
      <c r="A25" s="21" t="s">
        <v>37</v>
      </c>
      <c r="B25" s="22">
        <v>314304</v>
      </c>
      <c r="C25" s="22">
        <v>10241134</v>
      </c>
      <c r="D25" s="23">
        <v>511703228821</v>
      </c>
      <c r="E25" s="22" t="s">
        <v>2083</v>
      </c>
      <c r="F25" s="22" t="s">
        <v>2084</v>
      </c>
      <c r="G25" s="22">
        <v>20170321</v>
      </c>
      <c r="H25" s="22">
        <v>20170416</v>
      </c>
      <c r="I25" s="22" t="s">
        <v>40</v>
      </c>
      <c r="J25" s="22"/>
      <c r="K25" s="22"/>
      <c r="L25" s="22" t="s">
        <v>34</v>
      </c>
      <c r="M25" s="22" t="s">
        <v>34</v>
      </c>
      <c r="N25" s="22" t="s">
        <v>35</v>
      </c>
      <c r="O25" s="22" t="s">
        <v>35</v>
      </c>
      <c r="P25" s="22" t="s">
        <v>35</v>
      </c>
      <c r="Q25" s="22" t="s">
        <v>35</v>
      </c>
      <c r="R25" s="22" t="s">
        <v>35</v>
      </c>
      <c r="S25" s="22" t="s">
        <v>34</v>
      </c>
      <c r="T25" s="22">
        <v>20170417</v>
      </c>
      <c r="U25" s="22"/>
      <c r="V25" s="22"/>
      <c r="W25" s="22"/>
      <c r="X25" s="22"/>
      <c r="Y25" s="22"/>
      <c r="Z25" s="22"/>
      <c r="AA25" s="22"/>
      <c r="AB25" s="22"/>
      <c r="AC25" s="22" t="s">
        <v>1904</v>
      </c>
      <c r="AD25" s="22">
        <v>20170413</v>
      </c>
      <c r="AE25" s="22">
        <v>24</v>
      </c>
      <c r="AF25" s="22"/>
      <c r="AG25" s="22" t="str">
        <f>IFERROR(VLOOKUP(TblFeedFile[[#This Row],[Leave Type ]],LkupPayType[],2,FALSE),"TBD")</f>
        <v>Paid</v>
      </c>
      <c r="AH25" s="22"/>
      <c r="AI25" s="25"/>
      <c r="AJ25" s="25"/>
      <c r="AK25" s="26" t="s">
        <v>35</v>
      </c>
    </row>
    <row r="26" spans="1:37" x14ac:dyDescent="0.25">
      <c r="A26" s="21" t="s">
        <v>37</v>
      </c>
      <c r="B26" s="22">
        <v>314304</v>
      </c>
      <c r="C26" s="22">
        <v>10251903</v>
      </c>
      <c r="D26" s="23">
        <v>521702218372</v>
      </c>
      <c r="E26" s="22" t="s">
        <v>119</v>
      </c>
      <c r="F26" s="22" t="s">
        <v>2085</v>
      </c>
      <c r="G26" s="22">
        <v>20170413</v>
      </c>
      <c r="H26" s="22">
        <v>20170503</v>
      </c>
      <c r="I26" s="22" t="s">
        <v>1892</v>
      </c>
      <c r="J26" s="22"/>
      <c r="K26" s="22"/>
      <c r="L26" s="22" t="s">
        <v>34</v>
      </c>
      <c r="M26" s="22" t="s">
        <v>34</v>
      </c>
      <c r="N26" s="22" t="s">
        <v>35</v>
      </c>
      <c r="O26" s="22" t="s">
        <v>35</v>
      </c>
      <c r="P26" s="22" t="s">
        <v>35</v>
      </c>
      <c r="Q26" s="22" t="s">
        <v>35</v>
      </c>
      <c r="R26" s="22" t="s">
        <v>35</v>
      </c>
      <c r="S26" s="22" t="s">
        <v>34</v>
      </c>
      <c r="T26" s="22"/>
      <c r="U26" s="22"/>
      <c r="V26" s="22"/>
      <c r="W26" s="22"/>
      <c r="X26" s="22"/>
      <c r="Y26" s="22"/>
      <c r="Z26" s="22"/>
      <c r="AA26" s="22"/>
      <c r="AB26" s="22"/>
      <c r="AC26" s="22" t="s">
        <v>1951</v>
      </c>
      <c r="AD26" s="22">
        <v>20170413</v>
      </c>
      <c r="AE26" s="22">
        <v>25</v>
      </c>
      <c r="AF26" s="22"/>
      <c r="AG26" s="22" t="str">
        <f>IFERROR(VLOOKUP(TblFeedFile[[#This Row],[Leave Type ]],LkupPayType[],2,FALSE),"TBD")</f>
        <v>Paid</v>
      </c>
      <c r="AH26" s="22"/>
      <c r="AI26" s="25"/>
      <c r="AJ26" s="25"/>
      <c r="AK26" s="26"/>
    </row>
    <row r="27" spans="1:37" x14ac:dyDescent="0.25">
      <c r="A27" s="21" t="s">
        <v>37</v>
      </c>
      <c r="B27" s="22">
        <v>314301</v>
      </c>
      <c r="C27" s="22">
        <v>10254646</v>
      </c>
      <c r="D27" s="23">
        <v>551703228815</v>
      </c>
      <c r="E27" s="22" t="s">
        <v>2086</v>
      </c>
      <c r="F27" s="22" t="s">
        <v>88</v>
      </c>
      <c r="G27" s="22">
        <v>20170412</v>
      </c>
      <c r="H27" s="22">
        <v>20170610</v>
      </c>
      <c r="I27" s="22" t="s">
        <v>53</v>
      </c>
      <c r="J27" s="22"/>
      <c r="K27" s="22"/>
      <c r="L27" s="22" t="s">
        <v>34</v>
      </c>
      <c r="M27" s="22" t="s">
        <v>34</v>
      </c>
      <c r="N27" s="22" t="s">
        <v>35</v>
      </c>
      <c r="O27" s="22" t="s">
        <v>35</v>
      </c>
      <c r="P27" s="22" t="s">
        <v>35</v>
      </c>
      <c r="Q27" s="22" t="s">
        <v>35</v>
      </c>
      <c r="R27" s="22" t="s">
        <v>35</v>
      </c>
      <c r="S27" s="22" t="s">
        <v>34</v>
      </c>
      <c r="T27" s="22"/>
      <c r="U27" s="22"/>
      <c r="V27" s="22"/>
      <c r="W27" s="22"/>
      <c r="X27" s="22"/>
      <c r="Y27" s="22"/>
      <c r="Z27" s="22"/>
      <c r="AA27" s="22"/>
      <c r="AB27" s="22"/>
      <c r="AC27" s="22" t="s">
        <v>1900</v>
      </c>
      <c r="AD27" s="22">
        <v>20170413</v>
      </c>
      <c r="AE27" s="22">
        <v>26</v>
      </c>
      <c r="AF27" s="22"/>
      <c r="AG27" s="22" t="str">
        <f>IFERROR(VLOOKUP(TblFeedFile[[#This Row],[Leave Type ]],LkupPayType[],2,FALSE),"TBD")</f>
        <v>Paid</v>
      </c>
      <c r="AH27" s="22"/>
      <c r="AI27" s="25"/>
      <c r="AJ27" s="25"/>
      <c r="AK27" s="26"/>
    </row>
    <row r="28" spans="1:37" x14ac:dyDescent="0.25">
      <c r="A28" s="21" t="s">
        <v>29</v>
      </c>
      <c r="B28" s="22">
        <v>314304</v>
      </c>
      <c r="C28" s="22">
        <v>10257969</v>
      </c>
      <c r="D28" s="23" t="s">
        <v>2087</v>
      </c>
      <c r="E28" s="22" t="s">
        <v>959</v>
      </c>
      <c r="F28" s="22" t="s">
        <v>2088</v>
      </c>
      <c r="G28" s="22">
        <v>20170317</v>
      </c>
      <c r="H28" s="22">
        <v>20170321</v>
      </c>
      <c r="I28" s="22" t="s">
        <v>49</v>
      </c>
      <c r="J28" s="22"/>
      <c r="K28" s="22"/>
      <c r="L28" s="22" t="s">
        <v>34</v>
      </c>
      <c r="M28" s="22" t="s">
        <v>34</v>
      </c>
      <c r="N28" s="22" t="s">
        <v>35</v>
      </c>
      <c r="O28" s="22" t="s">
        <v>35</v>
      </c>
      <c r="P28" s="22" t="s">
        <v>35</v>
      </c>
      <c r="Q28" s="22" t="s">
        <v>35</v>
      </c>
      <c r="R28" s="22" t="s">
        <v>35</v>
      </c>
      <c r="S28" s="22" t="s">
        <v>34</v>
      </c>
      <c r="T28" s="22">
        <v>20170322</v>
      </c>
      <c r="U28" s="22"/>
      <c r="V28" s="22"/>
      <c r="W28" s="22"/>
      <c r="X28" s="22"/>
      <c r="Y28" s="22"/>
      <c r="Z28" s="22"/>
      <c r="AA28" s="22"/>
      <c r="AB28" s="22"/>
      <c r="AC28" s="22" t="s">
        <v>1908</v>
      </c>
      <c r="AD28" s="22">
        <v>20170413</v>
      </c>
      <c r="AE28" s="22">
        <v>27</v>
      </c>
      <c r="AF28" s="22"/>
      <c r="AG28" s="22" t="str">
        <f>IFERROR(VLOOKUP(TblFeedFile[[#This Row],[Leave Type ]],LkupPayType[],2,FALSE),"TBD")</f>
        <v>Unpaid</v>
      </c>
      <c r="AH28" s="22"/>
      <c r="AI28" s="25"/>
      <c r="AJ28" s="25"/>
      <c r="AK28" s="26"/>
    </row>
    <row r="29" spans="1:37" x14ac:dyDescent="0.25">
      <c r="A29" s="21" t="s">
        <v>37</v>
      </c>
      <c r="B29" s="22">
        <v>314304</v>
      </c>
      <c r="C29" s="22">
        <v>10257969</v>
      </c>
      <c r="D29" s="23" t="s">
        <v>2087</v>
      </c>
      <c r="E29" s="22" t="s">
        <v>959</v>
      </c>
      <c r="F29" s="22" t="s">
        <v>2088</v>
      </c>
      <c r="G29" s="22">
        <v>20170317</v>
      </c>
      <c r="H29" s="22">
        <v>20170317</v>
      </c>
      <c r="I29" s="22" t="s">
        <v>43</v>
      </c>
      <c r="J29" s="22"/>
      <c r="K29" s="22"/>
      <c r="L29" s="22" t="s">
        <v>34</v>
      </c>
      <c r="M29" s="22" t="s">
        <v>34</v>
      </c>
      <c r="N29" s="22" t="s">
        <v>35</v>
      </c>
      <c r="O29" s="22" t="s">
        <v>35</v>
      </c>
      <c r="P29" s="22" t="s">
        <v>35</v>
      </c>
      <c r="Q29" s="22" t="s">
        <v>35</v>
      </c>
      <c r="R29" s="22" t="s">
        <v>35</v>
      </c>
      <c r="S29" s="22" t="s">
        <v>34</v>
      </c>
      <c r="T29" s="22"/>
      <c r="U29" s="22"/>
      <c r="V29" s="22"/>
      <c r="W29" s="22"/>
      <c r="X29" s="22"/>
      <c r="Y29" s="22"/>
      <c r="Z29" s="22"/>
      <c r="AA29" s="22"/>
      <c r="AB29" s="22"/>
      <c r="AC29" s="22" t="s">
        <v>1907</v>
      </c>
      <c r="AD29" s="22">
        <v>20170413</v>
      </c>
      <c r="AE29" s="22">
        <v>28</v>
      </c>
      <c r="AF29" s="22"/>
      <c r="AG29" s="22" t="str">
        <f>IFERROR(VLOOKUP(TblFeedFile[[#This Row],[Leave Type ]],LkupPayType[],2,FALSE),"TBD")</f>
        <v>Denied</v>
      </c>
      <c r="AH29" s="22"/>
      <c r="AI29" s="25"/>
      <c r="AJ29" s="25"/>
      <c r="AK29" s="26"/>
    </row>
    <row r="30" spans="1:37" x14ac:dyDescent="0.25">
      <c r="A30" s="21" t="s">
        <v>37</v>
      </c>
      <c r="B30" s="22">
        <v>314304</v>
      </c>
      <c r="C30" s="22">
        <v>10298372</v>
      </c>
      <c r="D30" s="23">
        <v>501704128630</v>
      </c>
      <c r="E30" s="22" t="s">
        <v>2089</v>
      </c>
      <c r="F30" s="22" t="s">
        <v>2090</v>
      </c>
      <c r="G30" s="22">
        <v>20170413</v>
      </c>
      <c r="H30" s="22">
        <v>20170513</v>
      </c>
      <c r="I30" s="22" t="s">
        <v>53</v>
      </c>
      <c r="J30" s="22"/>
      <c r="K30" s="22"/>
      <c r="L30" s="22" t="s">
        <v>34</v>
      </c>
      <c r="M30" s="22" t="s">
        <v>34</v>
      </c>
      <c r="N30" s="22" t="s">
        <v>35</v>
      </c>
      <c r="O30" s="22" t="s">
        <v>35</v>
      </c>
      <c r="P30" s="22" t="s">
        <v>35</v>
      </c>
      <c r="Q30" s="22" t="s">
        <v>35</v>
      </c>
      <c r="R30" s="22" t="s">
        <v>35</v>
      </c>
      <c r="S30" s="22" t="s">
        <v>34</v>
      </c>
      <c r="T30" s="22"/>
      <c r="U30" s="22"/>
      <c r="V30" s="22"/>
      <c r="W30" s="22"/>
      <c r="X30" s="22"/>
      <c r="Y30" s="22"/>
      <c r="Z30" s="22"/>
      <c r="AA30" s="22"/>
      <c r="AB30" s="22"/>
      <c r="AC30" s="22" t="s">
        <v>1923</v>
      </c>
      <c r="AD30" s="22">
        <v>20170413</v>
      </c>
      <c r="AE30" s="22">
        <v>29</v>
      </c>
      <c r="AF30" s="22"/>
      <c r="AG30" s="22" t="str">
        <f>IFERROR(VLOOKUP(TblFeedFile[[#This Row],[Leave Type ]],LkupPayType[],2,FALSE),"TBD")</f>
        <v>Paid</v>
      </c>
      <c r="AH30" s="22"/>
      <c r="AI30" s="25"/>
      <c r="AJ30" s="25"/>
      <c r="AK30" s="26"/>
    </row>
    <row r="31" spans="1:37" x14ac:dyDescent="0.25">
      <c r="A31" s="21" t="s">
        <v>37</v>
      </c>
      <c r="B31" s="22">
        <v>314304</v>
      </c>
      <c r="C31" s="22">
        <v>10300067</v>
      </c>
      <c r="D31" s="23">
        <v>541702278354</v>
      </c>
      <c r="E31" s="22" t="s">
        <v>1906</v>
      </c>
      <c r="F31" s="22" t="s">
        <v>2091</v>
      </c>
      <c r="G31" s="22">
        <v>20170404</v>
      </c>
      <c r="H31" s="22">
        <v>20170529</v>
      </c>
      <c r="I31" s="22" t="s">
        <v>53</v>
      </c>
      <c r="J31" s="22"/>
      <c r="K31" s="22"/>
      <c r="L31" s="22" t="s">
        <v>34</v>
      </c>
      <c r="M31" s="22" t="s">
        <v>34</v>
      </c>
      <c r="N31" s="22" t="s">
        <v>35</v>
      </c>
      <c r="O31" s="22" t="s">
        <v>35</v>
      </c>
      <c r="P31" s="22" t="s">
        <v>35</v>
      </c>
      <c r="Q31" s="22" t="s">
        <v>35</v>
      </c>
      <c r="R31" s="22" t="s">
        <v>35</v>
      </c>
      <c r="S31" s="22" t="s">
        <v>34</v>
      </c>
      <c r="T31" s="22"/>
      <c r="U31" s="22"/>
      <c r="V31" s="22"/>
      <c r="W31" s="22"/>
      <c r="X31" s="22"/>
      <c r="Y31" s="22"/>
      <c r="Z31" s="22"/>
      <c r="AA31" s="22"/>
      <c r="AB31" s="22"/>
      <c r="AC31" s="22" t="s">
        <v>1912</v>
      </c>
      <c r="AD31" s="22">
        <v>20170413</v>
      </c>
      <c r="AE31" s="22">
        <v>30</v>
      </c>
      <c r="AF31" s="22"/>
      <c r="AG31" s="22" t="str">
        <f>IFERROR(VLOOKUP(TblFeedFile[[#This Row],[Leave Type ]],LkupPayType[],2,FALSE),"TBD")</f>
        <v>Paid</v>
      </c>
      <c r="AH31" s="22"/>
      <c r="AI31" s="25"/>
      <c r="AJ31" s="25"/>
      <c r="AK31" s="26"/>
    </row>
    <row r="32" spans="1:37" x14ac:dyDescent="0.25">
      <c r="A32" s="21" t="s">
        <v>29</v>
      </c>
      <c r="B32" s="22">
        <v>314304</v>
      </c>
      <c r="C32" s="22">
        <v>10303823</v>
      </c>
      <c r="D32" s="23" t="s">
        <v>2092</v>
      </c>
      <c r="E32" s="22" t="s">
        <v>2093</v>
      </c>
      <c r="F32" s="22" t="s">
        <v>1536</v>
      </c>
      <c r="G32" s="22">
        <v>20170320</v>
      </c>
      <c r="H32" s="22">
        <v>20170319</v>
      </c>
      <c r="I32" s="22" t="s">
        <v>36</v>
      </c>
      <c r="J32" s="22"/>
      <c r="K32" s="22"/>
      <c r="L32" s="22" t="s">
        <v>34</v>
      </c>
      <c r="M32" s="22" t="s">
        <v>34</v>
      </c>
      <c r="N32" s="22" t="s">
        <v>35</v>
      </c>
      <c r="O32" s="22" t="s">
        <v>35</v>
      </c>
      <c r="P32" s="22" t="s">
        <v>35</v>
      </c>
      <c r="Q32" s="22" t="s">
        <v>35</v>
      </c>
      <c r="R32" s="22" t="s">
        <v>35</v>
      </c>
      <c r="S32" s="22" t="s">
        <v>34</v>
      </c>
      <c r="T32" s="22"/>
      <c r="U32" s="22"/>
      <c r="V32" s="22"/>
      <c r="W32" s="22"/>
      <c r="X32" s="22"/>
      <c r="Y32" s="22"/>
      <c r="Z32" s="22"/>
      <c r="AA32" s="22"/>
      <c r="AB32" s="22"/>
      <c r="AC32" s="22" t="s">
        <v>1918</v>
      </c>
      <c r="AD32" s="22">
        <v>20170413</v>
      </c>
      <c r="AE32" s="22">
        <v>31</v>
      </c>
      <c r="AF32" s="22"/>
      <c r="AG32" s="22" t="str">
        <f>IFERROR(VLOOKUP(TblFeedFile[[#This Row],[Leave Type ]],LkupPayType[],2,FALSE),"TBD")</f>
        <v>Unpaid</v>
      </c>
      <c r="AH32" s="22"/>
      <c r="AI32" s="25"/>
      <c r="AJ32" s="25"/>
      <c r="AK32" s="26"/>
    </row>
    <row r="33" spans="1:37" x14ac:dyDescent="0.25">
      <c r="A33" s="21" t="s">
        <v>29</v>
      </c>
      <c r="B33" s="22">
        <v>314304</v>
      </c>
      <c r="C33" s="22">
        <v>10303823</v>
      </c>
      <c r="D33" s="23" t="s">
        <v>2092</v>
      </c>
      <c r="E33" s="22" t="s">
        <v>2093</v>
      </c>
      <c r="F33" s="22" t="s">
        <v>1536</v>
      </c>
      <c r="G33" s="22">
        <v>20170320</v>
      </c>
      <c r="H33" s="22">
        <v>20170320</v>
      </c>
      <c r="I33" s="22" t="s">
        <v>33</v>
      </c>
      <c r="J33" s="22"/>
      <c r="K33" s="22"/>
      <c r="L33" s="22" t="s">
        <v>34</v>
      </c>
      <c r="M33" s="22" t="s">
        <v>34</v>
      </c>
      <c r="N33" s="22" t="s">
        <v>35</v>
      </c>
      <c r="O33" s="22" t="s">
        <v>35</v>
      </c>
      <c r="P33" s="22" t="s">
        <v>35</v>
      </c>
      <c r="Q33" s="22" t="s">
        <v>35</v>
      </c>
      <c r="R33" s="22" t="s">
        <v>35</v>
      </c>
      <c r="S33" s="22" t="s">
        <v>34</v>
      </c>
      <c r="T33" s="22"/>
      <c r="U33" s="22"/>
      <c r="V33" s="22"/>
      <c r="W33" s="22"/>
      <c r="X33" s="22"/>
      <c r="Y33" s="22"/>
      <c r="Z33" s="22"/>
      <c r="AA33" s="22"/>
      <c r="AB33" s="22"/>
      <c r="AC33" s="22" t="s">
        <v>1917</v>
      </c>
      <c r="AD33" s="22">
        <v>20170413</v>
      </c>
      <c r="AE33" s="22">
        <v>32</v>
      </c>
      <c r="AF33" s="22"/>
      <c r="AG33" s="22" t="str">
        <f>IFERROR(VLOOKUP(TblFeedFile[[#This Row],[Leave Type ]],LkupPayType[],2,FALSE),"TBD")</f>
        <v>Closed</v>
      </c>
      <c r="AH33" s="22"/>
      <c r="AI33" s="25"/>
      <c r="AJ33" s="25"/>
      <c r="AK33" s="26"/>
    </row>
    <row r="34" spans="1:37" x14ac:dyDescent="0.25">
      <c r="A34" s="21" t="s">
        <v>29</v>
      </c>
      <c r="B34" s="22">
        <v>314304</v>
      </c>
      <c r="C34" s="22">
        <v>10303823</v>
      </c>
      <c r="D34" s="23" t="s">
        <v>2092</v>
      </c>
      <c r="E34" s="22" t="s">
        <v>2093</v>
      </c>
      <c r="F34" s="22" t="s">
        <v>1536</v>
      </c>
      <c r="G34" s="22">
        <v>20170320</v>
      </c>
      <c r="H34" s="22">
        <v>20170320</v>
      </c>
      <c r="I34" s="22" t="s">
        <v>33</v>
      </c>
      <c r="J34" s="22"/>
      <c r="K34" s="22"/>
      <c r="L34" s="22" t="s">
        <v>34</v>
      </c>
      <c r="M34" s="22" t="s">
        <v>34</v>
      </c>
      <c r="N34" s="22" t="s">
        <v>35</v>
      </c>
      <c r="O34" s="22" t="s">
        <v>35</v>
      </c>
      <c r="P34" s="22" t="s">
        <v>35</v>
      </c>
      <c r="Q34" s="22" t="s">
        <v>35</v>
      </c>
      <c r="R34" s="22" t="s">
        <v>35</v>
      </c>
      <c r="S34" s="22" t="s">
        <v>34</v>
      </c>
      <c r="T34" s="22"/>
      <c r="U34" s="22"/>
      <c r="V34" s="22"/>
      <c r="W34" s="22"/>
      <c r="X34" s="22"/>
      <c r="Y34" s="22"/>
      <c r="Z34" s="22"/>
      <c r="AA34" s="22"/>
      <c r="AB34" s="22"/>
      <c r="AC34" s="22" t="s">
        <v>1917</v>
      </c>
      <c r="AD34" s="22">
        <v>20170413</v>
      </c>
      <c r="AE34" s="22">
        <v>33</v>
      </c>
      <c r="AF34" s="22"/>
      <c r="AG34" s="22" t="str">
        <f>IFERROR(VLOOKUP(TblFeedFile[[#This Row],[Leave Type ]],LkupPayType[],2,FALSE),"TBD")</f>
        <v>Closed</v>
      </c>
      <c r="AH34" s="22"/>
      <c r="AI34" s="25"/>
      <c r="AJ34" s="25"/>
      <c r="AK34" s="26"/>
    </row>
    <row r="35" spans="1:37" x14ac:dyDescent="0.25">
      <c r="A35" s="21" t="s">
        <v>29</v>
      </c>
      <c r="B35" s="22">
        <v>314304</v>
      </c>
      <c r="C35" s="22">
        <v>10303823</v>
      </c>
      <c r="D35" s="23">
        <v>551701178095</v>
      </c>
      <c r="E35" s="22" t="s">
        <v>2093</v>
      </c>
      <c r="F35" s="22" t="s">
        <v>1536</v>
      </c>
      <c r="G35" s="22">
        <v>20170315</v>
      </c>
      <c r="H35" s="22">
        <v>20170319</v>
      </c>
      <c r="I35" s="22" t="s">
        <v>1892</v>
      </c>
      <c r="J35" s="22"/>
      <c r="K35" s="22"/>
      <c r="L35" s="22" t="s">
        <v>34</v>
      </c>
      <c r="M35" s="22" t="s">
        <v>34</v>
      </c>
      <c r="N35" s="22" t="s">
        <v>35</v>
      </c>
      <c r="O35" s="22" t="s">
        <v>35</v>
      </c>
      <c r="P35" s="22" t="s">
        <v>35</v>
      </c>
      <c r="Q35" s="22" t="s">
        <v>35</v>
      </c>
      <c r="R35" s="22" t="s">
        <v>35</v>
      </c>
      <c r="S35" s="22" t="s">
        <v>34</v>
      </c>
      <c r="T35" s="22"/>
      <c r="U35" s="22"/>
      <c r="V35" s="22"/>
      <c r="W35" s="22"/>
      <c r="X35" s="22"/>
      <c r="Y35" s="22"/>
      <c r="Z35" s="22"/>
      <c r="AA35" s="22"/>
      <c r="AB35" s="22"/>
      <c r="AC35" s="22" t="s">
        <v>1916</v>
      </c>
      <c r="AD35" s="22">
        <v>20170413</v>
      </c>
      <c r="AE35" s="22">
        <v>34</v>
      </c>
      <c r="AF35" s="22"/>
      <c r="AG35" s="22" t="str">
        <f>IFERROR(VLOOKUP(TblFeedFile[[#This Row],[Leave Type ]],LkupPayType[],2,FALSE),"TBD")</f>
        <v>Paid</v>
      </c>
      <c r="AH35" s="22"/>
      <c r="AI35" s="25"/>
      <c r="AJ35" s="25"/>
      <c r="AK35" s="26"/>
    </row>
    <row r="36" spans="1:37" x14ac:dyDescent="0.25">
      <c r="A36" s="21" t="s">
        <v>37</v>
      </c>
      <c r="B36" s="22">
        <v>314304</v>
      </c>
      <c r="C36" s="22">
        <v>10303823</v>
      </c>
      <c r="D36" s="23">
        <v>551701178095</v>
      </c>
      <c r="E36" s="22" t="s">
        <v>2093</v>
      </c>
      <c r="F36" s="22" t="s">
        <v>1536</v>
      </c>
      <c r="G36" s="22">
        <v>20170315</v>
      </c>
      <c r="H36" s="22">
        <v>20170423</v>
      </c>
      <c r="I36" s="22" t="s">
        <v>1892</v>
      </c>
      <c r="J36" s="22"/>
      <c r="K36" s="22"/>
      <c r="L36" s="22" t="s">
        <v>34</v>
      </c>
      <c r="M36" s="22" t="s">
        <v>34</v>
      </c>
      <c r="N36" s="22" t="s">
        <v>35</v>
      </c>
      <c r="O36" s="22" t="s">
        <v>35</v>
      </c>
      <c r="P36" s="22" t="s">
        <v>35</v>
      </c>
      <c r="Q36" s="22" t="s">
        <v>35</v>
      </c>
      <c r="R36" s="22" t="s">
        <v>35</v>
      </c>
      <c r="S36" s="22" t="s">
        <v>34</v>
      </c>
      <c r="T36" s="22"/>
      <c r="U36" s="22"/>
      <c r="V36" s="22"/>
      <c r="W36" s="22"/>
      <c r="X36" s="22"/>
      <c r="Y36" s="22"/>
      <c r="Z36" s="22"/>
      <c r="AA36" s="22"/>
      <c r="AB36" s="22"/>
      <c r="AC36" s="22" t="s">
        <v>1916</v>
      </c>
      <c r="AD36" s="22">
        <v>20170413</v>
      </c>
      <c r="AE36" s="22">
        <v>35</v>
      </c>
      <c r="AF36" s="22"/>
      <c r="AG36" s="22" t="str">
        <f>IFERROR(VLOOKUP(TblFeedFile[[#This Row],[Leave Type ]],LkupPayType[],2,FALSE),"TBD")</f>
        <v>Paid</v>
      </c>
      <c r="AH36" s="22"/>
      <c r="AI36" s="25" t="s">
        <v>35</v>
      </c>
      <c r="AJ36" s="25"/>
      <c r="AK36" s="26"/>
    </row>
    <row r="37" spans="1:37" x14ac:dyDescent="0.25">
      <c r="A37" s="21" t="s">
        <v>37</v>
      </c>
      <c r="B37" s="22">
        <v>314304</v>
      </c>
      <c r="C37" s="22">
        <v>10303823</v>
      </c>
      <c r="D37" s="23" t="s">
        <v>2092</v>
      </c>
      <c r="E37" s="22" t="s">
        <v>2093</v>
      </c>
      <c r="F37" s="22" t="s">
        <v>1536</v>
      </c>
      <c r="G37" s="22">
        <v>20170320</v>
      </c>
      <c r="H37" s="22">
        <v>20170423</v>
      </c>
      <c r="I37" s="22" t="s">
        <v>36</v>
      </c>
      <c r="J37" s="22"/>
      <c r="K37" s="22"/>
      <c r="L37" s="22" t="s">
        <v>34</v>
      </c>
      <c r="M37" s="22" t="s">
        <v>34</v>
      </c>
      <c r="N37" s="22" t="s">
        <v>35</v>
      </c>
      <c r="O37" s="22" t="s">
        <v>35</v>
      </c>
      <c r="P37" s="22" t="s">
        <v>35</v>
      </c>
      <c r="Q37" s="22" t="s">
        <v>35</v>
      </c>
      <c r="R37" s="22" t="s">
        <v>35</v>
      </c>
      <c r="S37" s="22" t="s">
        <v>34</v>
      </c>
      <c r="T37" s="22"/>
      <c r="U37" s="22"/>
      <c r="V37" s="22"/>
      <c r="W37" s="22"/>
      <c r="X37" s="22"/>
      <c r="Y37" s="22"/>
      <c r="Z37" s="22"/>
      <c r="AA37" s="22"/>
      <c r="AB37" s="22"/>
      <c r="AC37" s="22" t="s">
        <v>1918</v>
      </c>
      <c r="AD37" s="22">
        <v>20170413</v>
      </c>
      <c r="AE37" s="22">
        <v>36</v>
      </c>
      <c r="AF37" s="22"/>
      <c r="AG37" s="22" t="str">
        <f>IFERROR(VLOOKUP(TblFeedFile[[#This Row],[Leave Type ]],LkupPayType[],2,FALSE),"TBD")</f>
        <v>Unpaid</v>
      </c>
      <c r="AH37" s="22"/>
      <c r="AI37" s="25" t="s">
        <v>35</v>
      </c>
      <c r="AJ37" s="25"/>
      <c r="AK37" s="26"/>
    </row>
    <row r="38" spans="1:37" x14ac:dyDescent="0.25">
      <c r="A38" s="21" t="s">
        <v>37</v>
      </c>
      <c r="B38" s="22">
        <v>314304</v>
      </c>
      <c r="C38" s="22">
        <v>10307987</v>
      </c>
      <c r="D38" s="23" t="s">
        <v>2094</v>
      </c>
      <c r="E38" s="22" t="s">
        <v>447</v>
      </c>
      <c r="F38" s="22" t="s">
        <v>2095</v>
      </c>
      <c r="G38" s="22">
        <v>20170411</v>
      </c>
      <c r="H38" s="22">
        <v>20170416</v>
      </c>
      <c r="I38" s="22" t="s">
        <v>78</v>
      </c>
      <c r="J38" s="22"/>
      <c r="K38" s="22" t="s">
        <v>79</v>
      </c>
      <c r="L38" s="22" t="s">
        <v>34</v>
      </c>
      <c r="M38" s="22" t="s">
        <v>34</v>
      </c>
      <c r="N38" s="22" t="s">
        <v>35</v>
      </c>
      <c r="O38" s="22" t="s">
        <v>35</v>
      </c>
      <c r="P38" s="22" t="s">
        <v>35</v>
      </c>
      <c r="Q38" s="22" t="s">
        <v>35</v>
      </c>
      <c r="R38" s="22" t="s">
        <v>35</v>
      </c>
      <c r="S38" s="22" t="s">
        <v>34</v>
      </c>
      <c r="T38" s="22">
        <v>20170417</v>
      </c>
      <c r="U38" s="22"/>
      <c r="V38" s="22"/>
      <c r="W38" s="22"/>
      <c r="X38" s="22"/>
      <c r="Y38" s="22"/>
      <c r="Z38" s="22"/>
      <c r="AA38" s="22"/>
      <c r="AB38" s="22"/>
      <c r="AC38" s="22" t="s">
        <v>1904</v>
      </c>
      <c r="AD38" s="22">
        <v>20170413</v>
      </c>
      <c r="AE38" s="22">
        <v>37</v>
      </c>
      <c r="AF38" s="22"/>
      <c r="AG38" s="22" t="str">
        <f>IFERROR(VLOOKUP(TblFeedFile[[#This Row],[Leave Type ]],LkupPayType[],2,FALSE),"TBD")</f>
        <v>Unpaid</v>
      </c>
      <c r="AH38" s="22"/>
      <c r="AI38" s="25"/>
      <c r="AJ38" s="25"/>
      <c r="AK38" s="26" t="s">
        <v>35</v>
      </c>
    </row>
    <row r="39" spans="1:37" x14ac:dyDescent="0.25">
      <c r="A39" s="21" t="s">
        <v>37</v>
      </c>
      <c r="B39" s="22">
        <v>314304</v>
      </c>
      <c r="C39" s="22">
        <v>10402640</v>
      </c>
      <c r="D39" s="23">
        <v>531703098483</v>
      </c>
      <c r="E39" s="22" t="s">
        <v>2096</v>
      </c>
      <c r="F39" s="22" t="s">
        <v>2097</v>
      </c>
      <c r="G39" s="22">
        <v>20170316</v>
      </c>
      <c r="H39" s="22">
        <v>20170416</v>
      </c>
      <c r="I39" s="22" t="s">
        <v>40</v>
      </c>
      <c r="J39" s="22"/>
      <c r="K39" s="22"/>
      <c r="L39" s="22" t="s">
        <v>34</v>
      </c>
      <c r="M39" s="22" t="s">
        <v>34</v>
      </c>
      <c r="N39" s="22" t="s">
        <v>35</v>
      </c>
      <c r="O39" s="22" t="s">
        <v>35</v>
      </c>
      <c r="P39" s="22" t="s">
        <v>35</v>
      </c>
      <c r="Q39" s="22" t="s">
        <v>35</v>
      </c>
      <c r="R39" s="22" t="s">
        <v>35</v>
      </c>
      <c r="S39" s="22" t="s">
        <v>34</v>
      </c>
      <c r="T39" s="22">
        <v>20170417</v>
      </c>
      <c r="U39" s="22"/>
      <c r="V39" s="22"/>
      <c r="W39" s="22"/>
      <c r="X39" s="22"/>
      <c r="Y39" s="22">
        <v>673</v>
      </c>
      <c r="Z39" s="22" t="s">
        <v>306</v>
      </c>
      <c r="AA39" s="22">
        <v>20170316</v>
      </c>
      <c r="AB39" s="22">
        <v>20170906</v>
      </c>
      <c r="AC39" s="22" t="s">
        <v>2034</v>
      </c>
      <c r="AD39" s="22">
        <v>20170413</v>
      </c>
      <c r="AE39" s="22">
        <v>38</v>
      </c>
      <c r="AF39" s="22"/>
      <c r="AG39" s="22" t="str">
        <f>IFERROR(VLOOKUP(TblFeedFile[[#This Row],[Leave Type ]],LkupPayType[],2,FALSE),"TBD")</f>
        <v>Paid</v>
      </c>
      <c r="AH39" s="22"/>
      <c r="AI39" s="25"/>
      <c r="AJ39" s="25"/>
      <c r="AK39" s="26" t="s">
        <v>35</v>
      </c>
    </row>
    <row r="40" spans="1:37" x14ac:dyDescent="0.25">
      <c r="A40" s="21" t="s">
        <v>29</v>
      </c>
      <c r="B40" s="22">
        <v>314304</v>
      </c>
      <c r="C40" s="22">
        <v>10413328</v>
      </c>
      <c r="D40" s="23">
        <v>511702228771</v>
      </c>
      <c r="E40" s="22" t="s">
        <v>2098</v>
      </c>
      <c r="F40" s="22" t="s">
        <v>2099</v>
      </c>
      <c r="G40" s="22">
        <v>20170228</v>
      </c>
      <c r="H40" s="22">
        <v>20170509</v>
      </c>
      <c r="I40" s="22" t="s">
        <v>40</v>
      </c>
      <c r="J40" s="22"/>
      <c r="K40" s="22"/>
      <c r="L40" s="22" t="s">
        <v>34</v>
      </c>
      <c r="M40" s="22" t="s">
        <v>34</v>
      </c>
      <c r="N40" s="22" t="s">
        <v>35</v>
      </c>
      <c r="O40" s="22" t="s">
        <v>35</v>
      </c>
      <c r="P40" s="22" t="s">
        <v>35</v>
      </c>
      <c r="Q40" s="22" t="s">
        <v>35</v>
      </c>
      <c r="R40" s="22" t="s">
        <v>35</v>
      </c>
      <c r="S40" s="22" t="s">
        <v>34</v>
      </c>
      <c r="T40" s="22"/>
      <c r="U40" s="22"/>
      <c r="V40" s="22"/>
      <c r="W40" s="22"/>
      <c r="X40" s="22" t="s">
        <v>35</v>
      </c>
      <c r="Y40" s="22"/>
      <c r="Z40" s="22"/>
      <c r="AA40" s="22"/>
      <c r="AB40" s="22"/>
      <c r="AC40" s="22" t="s">
        <v>1908</v>
      </c>
      <c r="AD40" s="22">
        <v>20170413</v>
      </c>
      <c r="AE40" s="22">
        <v>39</v>
      </c>
      <c r="AF40" s="22"/>
      <c r="AG40" s="22" t="str">
        <f>IFERROR(VLOOKUP(TblFeedFile[[#This Row],[Leave Type ]],LkupPayType[],2,FALSE),"TBD")</f>
        <v>Paid</v>
      </c>
      <c r="AH40" s="22"/>
      <c r="AI40" s="25"/>
      <c r="AJ40" s="25"/>
      <c r="AK40" s="26"/>
    </row>
    <row r="41" spans="1:37" x14ac:dyDescent="0.25">
      <c r="A41" s="21" t="s">
        <v>37</v>
      </c>
      <c r="B41" s="22">
        <v>314304</v>
      </c>
      <c r="C41" s="22">
        <v>10413328</v>
      </c>
      <c r="D41" s="23">
        <v>511702228771</v>
      </c>
      <c r="E41" s="22" t="s">
        <v>2098</v>
      </c>
      <c r="F41" s="22" t="s">
        <v>2099</v>
      </c>
      <c r="G41" s="22">
        <v>20170228</v>
      </c>
      <c r="H41" s="22">
        <v>20170508</v>
      </c>
      <c r="I41" s="22" t="s">
        <v>40</v>
      </c>
      <c r="J41" s="22"/>
      <c r="K41" s="22"/>
      <c r="L41" s="22" t="s">
        <v>34</v>
      </c>
      <c r="M41" s="22" t="s">
        <v>34</v>
      </c>
      <c r="N41" s="22" t="s">
        <v>35</v>
      </c>
      <c r="O41" s="22" t="s">
        <v>35</v>
      </c>
      <c r="P41" s="22" t="s">
        <v>35</v>
      </c>
      <c r="Q41" s="22" t="s">
        <v>35</v>
      </c>
      <c r="R41" s="22" t="s">
        <v>35</v>
      </c>
      <c r="S41" s="22" t="s">
        <v>34</v>
      </c>
      <c r="T41" s="22"/>
      <c r="U41" s="22"/>
      <c r="V41" s="22"/>
      <c r="W41" s="22"/>
      <c r="X41" s="22" t="s">
        <v>35</v>
      </c>
      <c r="Y41" s="22"/>
      <c r="Z41" s="22"/>
      <c r="AA41" s="22"/>
      <c r="AB41" s="22"/>
      <c r="AC41" s="22" t="s">
        <v>1908</v>
      </c>
      <c r="AD41" s="22">
        <v>20170413</v>
      </c>
      <c r="AE41" s="22">
        <v>40</v>
      </c>
      <c r="AF41" s="22"/>
      <c r="AG41" s="22" t="str">
        <f>IFERROR(VLOOKUP(TblFeedFile[[#This Row],[Leave Type ]],LkupPayType[],2,FALSE),"TBD")</f>
        <v>Paid</v>
      </c>
      <c r="AH41" s="22"/>
      <c r="AI41" s="25"/>
      <c r="AJ41" s="25"/>
      <c r="AK41" s="26"/>
    </row>
    <row r="42" spans="1:37" x14ac:dyDescent="0.25">
      <c r="A42" s="21" t="s">
        <v>29</v>
      </c>
      <c r="B42" s="22">
        <v>314301</v>
      </c>
      <c r="C42" s="22">
        <v>10426073</v>
      </c>
      <c r="D42" s="23" t="s">
        <v>2100</v>
      </c>
      <c r="E42" s="22" t="s">
        <v>641</v>
      </c>
      <c r="F42" s="22" t="s">
        <v>2101</v>
      </c>
      <c r="G42" s="22">
        <v>20170208</v>
      </c>
      <c r="H42" s="22">
        <v>20170801</v>
      </c>
      <c r="I42" s="22" t="s">
        <v>36</v>
      </c>
      <c r="J42" s="22"/>
      <c r="K42" s="22"/>
      <c r="L42" s="22" t="s">
        <v>34</v>
      </c>
      <c r="M42" s="22" t="s">
        <v>34</v>
      </c>
      <c r="N42" s="22" t="s">
        <v>35</v>
      </c>
      <c r="O42" s="22" t="s">
        <v>35</v>
      </c>
      <c r="P42" s="22" t="s">
        <v>35</v>
      </c>
      <c r="Q42" s="22" t="s">
        <v>35</v>
      </c>
      <c r="R42" s="22" t="s">
        <v>35</v>
      </c>
      <c r="S42" s="22" t="s">
        <v>34</v>
      </c>
      <c r="T42" s="22"/>
      <c r="U42" s="22"/>
      <c r="V42" s="22"/>
      <c r="W42" s="22"/>
      <c r="X42" s="22"/>
      <c r="Y42" s="22"/>
      <c r="Z42" s="22"/>
      <c r="AA42" s="22"/>
      <c r="AB42" s="22"/>
      <c r="AC42" s="22" t="s">
        <v>1905</v>
      </c>
      <c r="AD42" s="22">
        <v>20170413</v>
      </c>
      <c r="AE42" s="22">
        <v>41</v>
      </c>
      <c r="AF42" s="22"/>
      <c r="AG42" s="22" t="str">
        <f>IFERROR(VLOOKUP(TblFeedFile[[#This Row],[Leave Type ]],LkupPayType[],2,FALSE),"TBD")</f>
        <v>Unpaid</v>
      </c>
      <c r="AH42" s="22"/>
      <c r="AI42" s="25"/>
      <c r="AJ42" s="25"/>
      <c r="AK42" s="26"/>
    </row>
    <row r="43" spans="1:37" x14ac:dyDescent="0.25">
      <c r="A43" s="21" t="s">
        <v>29</v>
      </c>
      <c r="B43" s="22">
        <v>314301</v>
      </c>
      <c r="C43" s="22">
        <v>10426073</v>
      </c>
      <c r="D43" s="23">
        <v>561701208026</v>
      </c>
      <c r="E43" s="22" t="s">
        <v>641</v>
      </c>
      <c r="F43" s="22" t="s">
        <v>2101</v>
      </c>
      <c r="G43" s="22">
        <v>20170201</v>
      </c>
      <c r="H43" s="22">
        <v>20170801</v>
      </c>
      <c r="I43" s="22" t="s">
        <v>53</v>
      </c>
      <c r="J43" s="22"/>
      <c r="K43" s="22"/>
      <c r="L43" s="22" t="s">
        <v>34</v>
      </c>
      <c r="M43" s="22" t="s">
        <v>34</v>
      </c>
      <c r="N43" s="22" t="s">
        <v>35</v>
      </c>
      <c r="O43" s="22" t="s">
        <v>35</v>
      </c>
      <c r="P43" s="22" t="s">
        <v>35</v>
      </c>
      <c r="Q43" s="22" t="s">
        <v>35</v>
      </c>
      <c r="R43" s="22" t="s">
        <v>35</v>
      </c>
      <c r="S43" s="22" t="s">
        <v>34</v>
      </c>
      <c r="T43" s="22"/>
      <c r="U43" s="22"/>
      <c r="V43" s="22"/>
      <c r="W43" s="22"/>
      <c r="X43" s="22"/>
      <c r="Y43" s="22"/>
      <c r="Z43" s="22"/>
      <c r="AA43" s="22"/>
      <c r="AB43" s="22"/>
      <c r="AC43" s="22" t="s">
        <v>1923</v>
      </c>
      <c r="AD43" s="22">
        <v>20170413</v>
      </c>
      <c r="AE43" s="22">
        <v>42</v>
      </c>
      <c r="AF43" s="22"/>
      <c r="AG43" s="22" t="str">
        <f>IFERROR(VLOOKUP(TblFeedFile[[#This Row],[Leave Type ]],LkupPayType[],2,FALSE),"TBD")</f>
        <v>Paid</v>
      </c>
      <c r="AH43" s="22"/>
      <c r="AI43" s="25"/>
      <c r="AJ43" s="25"/>
      <c r="AK43" s="26"/>
    </row>
    <row r="44" spans="1:37" x14ac:dyDescent="0.25">
      <c r="A44" s="21" t="s">
        <v>37</v>
      </c>
      <c r="B44" s="22">
        <v>314301</v>
      </c>
      <c r="C44" s="22">
        <v>10426073</v>
      </c>
      <c r="D44" s="23">
        <v>561701208026</v>
      </c>
      <c r="E44" s="22" t="s">
        <v>641</v>
      </c>
      <c r="F44" s="22" t="s">
        <v>2101</v>
      </c>
      <c r="G44" s="22">
        <v>20170201</v>
      </c>
      <c r="H44" s="22">
        <v>20170430</v>
      </c>
      <c r="I44" s="22" t="s">
        <v>53</v>
      </c>
      <c r="J44" s="22"/>
      <c r="K44" s="22"/>
      <c r="L44" s="22" t="s">
        <v>34</v>
      </c>
      <c r="M44" s="22" t="s">
        <v>34</v>
      </c>
      <c r="N44" s="22" t="s">
        <v>35</v>
      </c>
      <c r="O44" s="22" t="s">
        <v>35</v>
      </c>
      <c r="P44" s="22" t="s">
        <v>35</v>
      </c>
      <c r="Q44" s="22" t="s">
        <v>35</v>
      </c>
      <c r="R44" s="22" t="s">
        <v>35</v>
      </c>
      <c r="S44" s="22" t="s">
        <v>34</v>
      </c>
      <c r="T44" s="22"/>
      <c r="U44" s="22"/>
      <c r="V44" s="22"/>
      <c r="W44" s="22"/>
      <c r="X44" s="22"/>
      <c r="Y44" s="22"/>
      <c r="Z44" s="22"/>
      <c r="AA44" s="22"/>
      <c r="AB44" s="22"/>
      <c r="AC44" s="22" t="s">
        <v>1923</v>
      </c>
      <c r="AD44" s="22">
        <v>20170413</v>
      </c>
      <c r="AE44" s="22">
        <v>43</v>
      </c>
      <c r="AF44" s="22"/>
      <c r="AG44" s="22" t="str">
        <f>IFERROR(VLOOKUP(TblFeedFile[[#This Row],[Leave Type ]],LkupPayType[],2,FALSE),"TBD")</f>
        <v>Paid</v>
      </c>
      <c r="AH44" s="22"/>
      <c r="AI44" s="25"/>
      <c r="AJ44" s="25"/>
      <c r="AK44" s="26"/>
    </row>
    <row r="45" spans="1:37" x14ac:dyDescent="0.25">
      <c r="A45" s="21" t="s">
        <v>37</v>
      </c>
      <c r="B45" s="22">
        <v>314301</v>
      </c>
      <c r="C45" s="22">
        <v>10426073</v>
      </c>
      <c r="D45" s="23">
        <v>561701208026</v>
      </c>
      <c r="E45" s="22" t="s">
        <v>641</v>
      </c>
      <c r="F45" s="22" t="s">
        <v>2101</v>
      </c>
      <c r="G45" s="22">
        <v>20170208</v>
      </c>
      <c r="H45" s="22">
        <v>20170430</v>
      </c>
      <c r="I45" s="22" t="s">
        <v>40</v>
      </c>
      <c r="J45" s="22"/>
      <c r="K45" s="22"/>
      <c r="L45" s="22" t="s">
        <v>34</v>
      </c>
      <c r="M45" s="22" t="s">
        <v>34</v>
      </c>
      <c r="N45" s="22" t="s">
        <v>35</v>
      </c>
      <c r="O45" s="22" t="s">
        <v>35</v>
      </c>
      <c r="P45" s="22" t="s">
        <v>35</v>
      </c>
      <c r="Q45" s="22" t="s">
        <v>35</v>
      </c>
      <c r="R45" s="22" t="s">
        <v>35</v>
      </c>
      <c r="S45" s="22" t="s">
        <v>34</v>
      </c>
      <c r="T45" s="22"/>
      <c r="U45" s="22"/>
      <c r="V45" s="22"/>
      <c r="W45" s="22"/>
      <c r="X45" s="22"/>
      <c r="Y45" s="22"/>
      <c r="Z45" s="22"/>
      <c r="AA45" s="22"/>
      <c r="AB45" s="22"/>
      <c r="AC45" s="22" t="s">
        <v>1922</v>
      </c>
      <c r="AD45" s="22">
        <v>20170413</v>
      </c>
      <c r="AE45" s="22">
        <v>44</v>
      </c>
      <c r="AF45" s="22"/>
      <c r="AG45" s="22" t="str">
        <f>IFERROR(VLOOKUP(TblFeedFile[[#This Row],[Leave Type ]],LkupPayType[],2,FALSE),"TBD")</f>
        <v>Paid</v>
      </c>
      <c r="AH45" s="22"/>
      <c r="AI45" s="25"/>
      <c r="AJ45" s="25"/>
      <c r="AK45" s="26"/>
    </row>
    <row r="46" spans="1:37" x14ac:dyDescent="0.25">
      <c r="A46" s="21" t="s">
        <v>37</v>
      </c>
      <c r="B46" s="22">
        <v>314301</v>
      </c>
      <c r="C46" s="22">
        <v>10426073</v>
      </c>
      <c r="D46" s="23" t="s">
        <v>2100</v>
      </c>
      <c r="E46" s="22" t="s">
        <v>641</v>
      </c>
      <c r="F46" s="22" t="s">
        <v>2101</v>
      </c>
      <c r="G46" s="22">
        <v>20170319</v>
      </c>
      <c r="H46" s="22">
        <v>20170430</v>
      </c>
      <c r="I46" s="22" t="s">
        <v>78</v>
      </c>
      <c r="J46" s="22"/>
      <c r="K46" s="22" t="s">
        <v>79</v>
      </c>
      <c r="L46" s="22" t="s">
        <v>34</v>
      </c>
      <c r="M46" s="22" t="s">
        <v>34</v>
      </c>
      <c r="N46" s="22" t="s">
        <v>35</v>
      </c>
      <c r="O46" s="22" t="s">
        <v>35</v>
      </c>
      <c r="P46" s="22" t="s">
        <v>35</v>
      </c>
      <c r="Q46" s="22" t="s">
        <v>35</v>
      </c>
      <c r="R46" s="22" t="s">
        <v>35</v>
      </c>
      <c r="S46" s="22" t="s">
        <v>34</v>
      </c>
      <c r="T46" s="22"/>
      <c r="U46" s="22"/>
      <c r="V46" s="22"/>
      <c r="W46" s="22"/>
      <c r="X46" s="22"/>
      <c r="Y46" s="22"/>
      <c r="Z46" s="22"/>
      <c r="AA46" s="22"/>
      <c r="AB46" s="22"/>
      <c r="AC46" s="22" t="s">
        <v>1896</v>
      </c>
      <c r="AD46" s="22">
        <v>20170413</v>
      </c>
      <c r="AE46" s="22">
        <v>45</v>
      </c>
      <c r="AF46" s="22"/>
      <c r="AG46" s="22" t="str">
        <f>IFERROR(VLOOKUP(TblFeedFile[[#This Row],[Leave Type ]],LkupPayType[],2,FALSE),"TBD")</f>
        <v>Unpaid</v>
      </c>
      <c r="AH46" s="22"/>
      <c r="AI46" s="25"/>
      <c r="AJ46" s="25"/>
      <c r="AK46" s="26"/>
    </row>
    <row r="47" spans="1:37" x14ac:dyDescent="0.25">
      <c r="A47" s="21" t="s">
        <v>37</v>
      </c>
      <c r="B47" s="22">
        <v>314304</v>
      </c>
      <c r="C47" s="22">
        <v>10451241</v>
      </c>
      <c r="D47" s="23">
        <v>531703068823</v>
      </c>
      <c r="E47" s="22" t="s">
        <v>704</v>
      </c>
      <c r="F47" s="22" t="s">
        <v>2102</v>
      </c>
      <c r="G47" s="22">
        <v>20170330</v>
      </c>
      <c r="H47" s="22">
        <v>20170513</v>
      </c>
      <c r="I47" s="22" t="s">
        <v>53</v>
      </c>
      <c r="J47" s="22"/>
      <c r="K47" s="22"/>
      <c r="L47" s="22" t="s">
        <v>34</v>
      </c>
      <c r="M47" s="22" t="s">
        <v>34</v>
      </c>
      <c r="N47" s="22" t="s">
        <v>35</v>
      </c>
      <c r="O47" s="22" t="s">
        <v>35</v>
      </c>
      <c r="P47" s="22" t="s">
        <v>35</v>
      </c>
      <c r="Q47" s="22" t="s">
        <v>35</v>
      </c>
      <c r="R47" s="22" t="s">
        <v>35</v>
      </c>
      <c r="S47" s="22" t="s">
        <v>34</v>
      </c>
      <c r="T47" s="22"/>
      <c r="U47" s="22"/>
      <c r="V47" s="22"/>
      <c r="W47" s="22"/>
      <c r="X47" s="22"/>
      <c r="Y47" s="22"/>
      <c r="Z47" s="22"/>
      <c r="AA47" s="22"/>
      <c r="AB47" s="22"/>
      <c r="AC47" s="22" t="s">
        <v>1921</v>
      </c>
      <c r="AD47" s="22">
        <v>20170413</v>
      </c>
      <c r="AE47" s="22">
        <v>46</v>
      </c>
      <c r="AF47" s="22"/>
      <c r="AG47" s="22" t="str">
        <f>IFERROR(VLOOKUP(TblFeedFile[[#This Row],[Leave Type ]],LkupPayType[],2,FALSE),"TBD")</f>
        <v>Paid</v>
      </c>
      <c r="AH47" s="22"/>
      <c r="AI47" s="25"/>
      <c r="AJ47" s="25"/>
      <c r="AK47" s="26"/>
    </row>
    <row r="48" spans="1:37" x14ac:dyDescent="0.25">
      <c r="A48" s="21" t="s">
        <v>37</v>
      </c>
      <c r="B48" s="22">
        <v>314304</v>
      </c>
      <c r="C48" s="22">
        <v>10451241</v>
      </c>
      <c r="D48" s="23">
        <v>531703068823</v>
      </c>
      <c r="E48" s="22" t="s">
        <v>704</v>
      </c>
      <c r="F48" s="22" t="s">
        <v>2102</v>
      </c>
      <c r="G48" s="22">
        <v>20170406</v>
      </c>
      <c r="H48" s="22">
        <v>20170513</v>
      </c>
      <c r="I48" s="22" t="s">
        <v>40</v>
      </c>
      <c r="J48" s="22"/>
      <c r="K48" s="22"/>
      <c r="L48" s="22" t="s">
        <v>34</v>
      </c>
      <c r="M48" s="22" t="s">
        <v>34</v>
      </c>
      <c r="N48" s="22" t="s">
        <v>35</v>
      </c>
      <c r="O48" s="22" t="s">
        <v>35</v>
      </c>
      <c r="P48" s="22" t="s">
        <v>35</v>
      </c>
      <c r="Q48" s="22" t="s">
        <v>35</v>
      </c>
      <c r="R48" s="22" t="s">
        <v>35</v>
      </c>
      <c r="S48" s="22" t="s">
        <v>34</v>
      </c>
      <c r="T48" s="22"/>
      <c r="U48" s="22"/>
      <c r="V48" s="22"/>
      <c r="W48" s="22"/>
      <c r="X48" s="22"/>
      <c r="Y48" s="22"/>
      <c r="Z48" s="22"/>
      <c r="AA48" s="22"/>
      <c r="AB48" s="22"/>
      <c r="AC48" s="22" t="s">
        <v>1923</v>
      </c>
      <c r="AD48" s="22">
        <v>20170413</v>
      </c>
      <c r="AE48" s="22">
        <v>47</v>
      </c>
      <c r="AF48" s="22"/>
      <c r="AG48" s="22" t="str">
        <f>IFERROR(VLOOKUP(TblFeedFile[[#This Row],[Leave Type ]],LkupPayType[],2,FALSE),"TBD")</f>
        <v>Paid</v>
      </c>
      <c r="AH48" s="22"/>
      <c r="AI48" s="25"/>
      <c r="AJ48" s="25"/>
      <c r="AK48" s="26"/>
    </row>
    <row r="49" spans="1:37" x14ac:dyDescent="0.25">
      <c r="A49" s="21" t="s">
        <v>37</v>
      </c>
      <c r="B49" s="22">
        <v>314301</v>
      </c>
      <c r="C49" s="22">
        <v>10452586</v>
      </c>
      <c r="D49" s="23">
        <v>511704138811</v>
      </c>
      <c r="E49" s="22" t="s">
        <v>714</v>
      </c>
      <c r="F49" s="22" t="s">
        <v>2103</v>
      </c>
      <c r="G49" s="22">
        <v>20170408</v>
      </c>
      <c r="H49" s="22">
        <v>20170508</v>
      </c>
      <c r="I49" s="22" t="s">
        <v>53</v>
      </c>
      <c r="J49" s="22"/>
      <c r="K49" s="22"/>
      <c r="L49" s="22" t="s">
        <v>34</v>
      </c>
      <c r="M49" s="22" t="s">
        <v>34</v>
      </c>
      <c r="N49" s="22" t="s">
        <v>35</v>
      </c>
      <c r="O49" s="22" t="s">
        <v>35</v>
      </c>
      <c r="P49" s="22" t="s">
        <v>35</v>
      </c>
      <c r="Q49" s="22" t="s">
        <v>35</v>
      </c>
      <c r="R49" s="22" t="s">
        <v>35</v>
      </c>
      <c r="S49" s="22" t="s">
        <v>34</v>
      </c>
      <c r="T49" s="22"/>
      <c r="U49" s="22"/>
      <c r="V49" s="22"/>
      <c r="W49" s="22"/>
      <c r="X49" s="22"/>
      <c r="Y49" s="22"/>
      <c r="Z49" s="22"/>
      <c r="AA49" s="22"/>
      <c r="AB49" s="22"/>
      <c r="AC49" s="22" t="s">
        <v>1912</v>
      </c>
      <c r="AD49" s="22">
        <v>20170413</v>
      </c>
      <c r="AE49" s="22">
        <v>48</v>
      </c>
      <c r="AF49" s="22"/>
      <c r="AG49" s="22" t="str">
        <f>IFERROR(VLOOKUP(TblFeedFile[[#This Row],[Leave Type ]],LkupPayType[],2,FALSE),"TBD")</f>
        <v>Paid</v>
      </c>
      <c r="AH49" s="22"/>
      <c r="AI49" s="25"/>
      <c r="AJ49" s="25"/>
      <c r="AK49" s="26"/>
    </row>
    <row r="50" spans="1:37" x14ac:dyDescent="0.25">
      <c r="A50" s="21" t="s">
        <v>37</v>
      </c>
      <c r="B50" s="22">
        <v>314304</v>
      </c>
      <c r="C50" s="22">
        <v>10461693</v>
      </c>
      <c r="D50" s="23" t="s">
        <v>2104</v>
      </c>
      <c r="E50" s="22" t="s">
        <v>2072</v>
      </c>
      <c r="F50" s="22" t="s">
        <v>504</v>
      </c>
      <c r="G50" s="22">
        <v>20161018</v>
      </c>
      <c r="H50" s="22">
        <v>20170414</v>
      </c>
      <c r="I50" s="22" t="s">
        <v>36</v>
      </c>
      <c r="J50" s="22"/>
      <c r="K50" s="22"/>
      <c r="L50" s="22" t="s">
        <v>34</v>
      </c>
      <c r="M50" s="22" t="s">
        <v>34</v>
      </c>
      <c r="N50" s="22" t="s">
        <v>35</v>
      </c>
      <c r="O50" s="22" t="s">
        <v>35</v>
      </c>
      <c r="P50" s="22" t="s">
        <v>35</v>
      </c>
      <c r="Q50" s="22" t="s">
        <v>35</v>
      </c>
      <c r="R50" s="22" t="s">
        <v>35</v>
      </c>
      <c r="S50" s="22" t="s">
        <v>34</v>
      </c>
      <c r="T50" s="22">
        <v>20170417</v>
      </c>
      <c r="U50" s="22"/>
      <c r="V50" s="22"/>
      <c r="W50" s="22"/>
      <c r="X50" s="22"/>
      <c r="Y50" s="22"/>
      <c r="Z50" s="22"/>
      <c r="AA50" s="22"/>
      <c r="AB50" s="22"/>
      <c r="AC50" s="22" t="s">
        <v>2105</v>
      </c>
      <c r="AD50" s="22">
        <v>20170413</v>
      </c>
      <c r="AE50" s="22">
        <v>49</v>
      </c>
      <c r="AF50" s="22"/>
      <c r="AG50" s="22" t="str">
        <f>IFERROR(VLOOKUP(TblFeedFile[[#This Row],[Leave Type ]],LkupPayType[],2,FALSE),"TBD")</f>
        <v>Unpaid</v>
      </c>
      <c r="AH50" s="22"/>
      <c r="AI50" s="25"/>
      <c r="AJ50" s="25"/>
      <c r="AK50" s="26" t="s">
        <v>35</v>
      </c>
    </row>
    <row r="51" spans="1:37" x14ac:dyDescent="0.25">
      <c r="A51" s="21" t="s">
        <v>29</v>
      </c>
      <c r="B51" s="22">
        <v>314301</v>
      </c>
      <c r="C51" s="22">
        <v>10495207</v>
      </c>
      <c r="D51" s="23">
        <v>501703148150</v>
      </c>
      <c r="E51" s="22" t="s">
        <v>1483</v>
      </c>
      <c r="F51" s="22" t="s">
        <v>178</v>
      </c>
      <c r="G51" s="22">
        <v>20170411</v>
      </c>
      <c r="H51" s="22">
        <v>20170605</v>
      </c>
      <c r="I51" s="22" t="s">
        <v>155</v>
      </c>
      <c r="J51" s="22"/>
      <c r="K51" s="22"/>
      <c r="L51" s="22" t="s">
        <v>34</v>
      </c>
      <c r="M51" s="22" t="s">
        <v>34</v>
      </c>
      <c r="N51" s="22" t="s">
        <v>35</v>
      </c>
      <c r="O51" s="22" t="s">
        <v>35</v>
      </c>
      <c r="P51" s="22" t="s">
        <v>35</v>
      </c>
      <c r="Q51" s="22" t="s">
        <v>35</v>
      </c>
      <c r="R51" s="22" t="s">
        <v>35</v>
      </c>
      <c r="S51" s="22" t="s">
        <v>34</v>
      </c>
      <c r="T51" s="22"/>
      <c r="U51" s="22"/>
      <c r="V51" s="22"/>
      <c r="W51" s="22"/>
      <c r="X51" s="22"/>
      <c r="Y51" s="22"/>
      <c r="Z51" s="22"/>
      <c r="AA51" s="22"/>
      <c r="AB51" s="22"/>
      <c r="AC51" s="22" t="s">
        <v>1918</v>
      </c>
      <c r="AD51" s="22">
        <v>20170413</v>
      </c>
      <c r="AE51" s="22">
        <v>50</v>
      </c>
      <c r="AF51" s="22"/>
      <c r="AG51" s="22" t="str">
        <f>IFERROR(VLOOKUP(TblFeedFile[[#This Row],[Leave Type ]],LkupPayType[],2,FALSE),"TBD")</f>
        <v>Paid</v>
      </c>
      <c r="AH51" s="22"/>
      <c r="AI51" s="25"/>
      <c r="AJ51" s="25"/>
      <c r="AK51" s="26"/>
    </row>
    <row r="52" spans="1:37" x14ac:dyDescent="0.25">
      <c r="A52" s="21" t="s">
        <v>37</v>
      </c>
      <c r="B52" s="22">
        <v>314301</v>
      </c>
      <c r="C52" s="22">
        <v>10495207</v>
      </c>
      <c r="D52" s="23">
        <v>501703148150</v>
      </c>
      <c r="E52" s="22" t="s">
        <v>1483</v>
      </c>
      <c r="F52" s="22" t="s">
        <v>178</v>
      </c>
      <c r="G52" s="22">
        <v>20170411</v>
      </c>
      <c r="H52" s="22">
        <v>20170813</v>
      </c>
      <c r="I52" s="22" t="s">
        <v>155</v>
      </c>
      <c r="J52" s="22"/>
      <c r="K52" s="22"/>
      <c r="L52" s="22" t="s">
        <v>34</v>
      </c>
      <c r="M52" s="22" t="s">
        <v>34</v>
      </c>
      <c r="N52" s="22" t="s">
        <v>35</v>
      </c>
      <c r="O52" s="22" t="s">
        <v>35</v>
      </c>
      <c r="P52" s="22" t="s">
        <v>35</v>
      </c>
      <c r="Q52" s="22" t="s">
        <v>35</v>
      </c>
      <c r="R52" s="22" t="s">
        <v>35</v>
      </c>
      <c r="S52" s="22" t="s">
        <v>34</v>
      </c>
      <c r="T52" s="22"/>
      <c r="U52" s="22"/>
      <c r="V52" s="22"/>
      <c r="W52" s="22"/>
      <c r="X52" s="22"/>
      <c r="Y52" s="22"/>
      <c r="Z52" s="22"/>
      <c r="AA52" s="22"/>
      <c r="AB52" s="22"/>
      <c r="AC52" s="22" t="s">
        <v>1918</v>
      </c>
      <c r="AD52" s="22">
        <v>20170413</v>
      </c>
      <c r="AE52" s="22">
        <v>51</v>
      </c>
      <c r="AF52" s="22"/>
      <c r="AG52" s="22" t="str">
        <f>IFERROR(VLOOKUP(TblFeedFile[[#This Row],[Leave Type ]],LkupPayType[],2,FALSE),"TBD")</f>
        <v>Paid</v>
      </c>
      <c r="AH52" s="22"/>
      <c r="AI52" s="25"/>
      <c r="AJ52" s="25"/>
      <c r="AK52" s="26"/>
    </row>
    <row r="53" spans="1:37" x14ac:dyDescent="0.25">
      <c r="A53" s="21" t="s">
        <v>37</v>
      </c>
      <c r="B53" s="22">
        <v>314301</v>
      </c>
      <c r="C53" s="22">
        <v>10498997</v>
      </c>
      <c r="D53" s="23" t="s">
        <v>2106</v>
      </c>
      <c r="E53" s="22" t="s">
        <v>2107</v>
      </c>
      <c r="F53" s="22" t="s">
        <v>2108</v>
      </c>
      <c r="G53" s="22">
        <v>20170404</v>
      </c>
      <c r="H53" s="22">
        <v>20170416</v>
      </c>
      <c r="I53" s="22" t="s">
        <v>223</v>
      </c>
      <c r="J53" s="22"/>
      <c r="K53" s="22"/>
      <c r="L53" s="22" t="s">
        <v>34</v>
      </c>
      <c r="M53" s="22" t="s">
        <v>34</v>
      </c>
      <c r="N53" s="22" t="s">
        <v>35</v>
      </c>
      <c r="O53" s="22" t="s">
        <v>35</v>
      </c>
      <c r="P53" s="22" t="s">
        <v>35</v>
      </c>
      <c r="Q53" s="22" t="s">
        <v>35</v>
      </c>
      <c r="R53" s="22" t="s">
        <v>35</v>
      </c>
      <c r="S53" s="22" t="s">
        <v>34</v>
      </c>
      <c r="T53" s="22">
        <v>20170417</v>
      </c>
      <c r="U53" s="22"/>
      <c r="V53" s="22"/>
      <c r="W53" s="22"/>
      <c r="X53" s="22"/>
      <c r="Y53" s="22"/>
      <c r="Z53" s="22"/>
      <c r="AA53" s="22"/>
      <c r="AB53" s="22"/>
      <c r="AC53" s="22" t="s">
        <v>1924</v>
      </c>
      <c r="AD53" s="22">
        <v>20170413</v>
      </c>
      <c r="AE53" s="22">
        <v>52</v>
      </c>
      <c r="AF53" s="22"/>
      <c r="AG53" s="22" t="str">
        <f>IFERROR(VLOOKUP(TblFeedFile[[#This Row],[Leave Type ]],LkupPayType[],2,FALSE),"TBD")</f>
        <v>Paid</v>
      </c>
      <c r="AH53" s="22"/>
      <c r="AI53" s="25"/>
      <c r="AJ53" s="25"/>
      <c r="AK53" s="26" t="s">
        <v>35</v>
      </c>
    </row>
    <row r="54" spans="1:37" x14ac:dyDescent="0.25">
      <c r="A54" s="21" t="s">
        <v>29</v>
      </c>
      <c r="B54" s="22">
        <v>314305</v>
      </c>
      <c r="C54" s="22">
        <v>10499264</v>
      </c>
      <c r="D54" s="23" t="s">
        <v>1932</v>
      </c>
      <c r="E54" s="22" t="s">
        <v>1933</v>
      </c>
      <c r="F54" s="22" t="s">
        <v>1934</v>
      </c>
      <c r="G54" s="22">
        <v>20170119</v>
      </c>
      <c r="H54" s="22">
        <v>20170402</v>
      </c>
      <c r="I54" s="22" t="s">
        <v>36</v>
      </c>
      <c r="J54" s="22"/>
      <c r="K54" s="22"/>
      <c r="L54" s="22" t="s">
        <v>34</v>
      </c>
      <c r="M54" s="22" t="s">
        <v>34</v>
      </c>
      <c r="N54" s="22" t="s">
        <v>35</v>
      </c>
      <c r="O54" s="22" t="s">
        <v>35</v>
      </c>
      <c r="P54" s="22" t="s">
        <v>35</v>
      </c>
      <c r="Q54" s="22" t="s">
        <v>35</v>
      </c>
      <c r="R54" s="22" t="s">
        <v>35</v>
      </c>
      <c r="S54" s="22" t="s">
        <v>34</v>
      </c>
      <c r="T54" s="22"/>
      <c r="U54" s="22"/>
      <c r="V54" s="22"/>
      <c r="W54" s="22"/>
      <c r="X54" s="22"/>
      <c r="Y54" s="22"/>
      <c r="Z54" s="22"/>
      <c r="AA54" s="22"/>
      <c r="AB54" s="22"/>
      <c r="AC54" s="22" t="s">
        <v>1927</v>
      </c>
      <c r="AD54" s="22">
        <v>20170413</v>
      </c>
      <c r="AE54" s="22">
        <v>53</v>
      </c>
      <c r="AF54" s="22"/>
      <c r="AG54" s="22" t="str">
        <f>IFERROR(VLOOKUP(TblFeedFile[[#This Row],[Leave Type ]],LkupPayType[],2,FALSE),"TBD")</f>
        <v>Unpaid</v>
      </c>
      <c r="AH54" s="22"/>
      <c r="AI54" s="25"/>
      <c r="AJ54" s="25"/>
      <c r="AK54" s="26"/>
    </row>
    <row r="55" spans="1:37" x14ac:dyDescent="0.25">
      <c r="A55" s="21" t="s">
        <v>29</v>
      </c>
      <c r="B55" s="22">
        <v>314305</v>
      </c>
      <c r="C55" s="22">
        <v>10499264</v>
      </c>
      <c r="D55" s="23" t="s">
        <v>1932</v>
      </c>
      <c r="E55" s="22" t="s">
        <v>1933</v>
      </c>
      <c r="F55" s="22" t="s">
        <v>1934</v>
      </c>
      <c r="G55" s="22">
        <v>20170112</v>
      </c>
      <c r="H55" s="22">
        <v>20170112</v>
      </c>
      <c r="I55" s="22" t="s">
        <v>33</v>
      </c>
      <c r="J55" s="22"/>
      <c r="K55" s="22"/>
      <c r="L55" s="22" t="s">
        <v>34</v>
      </c>
      <c r="M55" s="22" t="s">
        <v>34</v>
      </c>
      <c r="N55" s="22" t="s">
        <v>35</v>
      </c>
      <c r="O55" s="22" t="s">
        <v>35</v>
      </c>
      <c r="P55" s="22" t="s">
        <v>35</v>
      </c>
      <c r="Q55" s="22" t="s">
        <v>35</v>
      </c>
      <c r="R55" s="22" t="s">
        <v>35</v>
      </c>
      <c r="S55" s="22" t="s">
        <v>34</v>
      </c>
      <c r="T55" s="22"/>
      <c r="U55" s="22"/>
      <c r="V55" s="22"/>
      <c r="W55" s="22"/>
      <c r="X55" s="22"/>
      <c r="Y55" s="22"/>
      <c r="Z55" s="22"/>
      <c r="AA55" s="22"/>
      <c r="AB55" s="22"/>
      <c r="AC55" s="22" t="s">
        <v>1935</v>
      </c>
      <c r="AD55" s="22">
        <v>20170413</v>
      </c>
      <c r="AE55" s="22">
        <v>54</v>
      </c>
      <c r="AF55" s="22"/>
      <c r="AG55" s="22" t="str">
        <f>IFERROR(VLOOKUP(TblFeedFile[[#This Row],[Leave Type ]],LkupPayType[],2,FALSE),"TBD")</f>
        <v>Closed</v>
      </c>
      <c r="AH55" s="22"/>
      <c r="AI55" s="25"/>
      <c r="AJ55" s="25"/>
      <c r="AK55" s="26"/>
    </row>
    <row r="56" spans="1:37" x14ac:dyDescent="0.25">
      <c r="A56" s="21" t="s">
        <v>37</v>
      </c>
      <c r="B56" s="22">
        <v>314305</v>
      </c>
      <c r="C56" s="22">
        <v>10499264</v>
      </c>
      <c r="D56" s="23" t="s">
        <v>1932</v>
      </c>
      <c r="E56" s="22" t="s">
        <v>1933</v>
      </c>
      <c r="F56" s="22" t="s">
        <v>1934</v>
      </c>
      <c r="G56" s="22">
        <v>20170403</v>
      </c>
      <c r="H56" s="22">
        <v>20170403</v>
      </c>
      <c r="I56" s="22" t="s">
        <v>33</v>
      </c>
      <c r="J56" s="22"/>
      <c r="K56" s="22"/>
      <c r="L56" s="22" t="s">
        <v>34</v>
      </c>
      <c r="M56" s="22" t="s">
        <v>34</v>
      </c>
      <c r="N56" s="22" t="s">
        <v>35</v>
      </c>
      <c r="O56" s="22" t="s">
        <v>35</v>
      </c>
      <c r="P56" s="22" t="s">
        <v>35</v>
      </c>
      <c r="Q56" s="22" t="s">
        <v>35</v>
      </c>
      <c r="R56" s="22" t="s">
        <v>35</v>
      </c>
      <c r="S56" s="22" t="s">
        <v>34</v>
      </c>
      <c r="T56" s="22"/>
      <c r="U56" s="22"/>
      <c r="V56" s="22"/>
      <c r="W56" s="22"/>
      <c r="X56" s="22"/>
      <c r="Y56" s="22"/>
      <c r="Z56" s="22"/>
      <c r="AA56" s="22"/>
      <c r="AB56" s="22"/>
      <c r="AC56" s="22" t="s">
        <v>1935</v>
      </c>
      <c r="AD56" s="22">
        <v>20170413</v>
      </c>
      <c r="AE56" s="22">
        <v>55</v>
      </c>
      <c r="AF56" s="22"/>
      <c r="AG56" s="22" t="str">
        <f>IFERROR(VLOOKUP(TblFeedFile[[#This Row],[Leave Type ]],LkupPayType[],2,FALSE),"TBD")</f>
        <v>Closed</v>
      </c>
      <c r="AH56" s="22"/>
      <c r="AI56" s="25"/>
      <c r="AJ56" s="25"/>
      <c r="AK56" s="26"/>
    </row>
    <row r="57" spans="1:37" x14ac:dyDescent="0.25">
      <c r="A57" s="21" t="s">
        <v>29</v>
      </c>
      <c r="B57" s="22">
        <v>314304</v>
      </c>
      <c r="C57" s="22">
        <v>10514232</v>
      </c>
      <c r="D57" s="23" t="s">
        <v>2109</v>
      </c>
      <c r="E57" s="22" t="s">
        <v>533</v>
      </c>
      <c r="F57" s="22" t="s">
        <v>2110</v>
      </c>
      <c r="G57" s="22">
        <v>20161111</v>
      </c>
      <c r="H57" s="22">
        <v>20170414</v>
      </c>
      <c r="I57" s="22" t="s">
        <v>36</v>
      </c>
      <c r="J57" s="22"/>
      <c r="K57" s="22"/>
      <c r="L57" s="22" t="s">
        <v>34</v>
      </c>
      <c r="M57" s="22" t="s">
        <v>34</v>
      </c>
      <c r="N57" s="22" t="s">
        <v>35</v>
      </c>
      <c r="O57" s="22" t="s">
        <v>35</v>
      </c>
      <c r="P57" s="22" t="s">
        <v>35</v>
      </c>
      <c r="Q57" s="22" t="s">
        <v>35</v>
      </c>
      <c r="R57" s="22" t="s">
        <v>35</v>
      </c>
      <c r="S57" s="22" t="s">
        <v>34</v>
      </c>
      <c r="T57" s="22"/>
      <c r="U57" s="22"/>
      <c r="V57" s="22"/>
      <c r="W57" s="22"/>
      <c r="X57" s="22"/>
      <c r="Y57" s="22"/>
      <c r="Z57" s="22"/>
      <c r="AA57" s="22"/>
      <c r="AB57" s="22"/>
      <c r="AC57" s="22" t="s">
        <v>1964</v>
      </c>
      <c r="AD57" s="22">
        <v>20170413</v>
      </c>
      <c r="AE57" s="22">
        <v>56</v>
      </c>
      <c r="AF57" s="22"/>
      <c r="AG57" s="22" t="str">
        <f>IFERROR(VLOOKUP(TblFeedFile[[#This Row],[Leave Type ]],LkupPayType[],2,FALSE),"TBD")</f>
        <v>Unpaid</v>
      </c>
      <c r="AH57" s="22"/>
      <c r="AI57" s="25"/>
      <c r="AJ57" s="25"/>
      <c r="AK57" s="26"/>
    </row>
    <row r="58" spans="1:37" x14ac:dyDescent="0.25">
      <c r="A58" s="21" t="s">
        <v>37</v>
      </c>
      <c r="B58" s="22">
        <v>314304</v>
      </c>
      <c r="C58" s="22">
        <v>10514232</v>
      </c>
      <c r="D58" s="23" t="s">
        <v>2109</v>
      </c>
      <c r="E58" s="22" t="s">
        <v>533</v>
      </c>
      <c r="F58" s="22" t="s">
        <v>2110</v>
      </c>
      <c r="G58" s="22">
        <v>20160930</v>
      </c>
      <c r="H58" s="22">
        <v>20170331</v>
      </c>
      <c r="I58" s="22" t="s">
        <v>156</v>
      </c>
      <c r="J58" s="22"/>
      <c r="K58" s="22"/>
      <c r="L58" s="22" t="s">
        <v>34</v>
      </c>
      <c r="M58" s="22" t="s">
        <v>34</v>
      </c>
      <c r="N58" s="22" t="s">
        <v>35</v>
      </c>
      <c r="O58" s="22" t="s">
        <v>35</v>
      </c>
      <c r="P58" s="22" t="s">
        <v>35</v>
      </c>
      <c r="Q58" s="22" t="s">
        <v>35</v>
      </c>
      <c r="R58" s="22" t="s">
        <v>35</v>
      </c>
      <c r="S58" s="22" t="s">
        <v>34</v>
      </c>
      <c r="T58" s="22"/>
      <c r="U58" s="22"/>
      <c r="V58" s="22"/>
      <c r="W58" s="22"/>
      <c r="X58" s="22"/>
      <c r="Y58" s="22"/>
      <c r="Z58" s="22"/>
      <c r="AA58" s="22"/>
      <c r="AB58" s="22"/>
      <c r="AC58" s="22" t="s">
        <v>1993</v>
      </c>
      <c r="AD58" s="22">
        <v>20170413</v>
      </c>
      <c r="AE58" s="22">
        <v>57</v>
      </c>
      <c r="AF58" s="22"/>
      <c r="AG58" s="22" t="str">
        <f>IFERROR(VLOOKUP(TblFeedFile[[#This Row],[Leave Type ]],LkupPayType[],2,FALSE),"TBD")</f>
        <v>Unpaid</v>
      </c>
      <c r="AH58" s="22"/>
      <c r="AI58" s="25"/>
      <c r="AJ58" s="25"/>
      <c r="AK58" s="26"/>
    </row>
    <row r="59" spans="1:37" x14ac:dyDescent="0.25">
      <c r="A59" s="21" t="s">
        <v>37</v>
      </c>
      <c r="B59" s="22">
        <v>314304</v>
      </c>
      <c r="C59" s="22">
        <v>10514232</v>
      </c>
      <c r="D59" s="23" t="s">
        <v>2109</v>
      </c>
      <c r="E59" s="22" t="s">
        <v>533</v>
      </c>
      <c r="F59" s="22" t="s">
        <v>2110</v>
      </c>
      <c r="G59" s="22">
        <v>20161111</v>
      </c>
      <c r="H59" s="22">
        <v>20170331</v>
      </c>
      <c r="I59" s="22" t="s">
        <v>155</v>
      </c>
      <c r="J59" s="22"/>
      <c r="K59" s="22"/>
      <c r="L59" s="22" t="s">
        <v>34</v>
      </c>
      <c r="M59" s="22" t="s">
        <v>34</v>
      </c>
      <c r="N59" s="22" t="s">
        <v>35</v>
      </c>
      <c r="O59" s="22" t="s">
        <v>35</v>
      </c>
      <c r="P59" s="22" t="s">
        <v>35</v>
      </c>
      <c r="Q59" s="22" t="s">
        <v>35</v>
      </c>
      <c r="R59" s="22" t="s">
        <v>35</v>
      </c>
      <c r="S59" s="22" t="s">
        <v>34</v>
      </c>
      <c r="T59" s="22"/>
      <c r="U59" s="22"/>
      <c r="V59" s="22"/>
      <c r="W59" s="22"/>
      <c r="X59" s="22"/>
      <c r="Y59" s="22"/>
      <c r="Z59" s="22"/>
      <c r="AA59" s="22"/>
      <c r="AB59" s="22"/>
      <c r="AC59" s="22" t="s">
        <v>1964</v>
      </c>
      <c r="AD59" s="22">
        <v>20170413</v>
      </c>
      <c r="AE59" s="22">
        <v>58</v>
      </c>
      <c r="AF59" s="22"/>
      <c r="AG59" s="22" t="str">
        <f>IFERROR(VLOOKUP(TblFeedFile[[#This Row],[Leave Type ]],LkupPayType[],2,FALSE),"TBD")</f>
        <v>Paid</v>
      </c>
      <c r="AH59" s="22"/>
      <c r="AI59" s="25"/>
      <c r="AJ59" s="25"/>
      <c r="AK59" s="26"/>
    </row>
    <row r="60" spans="1:37" x14ac:dyDescent="0.25">
      <c r="A60" s="21" t="s">
        <v>37</v>
      </c>
      <c r="B60" s="22">
        <v>314304</v>
      </c>
      <c r="C60" s="22">
        <v>10514232</v>
      </c>
      <c r="D60" s="23" t="s">
        <v>2109</v>
      </c>
      <c r="E60" s="22" t="s">
        <v>533</v>
      </c>
      <c r="F60" s="22" t="s">
        <v>2110</v>
      </c>
      <c r="G60" s="22">
        <v>20161111</v>
      </c>
      <c r="H60" s="22">
        <v>20170331</v>
      </c>
      <c r="I60" s="22" t="s">
        <v>36</v>
      </c>
      <c r="J60" s="22"/>
      <c r="K60" s="22"/>
      <c r="L60" s="22" t="s">
        <v>34</v>
      </c>
      <c r="M60" s="22" t="s">
        <v>34</v>
      </c>
      <c r="N60" s="22" t="s">
        <v>35</v>
      </c>
      <c r="O60" s="22" t="s">
        <v>35</v>
      </c>
      <c r="P60" s="22" t="s">
        <v>35</v>
      </c>
      <c r="Q60" s="22" t="s">
        <v>35</v>
      </c>
      <c r="R60" s="22" t="s">
        <v>35</v>
      </c>
      <c r="S60" s="22" t="s">
        <v>34</v>
      </c>
      <c r="T60" s="22"/>
      <c r="U60" s="22"/>
      <c r="V60" s="22"/>
      <c r="W60" s="22"/>
      <c r="X60" s="22"/>
      <c r="Y60" s="22"/>
      <c r="Z60" s="22"/>
      <c r="AA60" s="22"/>
      <c r="AB60" s="22"/>
      <c r="AC60" s="22" t="s">
        <v>1964</v>
      </c>
      <c r="AD60" s="22">
        <v>20170413</v>
      </c>
      <c r="AE60" s="22">
        <v>59</v>
      </c>
      <c r="AF60" s="22"/>
      <c r="AG60" s="22" t="str">
        <f>IFERROR(VLOOKUP(TblFeedFile[[#This Row],[Leave Type ]],LkupPayType[],2,FALSE),"TBD")</f>
        <v>Unpaid</v>
      </c>
      <c r="AH60" s="22"/>
      <c r="AI60" s="25"/>
      <c r="AJ60" s="25"/>
      <c r="AK60" s="26"/>
    </row>
    <row r="61" spans="1:37" x14ac:dyDescent="0.25">
      <c r="A61" s="21" t="s">
        <v>37</v>
      </c>
      <c r="B61" s="22">
        <v>314304</v>
      </c>
      <c r="C61" s="22">
        <v>10514232</v>
      </c>
      <c r="D61" s="23" t="s">
        <v>2109</v>
      </c>
      <c r="E61" s="22" t="s">
        <v>533</v>
      </c>
      <c r="F61" s="22" t="s">
        <v>2110</v>
      </c>
      <c r="G61" s="22">
        <v>20170401</v>
      </c>
      <c r="H61" s="22">
        <v>20170401</v>
      </c>
      <c r="I61" s="22" t="s">
        <v>33</v>
      </c>
      <c r="J61" s="22"/>
      <c r="K61" s="22"/>
      <c r="L61" s="22" t="s">
        <v>34</v>
      </c>
      <c r="M61" s="22" t="s">
        <v>34</v>
      </c>
      <c r="N61" s="22" t="s">
        <v>35</v>
      </c>
      <c r="O61" s="22" t="s">
        <v>35</v>
      </c>
      <c r="P61" s="22" t="s">
        <v>35</v>
      </c>
      <c r="Q61" s="22" t="s">
        <v>35</v>
      </c>
      <c r="R61" s="22" t="s">
        <v>35</v>
      </c>
      <c r="S61" s="22" t="s">
        <v>34</v>
      </c>
      <c r="T61" s="22"/>
      <c r="U61" s="22"/>
      <c r="V61" s="22"/>
      <c r="W61" s="22"/>
      <c r="X61" s="22"/>
      <c r="Y61" s="22"/>
      <c r="Z61" s="22"/>
      <c r="AA61" s="22"/>
      <c r="AB61" s="22"/>
      <c r="AC61" s="22" t="s">
        <v>1998</v>
      </c>
      <c r="AD61" s="22">
        <v>20170413</v>
      </c>
      <c r="AE61" s="22">
        <v>60</v>
      </c>
      <c r="AF61" s="22"/>
      <c r="AG61" s="22" t="str">
        <f>IFERROR(VLOOKUP(TblFeedFile[[#This Row],[Leave Type ]],LkupPayType[],2,FALSE),"TBD")</f>
        <v>Closed</v>
      </c>
      <c r="AH61" s="22"/>
      <c r="AI61" s="25"/>
      <c r="AJ61" s="25"/>
      <c r="AK61" s="26"/>
    </row>
    <row r="62" spans="1:37" x14ac:dyDescent="0.25">
      <c r="A62" s="21" t="s">
        <v>29</v>
      </c>
      <c r="B62" s="22">
        <v>314304</v>
      </c>
      <c r="C62" s="22">
        <v>10525345</v>
      </c>
      <c r="D62" s="23" t="s">
        <v>2111</v>
      </c>
      <c r="E62" s="22" t="s">
        <v>2112</v>
      </c>
      <c r="F62" s="22" t="s">
        <v>2113</v>
      </c>
      <c r="G62" s="22">
        <v>20160812</v>
      </c>
      <c r="H62" s="22">
        <v>20170403</v>
      </c>
      <c r="I62" s="22" t="s">
        <v>36</v>
      </c>
      <c r="J62" s="22"/>
      <c r="K62" s="22"/>
      <c r="L62" s="22" t="s">
        <v>34</v>
      </c>
      <c r="M62" s="22" t="s">
        <v>34</v>
      </c>
      <c r="N62" s="22" t="s">
        <v>35</v>
      </c>
      <c r="O62" s="22" t="s">
        <v>35</v>
      </c>
      <c r="P62" s="22" t="s">
        <v>35</v>
      </c>
      <c r="Q62" s="22" t="s">
        <v>35</v>
      </c>
      <c r="R62" s="22" t="s">
        <v>35</v>
      </c>
      <c r="S62" s="22" t="s">
        <v>34</v>
      </c>
      <c r="T62" s="22">
        <v>20170404</v>
      </c>
      <c r="U62" s="22"/>
      <c r="V62" s="22"/>
      <c r="W62" s="22"/>
      <c r="X62" s="22"/>
      <c r="Y62" s="22"/>
      <c r="Z62" s="22"/>
      <c r="AA62" s="22"/>
      <c r="AB62" s="22"/>
      <c r="AC62" s="22" t="s">
        <v>2037</v>
      </c>
      <c r="AD62" s="22">
        <v>20170413</v>
      </c>
      <c r="AE62" s="22">
        <v>61</v>
      </c>
      <c r="AF62" s="22"/>
      <c r="AG62" s="22" t="str">
        <f>IFERROR(VLOOKUP(TblFeedFile[[#This Row],[Leave Type ]],LkupPayType[],2,FALSE),"TBD")</f>
        <v>Unpaid</v>
      </c>
      <c r="AH62" s="22"/>
      <c r="AI62" s="25"/>
      <c r="AJ62" s="25"/>
      <c r="AK62" s="26"/>
    </row>
    <row r="63" spans="1:37" x14ac:dyDescent="0.25">
      <c r="A63" s="21" t="s">
        <v>37</v>
      </c>
      <c r="B63" s="22">
        <v>314304</v>
      </c>
      <c r="C63" s="22">
        <v>10525345</v>
      </c>
      <c r="D63" s="23" t="s">
        <v>2111</v>
      </c>
      <c r="E63" s="22" t="s">
        <v>2112</v>
      </c>
      <c r="F63" s="22" t="s">
        <v>2113</v>
      </c>
      <c r="G63" s="22">
        <v>20160812</v>
      </c>
      <c r="H63" s="22">
        <v>20170707</v>
      </c>
      <c r="I63" s="22" t="s">
        <v>36</v>
      </c>
      <c r="J63" s="22"/>
      <c r="K63" s="22"/>
      <c r="L63" s="22" t="s">
        <v>34</v>
      </c>
      <c r="M63" s="22" t="s">
        <v>34</v>
      </c>
      <c r="N63" s="22" t="s">
        <v>35</v>
      </c>
      <c r="O63" s="22" t="s">
        <v>35</v>
      </c>
      <c r="P63" s="22" t="s">
        <v>35</v>
      </c>
      <c r="Q63" s="22" t="s">
        <v>35</v>
      </c>
      <c r="R63" s="22" t="s">
        <v>35</v>
      </c>
      <c r="S63" s="22" t="s">
        <v>34</v>
      </c>
      <c r="T63" s="22"/>
      <c r="U63" s="22"/>
      <c r="V63" s="22"/>
      <c r="W63" s="22"/>
      <c r="X63" s="22"/>
      <c r="Y63" s="22"/>
      <c r="Z63" s="22"/>
      <c r="AA63" s="22"/>
      <c r="AB63" s="22"/>
      <c r="AC63" s="22" t="s">
        <v>1993</v>
      </c>
      <c r="AD63" s="22">
        <v>20170413</v>
      </c>
      <c r="AE63" s="22">
        <v>62</v>
      </c>
      <c r="AF63" s="22"/>
      <c r="AG63" s="22" t="str">
        <f>IFERROR(VLOOKUP(TblFeedFile[[#This Row],[Leave Type ]],LkupPayType[],2,FALSE),"TBD")</f>
        <v>Unpaid</v>
      </c>
      <c r="AH63" s="22"/>
      <c r="AI63" s="25"/>
      <c r="AJ63" s="25"/>
      <c r="AK63" s="26"/>
    </row>
    <row r="64" spans="1:37" x14ac:dyDescent="0.25">
      <c r="A64" s="21" t="s">
        <v>29</v>
      </c>
      <c r="B64" s="22">
        <v>314304</v>
      </c>
      <c r="C64" s="22">
        <v>10526852</v>
      </c>
      <c r="D64" s="23">
        <v>551612158715</v>
      </c>
      <c r="E64" s="22" t="s">
        <v>2114</v>
      </c>
      <c r="F64" s="22" t="s">
        <v>2115</v>
      </c>
      <c r="G64" s="22">
        <v>20170217</v>
      </c>
      <c r="H64" s="22">
        <v>20170629</v>
      </c>
      <c r="I64" s="22" t="s">
        <v>459</v>
      </c>
      <c r="J64" s="22"/>
      <c r="K64" s="22"/>
      <c r="L64" s="22" t="s">
        <v>34</v>
      </c>
      <c r="M64" s="22" t="s">
        <v>34</v>
      </c>
      <c r="N64" s="22" t="s">
        <v>35</v>
      </c>
      <c r="O64" s="22" t="s">
        <v>35</v>
      </c>
      <c r="P64" s="22" t="s">
        <v>35</v>
      </c>
      <c r="Q64" s="22" t="s">
        <v>35</v>
      </c>
      <c r="R64" s="22" t="s">
        <v>35</v>
      </c>
      <c r="S64" s="22" t="s">
        <v>34</v>
      </c>
      <c r="T64" s="22"/>
      <c r="U64" s="22"/>
      <c r="V64" s="22"/>
      <c r="W64" s="22"/>
      <c r="X64" s="22"/>
      <c r="Y64" s="22"/>
      <c r="Z64" s="22"/>
      <c r="AA64" s="22"/>
      <c r="AB64" s="22"/>
      <c r="AC64" s="22" t="s">
        <v>1897</v>
      </c>
      <c r="AD64" s="22">
        <v>20170413</v>
      </c>
      <c r="AE64" s="22">
        <v>63</v>
      </c>
      <c r="AF64" s="22"/>
      <c r="AG64" s="22" t="str">
        <f>IFERROR(VLOOKUP(TblFeedFile[[#This Row],[Leave Type ]],LkupPayType[],2,FALSE),"TBD")</f>
        <v>Paid</v>
      </c>
      <c r="AH64" s="22"/>
      <c r="AI64" s="25"/>
      <c r="AJ64" s="25"/>
      <c r="AK64" s="26"/>
    </row>
    <row r="65" spans="1:37" x14ac:dyDescent="0.25">
      <c r="A65" s="21" t="s">
        <v>37</v>
      </c>
      <c r="B65" s="22">
        <v>314304</v>
      </c>
      <c r="C65" s="22">
        <v>10526852</v>
      </c>
      <c r="D65" s="23">
        <v>551612158715</v>
      </c>
      <c r="E65" s="22" t="s">
        <v>2114</v>
      </c>
      <c r="F65" s="22" t="s">
        <v>2115</v>
      </c>
      <c r="G65" s="22">
        <v>20170207</v>
      </c>
      <c r="H65" s="22">
        <v>20170619</v>
      </c>
      <c r="I65" s="22" t="s">
        <v>459</v>
      </c>
      <c r="J65" s="22"/>
      <c r="K65" s="22"/>
      <c r="L65" s="22" t="s">
        <v>34</v>
      </c>
      <c r="M65" s="22" t="s">
        <v>34</v>
      </c>
      <c r="N65" s="22" t="s">
        <v>35</v>
      </c>
      <c r="O65" s="22" t="s">
        <v>35</v>
      </c>
      <c r="P65" s="22" t="s">
        <v>35</v>
      </c>
      <c r="Q65" s="22" t="s">
        <v>35</v>
      </c>
      <c r="R65" s="22" t="s">
        <v>35</v>
      </c>
      <c r="S65" s="22" t="s">
        <v>34</v>
      </c>
      <c r="T65" s="22"/>
      <c r="U65" s="22"/>
      <c r="V65" s="22"/>
      <c r="W65" s="22"/>
      <c r="X65" s="22"/>
      <c r="Y65" s="22"/>
      <c r="Z65" s="22"/>
      <c r="AA65" s="22"/>
      <c r="AB65" s="22"/>
      <c r="AC65" s="22" t="s">
        <v>1897</v>
      </c>
      <c r="AD65" s="22">
        <v>20170413</v>
      </c>
      <c r="AE65" s="22">
        <v>64</v>
      </c>
      <c r="AF65" s="22"/>
      <c r="AG65" s="22" t="str">
        <f>IFERROR(VLOOKUP(TblFeedFile[[#This Row],[Leave Type ]],LkupPayType[],2,FALSE),"TBD")</f>
        <v>Paid</v>
      </c>
      <c r="AH65" s="22"/>
      <c r="AI65" s="25"/>
      <c r="AJ65" s="25"/>
      <c r="AK65" s="26"/>
    </row>
    <row r="66" spans="1:37" x14ac:dyDescent="0.25">
      <c r="A66" s="21" t="s">
        <v>29</v>
      </c>
      <c r="B66" s="22">
        <v>314305</v>
      </c>
      <c r="C66" s="22">
        <v>10528143</v>
      </c>
      <c r="D66" s="23">
        <v>571703158567</v>
      </c>
      <c r="E66" s="22" t="s">
        <v>171</v>
      </c>
      <c r="F66" s="22" t="s">
        <v>2116</v>
      </c>
      <c r="G66" s="22">
        <v>20170320</v>
      </c>
      <c r="H66" s="22">
        <v>20170418</v>
      </c>
      <c r="I66" s="22" t="s">
        <v>40</v>
      </c>
      <c r="J66" s="22"/>
      <c r="K66" s="22"/>
      <c r="L66" s="22" t="s">
        <v>34</v>
      </c>
      <c r="M66" s="22" t="s">
        <v>34</v>
      </c>
      <c r="N66" s="22" t="s">
        <v>35</v>
      </c>
      <c r="O66" s="22" t="s">
        <v>35</v>
      </c>
      <c r="P66" s="22" t="s">
        <v>35</v>
      </c>
      <c r="Q66" s="22" t="s">
        <v>35</v>
      </c>
      <c r="R66" s="22" t="s">
        <v>35</v>
      </c>
      <c r="S66" s="22" t="s">
        <v>34</v>
      </c>
      <c r="T66" s="22"/>
      <c r="U66" s="22"/>
      <c r="V66" s="22"/>
      <c r="W66" s="22"/>
      <c r="X66" s="22"/>
      <c r="Y66" s="22"/>
      <c r="Z66" s="22"/>
      <c r="AA66" s="22"/>
      <c r="AB66" s="22"/>
      <c r="AC66" s="22" t="s">
        <v>1900</v>
      </c>
      <c r="AD66" s="22">
        <v>20170413</v>
      </c>
      <c r="AE66" s="22">
        <v>65</v>
      </c>
      <c r="AF66" s="22"/>
      <c r="AG66" s="22" t="str">
        <f>IFERROR(VLOOKUP(TblFeedFile[[#This Row],[Leave Type ]],LkupPayType[],2,FALSE),"TBD")</f>
        <v>Paid</v>
      </c>
      <c r="AH66" s="22"/>
      <c r="AI66" s="25"/>
      <c r="AJ66" s="25"/>
      <c r="AK66" s="26"/>
    </row>
    <row r="67" spans="1:37" x14ac:dyDescent="0.25">
      <c r="A67" s="21" t="s">
        <v>37</v>
      </c>
      <c r="B67" s="22">
        <v>314305</v>
      </c>
      <c r="C67" s="22">
        <v>10528143</v>
      </c>
      <c r="D67" s="23">
        <v>571703158567</v>
      </c>
      <c r="E67" s="22" t="s">
        <v>171</v>
      </c>
      <c r="F67" s="22" t="s">
        <v>2116</v>
      </c>
      <c r="G67" s="22">
        <v>20170320</v>
      </c>
      <c r="H67" s="22">
        <v>20170417</v>
      </c>
      <c r="I67" s="22" t="s">
        <v>40</v>
      </c>
      <c r="J67" s="22"/>
      <c r="K67" s="22"/>
      <c r="L67" s="22" t="s">
        <v>34</v>
      </c>
      <c r="M67" s="22" t="s">
        <v>34</v>
      </c>
      <c r="N67" s="22" t="s">
        <v>35</v>
      </c>
      <c r="O67" s="22" t="s">
        <v>35</v>
      </c>
      <c r="P67" s="22" t="s">
        <v>35</v>
      </c>
      <c r="Q67" s="22" t="s">
        <v>35</v>
      </c>
      <c r="R67" s="22" t="s">
        <v>35</v>
      </c>
      <c r="S67" s="22" t="s">
        <v>34</v>
      </c>
      <c r="T67" s="22"/>
      <c r="U67" s="22"/>
      <c r="V67" s="22"/>
      <c r="W67" s="22"/>
      <c r="X67" s="22"/>
      <c r="Y67" s="22"/>
      <c r="Z67" s="22"/>
      <c r="AA67" s="22"/>
      <c r="AB67" s="22"/>
      <c r="AC67" s="22" t="s">
        <v>1900</v>
      </c>
      <c r="AD67" s="22">
        <v>20170413</v>
      </c>
      <c r="AE67" s="22">
        <v>66</v>
      </c>
      <c r="AF67" s="22"/>
      <c r="AG67" s="22" t="str">
        <f>IFERROR(VLOOKUP(TblFeedFile[[#This Row],[Leave Type ]],LkupPayType[],2,FALSE),"TBD")</f>
        <v>Paid</v>
      </c>
      <c r="AH67" s="22"/>
      <c r="AI67" s="25"/>
      <c r="AJ67" s="25"/>
      <c r="AK67" s="26"/>
    </row>
    <row r="68" spans="1:37" x14ac:dyDescent="0.25">
      <c r="A68" s="21" t="s">
        <v>37</v>
      </c>
      <c r="B68" s="22">
        <v>314304</v>
      </c>
      <c r="C68" s="22">
        <v>10544306</v>
      </c>
      <c r="D68" s="23">
        <v>531704138843</v>
      </c>
      <c r="E68" s="22" t="s">
        <v>1140</v>
      </c>
      <c r="F68" s="22" t="s">
        <v>2117</v>
      </c>
      <c r="G68" s="22">
        <v>20170408</v>
      </c>
      <c r="H68" s="22">
        <v>20170509</v>
      </c>
      <c r="I68" s="22" t="s">
        <v>53</v>
      </c>
      <c r="J68" s="22"/>
      <c r="K68" s="22"/>
      <c r="L68" s="22" t="s">
        <v>34</v>
      </c>
      <c r="M68" s="22" t="s">
        <v>34</v>
      </c>
      <c r="N68" s="22" t="s">
        <v>35</v>
      </c>
      <c r="O68" s="22" t="s">
        <v>35</v>
      </c>
      <c r="P68" s="22" t="s">
        <v>35</v>
      </c>
      <c r="Q68" s="22" t="s">
        <v>35</v>
      </c>
      <c r="R68" s="22" t="s">
        <v>35</v>
      </c>
      <c r="S68" s="22" t="s">
        <v>34</v>
      </c>
      <c r="T68" s="22"/>
      <c r="U68" s="22"/>
      <c r="V68" s="22"/>
      <c r="W68" s="22"/>
      <c r="X68" s="22"/>
      <c r="Y68" s="22"/>
      <c r="Z68" s="22"/>
      <c r="AA68" s="22"/>
      <c r="AB68" s="22"/>
      <c r="AC68" s="22" t="s">
        <v>1900</v>
      </c>
      <c r="AD68" s="22">
        <v>20170413</v>
      </c>
      <c r="AE68" s="22">
        <v>67</v>
      </c>
      <c r="AF68" s="22"/>
      <c r="AG68" s="22" t="str">
        <f>IFERROR(VLOOKUP(TblFeedFile[[#This Row],[Leave Type ]],LkupPayType[],2,FALSE),"TBD")</f>
        <v>Paid</v>
      </c>
      <c r="AH68" s="22"/>
      <c r="AI68" s="25"/>
      <c r="AJ68" s="25"/>
      <c r="AK68" s="26"/>
    </row>
    <row r="69" spans="1:37" x14ac:dyDescent="0.25">
      <c r="A69" s="21" t="s">
        <v>37</v>
      </c>
      <c r="B69" s="22">
        <v>314304</v>
      </c>
      <c r="C69" s="22">
        <v>10546838</v>
      </c>
      <c r="D69" s="23">
        <v>511704128669</v>
      </c>
      <c r="E69" s="22" t="s">
        <v>1937</v>
      </c>
      <c r="F69" s="22" t="s">
        <v>1938</v>
      </c>
      <c r="G69" s="22">
        <v>20170410</v>
      </c>
      <c r="H69" s="22">
        <v>20170512</v>
      </c>
      <c r="I69" s="22" t="s">
        <v>53</v>
      </c>
      <c r="J69" s="22"/>
      <c r="K69" s="22"/>
      <c r="L69" s="22" t="s">
        <v>34</v>
      </c>
      <c r="M69" s="22" t="s">
        <v>34</v>
      </c>
      <c r="N69" s="22" t="s">
        <v>35</v>
      </c>
      <c r="O69" s="22" t="s">
        <v>35</v>
      </c>
      <c r="P69" s="22" t="s">
        <v>35</v>
      </c>
      <c r="Q69" s="22" t="s">
        <v>35</v>
      </c>
      <c r="R69" s="22" t="s">
        <v>35</v>
      </c>
      <c r="S69" s="22" t="s">
        <v>34</v>
      </c>
      <c r="T69" s="22"/>
      <c r="U69" s="22"/>
      <c r="V69" s="22"/>
      <c r="W69" s="22"/>
      <c r="X69" s="22"/>
      <c r="Y69" s="22"/>
      <c r="Z69" s="22"/>
      <c r="AA69" s="22"/>
      <c r="AB69" s="22"/>
      <c r="AC69" s="22" t="s">
        <v>1900</v>
      </c>
      <c r="AD69" s="22">
        <v>20170413</v>
      </c>
      <c r="AE69" s="22">
        <v>68</v>
      </c>
      <c r="AF69" s="22"/>
      <c r="AG69" s="22" t="str">
        <f>IFERROR(VLOOKUP(TblFeedFile[[#This Row],[Leave Type ]],LkupPayType[],2,FALSE),"TBD")</f>
        <v>Paid</v>
      </c>
      <c r="AH69" s="22"/>
      <c r="AI69" s="25"/>
      <c r="AJ69" s="25"/>
      <c r="AK69" s="26"/>
    </row>
    <row r="70" spans="1:37" x14ac:dyDescent="0.25">
      <c r="A70" s="21" t="s">
        <v>29</v>
      </c>
      <c r="B70" s="22">
        <v>314304</v>
      </c>
      <c r="C70" s="22">
        <v>10548718</v>
      </c>
      <c r="D70" s="23" t="s">
        <v>2118</v>
      </c>
      <c r="E70" s="22" t="s">
        <v>2119</v>
      </c>
      <c r="F70" s="22" t="s">
        <v>305</v>
      </c>
      <c r="G70" s="22">
        <v>20170328</v>
      </c>
      <c r="H70" s="22">
        <v>20170328</v>
      </c>
      <c r="I70" s="22" t="s">
        <v>33</v>
      </c>
      <c r="J70" s="22"/>
      <c r="K70" s="22"/>
      <c r="L70" s="22" t="s">
        <v>34</v>
      </c>
      <c r="M70" s="22" t="s">
        <v>34</v>
      </c>
      <c r="N70" s="22" t="s">
        <v>35</v>
      </c>
      <c r="O70" s="22" t="s">
        <v>35</v>
      </c>
      <c r="P70" s="22" t="s">
        <v>35</v>
      </c>
      <c r="Q70" s="22" t="s">
        <v>35</v>
      </c>
      <c r="R70" s="22" t="s">
        <v>35</v>
      </c>
      <c r="S70" s="22" t="s">
        <v>34</v>
      </c>
      <c r="T70" s="22"/>
      <c r="U70" s="22"/>
      <c r="V70" s="22"/>
      <c r="W70" s="22"/>
      <c r="X70" s="22"/>
      <c r="Y70" s="22"/>
      <c r="Z70" s="22"/>
      <c r="AA70" s="22"/>
      <c r="AB70" s="22"/>
      <c r="AC70" s="22" t="s">
        <v>2062</v>
      </c>
      <c r="AD70" s="22">
        <v>20170413</v>
      </c>
      <c r="AE70" s="22">
        <v>69</v>
      </c>
      <c r="AF70" s="22"/>
      <c r="AG70" s="22" t="str">
        <f>IFERROR(VLOOKUP(TblFeedFile[[#This Row],[Leave Type ]],LkupPayType[],2,FALSE),"TBD")</f>
        <v>Closed</v>
      </c>
      <c r="AH70" s="22"/>
      <c r="AI70" s="25"/>
      <c r="AJ70" s="25"/>
      <c r="AK70" s="26"/>
    </row>
    <row r="71" spans="1:37" x14ac:dyDescent="0.25">
      <c r="A71" s="21" t="s">
        <v>37</v>
      </c>
      <c r="B71" s="22">
        <v>314304</v>
      </c>
      <c r="C71" s="22">
        <v>10548718</v>
      </c>
      <c r="D71" s="23" t="s">
        <v>2118</v>
      </c>
      <c r="E71" s="22" t="s">
        <v>2119</v>
      </c>
      <c r="F71" s="22" t="s">
        <v>305</v>
      </c>
      <c r="G71" s="22">
        <v>20161130</v>
      </c>
      <c r="H71" s="22">
        <v>20170327</v>
      </c>
      <c r="I71" s="22" t="s">
        <v>36</v>
      </c>
      <c r="J71" s="22"/>
      <c r="K71" s="22"/>
      <c r="L71" s="22" t="s">
        <v>34</v>
      </c>
      <c r="M71" s="22" t="s">
        <v>34</v>
      </c>
      <c r="N71" s="22" t="s">
        <v>35</v>
      </c>
      <c r="O71" s="22" t="s">
        <v>35</v>
      </c>
      <c r="P71" s="22" t="s">
        <v>35</v>
      </c>
      <c r="Q71" s="22" t="s">
        <v>35</v>
      </c>
      <c r="R71" s="22" t="s">
        <v>35</v>
      </c>
      <c r="S71" s="22" t="s">
        <v>34</v>
      </c>
      <c r="T71" s="22">
        <v>20170403</v>
      </c>
      <c r="U71" s="22"/>
      <c r="V71" s="22"/>
      <c r="W71" s="22"/>
      <c r="X71" s="22"/>
      <c r="Y71" s="22"/>
      <c r="Z71" s="22"/>
      <c r="AA71" s="22"/>
      <c r="AB71" s="22"/>
      <c r="AC71" s="22" t="s">
        <v>1971</v>
      </c>
      <c r="AD71" s="22">
        <v>20170413</v>
      </c>
      <c r="AE71" s="22">
        <v>70</v>
      </c>
      <c r="AF71" s="22"/>
      <c r="AG71" s="22" t="str">
        <f>IFERROR(VLOOKUP(TblFeedFile[[#This Row],[Leave Type ]],LkupPayType[],2,FALSE),"TBD")</f>
        <v>Unpaid</v>
      </c>
      <c r="AH71" s="22"/>
      <c r="AI71" s="25" t="s">
        <v>35</v>
      </c>
      <c r="AJ71" s="25"/>
      <c r="AK71" s="26" t="s">
        <v>35</v>
      </c>
    </row>
    <row r="72" spans="1:37" x14ac:dyDescent="0.25">
      <c r="A72" s="21" t="s">
        <v>29</v>
      </c>
      <c r="B72" s="22">
        <v>314304</v>
      </c>
      <c r="C72" s="22">
        <v>10551665</v>
      </c>
      <c r="D72" s="23" t="s">
        <v>2120</v>
      </c>
      <c r="E72" s="22" t="s">
        <v>1573</v>
      </c>
      <c r="F72" s="22" t="s">
        <v>1939</v>
      </c>
      <c r="G72" s="22">
        <v>20161205</v>
      </c>
      <c r="H72" s="22">
        <v>20170117</v>
      </c>
      <c r="I72" s="22" t="s">
        <v>36</v>
      </c>
      <c r="J72" s="22"/>
      <c r="K72" s="22"/>
      <c r="L72" s="22" t="s">
        <v>34</v>
      </c>
      <c r="M72" s="22" t="s">
        <v>34</v>
      </c>
      <c r="N72" s="22" t="s">
        <v>35</v>
      </c>
      <c r="O72" s="22" t="s">
        <v>35</v>
      </c>
      <c r="P72" s="22" t="s">
        <v>35</v>
      </c>
      <c r="Q72" s="22" t="s">
        <v>35</v>
      </c>
      <c r="R72" s="22" t="s">
        <v>35</v>
      </c>
      <c r="S72" s="22" t="s">
        <v>34</v>
      </c>
      <c r="T72" s="22">
        <v>20170118</v>
      </c>
      <c r="U72" s="22"/>
      <c r="V72" s="22"/>
      <c r="W72" s="22"/>
      <c r="X72" s="22"/>
      <c r="Y72" s="22"/>
      <c r="Z72" s="22"/>
      <c r="AA72" s="22"/>
      <c r="AB72" s="22"/>
      <c r="AC72" s="22" t="s">
        <v>2013</v>
      </c>
      <c r="AD72" s="22">
        <v>20170413</v>
      </c>
      <c r="AE72" s="22">
        <v>71</v>
      </c>
      <c r="AF72" s="22"/>
      <c r="AG72" s="22" t="str">
        <f>IFERROR(VLOOKUP(TblFeedFile[[#This Row],[Leave Type ]],LkupPayType[],2,FALSE),"TBD")</f>
        <v>Unpaid</v>
      </c>
      <c r="AH72" s="22"/>
      <c r="AI72" s="25"/>
      <c r="AJ72" s="25"/>
      <c r="AK72" s="26"/>
    </row>
    <row r="73" spans="1:37" x14ac:dyDescent="0.25">
      <c r="A73" s="21" t="s">
        <v>37</v>
      </c>
      <c r="B73" s="22">
        <v>314304</v>
      </c>
      <c r="C73" s="22">
        <v>10551665</v>
      </c>
      <c r="D73" s="23" t="s">
        <v>2120</v>
      </c>
      <c r="E73" s="22" t="s">
        <v>1573</v>
      </c>
      <c r="F73" s="22" t="s">
        <v>1939</v>
      </c>
      <c r="G73" s="22">
        <v>20170113</v>
      </c>
      <c r="H73" s="22">
        <v>20170205</v>
      </c>
      <c r="I73" s="22" t="s">
        <v>36</v>
      </c>
      <c r="J73" s="22"/>
      <c r="K73" s="22"/>
      <c r="L73" s="22" t="s">
        <v>34</v>
      </c>
      <c r="M73" s="22" t="s">
        <v>34</v>
      </c>
      <c r="N73" s="22" t="s">
        <v>35</v>
      </c>
      <c r="O73" s="22" t="s">
        <v>35</v>
      </c>
      <c r="P73" s="22" t="s">
        <v>35</v>
      </c>
      <c r="Q73" s="22" t="s">
        <v>35</v>
      </c>
      <c r="R73" s="22" t="s">
        <v>35</v>
      </c>
      <c r="S73" s="22" t="s">
        <v>34</v>
      </c>
      <c r="T73" s="22"/>
      <c r="U73" s="22"/>
      <c r="V73" s="22"/>
      <c r="W73" s="22"/>
      <c r="X73" s="22"/>
      <c r="Y73" s="22"/>
      <c r="Z73" s="22"/>
      <c r="AA73" s="22"/>
      <c r="AB73" s="22"/>
      <c r="AC73" s="22" t="s">
        <v>1964</v>
      </c>
      <c r="AD73" s="22">
        <v>20170413</v>
      </c>
      <c r="AE73" s="22">
        <v>72</v>
      </c>
      <c r="AF73" s="22"/>
      <c r="AG73" s="22" t="str">
        <f>IFERROR(VLOOKUP(TblFeedFile[[#This Row],[Leave Type ]],LkupPayType[],2,FALSE),"TBD")</f>
        <v>Unpaid</v>
      </c>
      <c r="AH73" s="22"/>
      <c r="AI73" s="25"/>
      <c r="AJ73" s="25"/>
      <c r="AK73" s="26"/>
    </row>
    <row r="74" spans="1:37" x14ac:dyDescent="0.25">
      <c r="A74" s="21" t="s">
        <v>29</v>
      </c>
      <c r="B74" s="22">
        <v>314304</v>
      </c>
      <c r="C74" s="22">
        <v>10560940</v>
      </c>
      <c r="D74" s="23" t="s">
        <v>1940</v>
      </c>
      <c r="E74" s="22" t="s">
        <v>1941</v>
      </c>
      <c r="F74" s="22" t="s">
        <v>1942</v>
      </c>
      <c r="G74" s="22">
        <v>20170412</v>
      </c>
      <c r="H74" s="22">
        <v>20170430</v>
      </c>
      <c r="I74" s="22" t="s">
        <v>78</v>
      </c>
      <c r="J74" s="22"/>
      <c r="K74" s="22" t="s">
        <v>79</v>
      </c>
      <c r="L74" s="22" t="s">
        <v>34</v>
      </c>
      <c r="M74" s="22" t="s">
        <v>34</v>
      </c>
      <c r="N74" s="22" t="s">
        <v>35</v>
      </c>
      <c r="O74" s="22" t="s">
        <v>35</v>
      </c>
      <c r="P74" s="22" t="s">
        <v>35</v>
      </c>
      <c r="Q74" s="22" t="s">
        <v>35</v>
      </c>
      <c r="R74" s="22" t="s">
        <v>35</v>
      </c>
      <c r="S74" s="22" t="s">
        <v>34</v>
      </c>
      <c r="T74" s="22"/>
      <c r="U74" s="22"/>
      <c r="V74" s="22"/>
      <c r="W74" s="22"/>
      <c r="X74" s="22"/>
      <c r="Y74" s="22"/>
      <c r="Z74" s="22"/>
      <c r="AA74" s="22"/>
      <c r="AB74" s="22"/>
      <c r="AC74" s="22" t="s">
        <v>1896</v>
      </c>
      <c r="AD74" s="22">
        <v>20170413</v>
      </c>
      <c r="AE74" s="22">
        <v>73</v>
      </c>
      <c r="AF74" s="22"/>
      <c r="AG74" s="22" t="str">
        <f>IFERROR(VLOOKUP(TblFeedFile[[#This Row],[Leave Type ]],LkupPayType[],2,FALSE),"TBD")</f>
        <v>Unpaid</v>
      </c>
      <c r="AH74" s="22"/>
      <c r="AI74" s="25"/>
      <c r="AJ74" s="25"/>
      <c r="AK74" s="26"/>
    </row>
    <row r="75" spans="1:37" x14ac:dyDescent="0.25">
      <c r="A75" s="21" t="s">
        <v>37</v>
      </c>
      <c r="B75" s="22">
        <v>314304</v>
      </c>
      <c r="C75" s="22">
        <v>10560940</v>
      </c>
      <c r="D75" s="23" t="s">
        <v>1940</v>
      </c>
      <c r="E75" s="22" t="s">
        <v>1941</v>
      </c>
      <c r="F75" s="22" t="s">
        <v>1942</v>
      </c>
      <c r="G75" s="22">
        <v>20170412</v>
      </c>
      <c r="H75" s="22">
        <v>20170430</v>
      </c>
      <c r="I75" s="22" t="s">
        <v>36</v>
      </c>
      <c r="J75" s="22"/>
      <c r="K75" s="22"/>
      <c r="L75" s="22" t="s">
        <v>34</v>
      </c>
      <c r="M75" s="22" t="s">
        <v>34</v>
      </c>
      <c r="N75" s="22" t="s">
        <v>35</v>
      </c>
      <c r="O75" s="22" t="s">
        <v>35</v>
      </c>
      <c r="P75" s="22" t="s">
        <v>35</v>
      </c>
      <c r="Q75" s="22" t="s">
        <v>35</v>
      </c>
      <c r="R75" s="22" t="s">
        <v>35</v>
      </c>
      <c r="S75" s="22" t="s">
        <v>34</v>
      </c>
      <c r="T75" s="22"/>
      <c r="U75" s="22"/>
      <c r="V75" s="22"/>
      <c r="W75" s="22"/>
      <c r="X75" s="22"/>
      <c r="Y75" s="22"/>
      <c r="Z75" s="22"/>
      <c r="AA75" s="22"/>
      <c r="AB75" s="22"/>
      <c r="AC75" s="22" t="s">
        <v>1905</v>
      </c>
      <c r="AD75" s="22">
        <v>20170413</v>
      </c>
      <c r="AE75" s="22">
        <v>74</v>
      </c>
      <c r="AF75" s="22"/>
      <c r="AG75" s="22" t="str">
        <f>IFERROR(VLOOKUP(TblFeedFile[[#This Row],[Leave Type ]],LkupPayType[],2,FALSE),"TBD")</f>
        <v>Unpaid</v>
      </c>
      <c r="AH75" s="22"/>
      <c r="AI75" s="25"/>
      <c r="AJ75" s="25"/>
      <c r="AK75" s="26"/>
    </row>
    <row r="76" spans="1:37" x14ac:dyDescent="0.25">
      <c r="A76" s="21" t="s">
        <v>37</v>
      </c>
      <c r="B76" s="22">
        <v>314304</v>
      </c>
      <c r="C76" s="22">
        <v>20009839</v>
      </c>
      <c r="D76" s="23" t="s">
        <v>2121</v>
      </c>
      <c r="E76" s="22" t="s">
        <v>187</v>
      </c>
      <c r="F76" s="22" t="s">
        <v>188</v>
      </c>
      <c r="G76" s="22">
        <v>20170407</v>
      </c>
      <c r="H76" s="22">
        <v>20170424</v>
      </c>
      <c r="I76" s="22" t="s">
        <v>36</v>
      </c>
      <c r="J76" s="22"/>
      <c r="K76" s="22"/>
      <c r="L76" s="22" t="s">
        <v>34</v>
      </c>
      <c r="M76" s="22" t="s">
        <v>34</v>
      </c>
      <c r="N76" s="22" t="s">
        <v>34</v>
      </c>
      <c r="O76" s="22" t="s">
        <v>35</v>
      </c>
      <c r="P76" s="22" t="s">
        <v>35</v>
      </c>
      <c r="Q76" s="22" t="s">
        <v>35</v>
      </c>
      <c r="R76" s="22" t="s">
        <v>35</v>
      </c>
      <c r="S76" s="22" t="s">
        <v>35</v>
      </c>
      <c r="T76" s="22"/>
      <c r="U76" s="22"/>
      <c r="V76" s="22"/>
      <c r="W76" s="22"/>
      <c r="X76" s="22"/>
      <c r="Y76" s="22"/>
      <c r="Z76" s="22"/>
      <c r="AA76" s="22"/>
      <c r="AB76" s="22"/>
      <c r="AC76" s="22" t="s">
        <v>1905</v>
      </c>
      <c r="AD76" s="22">
        <v>20170413</v>
      </c>
      <c r="AE76" s="22">
        <v>75</v>
      </c>
      <c r="AF76" s="22"/>
      <c r="AG76" s="22" t="str">
        <f>IFERROR(VLOOKUP(TblFeedFile[[#This Row],[Leave Type ]],LkupPayType[],2,FALSE),"TBD")</f>
        <v>Unpaid</v>
      </c>
      <c r="AH76" s="22"/>
      <c r="AI76" s="25"/>
      <c r="AJ76" s="25"/>
      <c r="AK76" s="26"/>
    </row>
    <row r="77" spans="1:37" x14ac:dyDescent="0.25">
      <c r="A77" s="21" t="s">
        <v>29</v>
      </c>
      <c r="B77" s="22">
        <v>314304</v>
      </c>
      <c r="C77" s="22">
        <v>20094528</v>
      </c>
      <c r="D77" s="23">
        <v>511704048891</v>
      </c>
      <c r="E77" s="22" t="s">
        <v>82</v>
      </c>
      <c r="F77" s="22" t="s">
        <v>2122</v>
      </c>
      <c r="G77" s="22">
        <v>20170330</v>
      </c>
      <c r="H77" s="22">
        <v>20170429</v>
      </c>
      <c r="I77" s="22" t="s">
        <v>53</v>
      </c>
      <c r="J77" s="22"/>
      <c r="K77" s="22"/>
      <c r="L77" s="22" t="s">
        <v>34</v>
      </c>
      <c r="M77" s="22" t="s">
        <v>34</v>
      </c>
      <c r="N77" s="22" t="s">
        <v>35</v>
      </c>
      <c r="O77" s="22" t="s">
        <v>35</v>
      </c>
      <c r="P77" s="22" t="s">
        <v>35</v>
      </c>
      <c r="Q77" s="22" t="s">
        <v>34</v>
      </c>
      <c r="R77" s="22" t="s">
        <v>35</v>
      </c>
      <c r="S77" s="22" t="s">
        <v>34</v>
      </c>
      <c r="T77" s="22"/>
      <c r="U77" s="22"/>
      <c r="V77" s="22"/>
      <c r="W77" s="22"/>
      <c r="X77" s="22"/>
      <c r="Y77" s="22"/>
      <c r="Z77" s="22"/>
      <c r="AA77" s="22"/>
      <c r="AB77" s="22"/>
      <c r="AC77" s="22" t="s">
        <v>1912</v>
      </c>
      <c r="AD77" s="22">
        <v>20170413</v>
      </c>
      <c r="AE77" s="22">
        <v>76</v>
      </c>
      <c r="AF77" s="22"/>
      <c r="AG77" s="22" t="str">
        <f>IFERROR(VLOOKUP(TblFeedFile[[#This Row],[Leave Type ]],LkupPayType[],2,FALSE),"TBD")</f>
        <v>Paid</v>
      </c>
      <c r="AH77" s="22"/>
      <c r="AI77" s="25"/>
      <c r="AJ77" s="25"/>
      <c r="AK77" s="26"/>
    </row>
    <row r="78" spans="1:37" x14ac:dyDescent="0.25">
      <c r="A78" s="21" t="s">
        <v>37</v>
      </c>
      <c r="B78" s="22">
        <v>314304</v>
      </c>
      <c r="C78" s="22">
        <v>20094528</v>
      </c>
      <c r="D78" s="23">
        <v>511704048891</v>
      </c>
      <c r="E78" s="22" t="s">
        <v>82</v>
      </c>
      <c r="F78" s="22" t="s">
        <v>2122</v>
      </c>
      <c r="G78" s="22">
        <v>20170331</v>
      </c>
      <c r="H78" s="22">
        <v>20170504</v>
      </c>
      <c r="I78" s="22" t="s">
        <v>53</v>
      </c>
      <c r="J78" s="22"/>
      <c r="K78" s="22"/>
      <c r="L78" s="22" t="s">
        <v>34</v>
      </c>
      <c r="M78" s="22" t="s">
        <v>34</v>
      </c>
      <c r="N78" s="22" t="s">
        <v>35</v>
      </c>
      <c r="O78" s="22" t="s">
        <v>35</v>
      </c>
      <c r="P78" s="22" t="s">
        <v>35</v>
      </c>
      <c r="Q78" s="22" t="s">
        <v>34</v>
      </c>
      <c r="R78" s="22" t="s">
        <v>35</v>
      </c>
      <c r="S78" s="22" t="s">
        <v>34</v>
      </c>
      <c r="T78" s="22"/>
      <c r="U78" s="22"/>
      <c r="V78" s="22"/>
      <c r="W78" s="22"/>
      <c r="X78" s="22"/>
      <c r="Y78" s="22"/>
      <c r="Z78" s="22"/>
      <c r="AA78" s="22"/>
      <c r="AB78" s="22"/>
      <c r="AC78" s="22" t="s">
        <v>1912</v>
      </c>
      <c r="AD78" s="22">
        <v>20170413</v>
      </c>
      <c r="AE78" s="22">
        <v>77</v>
      </c>
      <c r="AF78" s="22"/>
      <c r="AG78" s="22" t="str">
        <f>IFERROR(VLOOKUP(TblFeedFile[[#This Row],[Leave Type ]],LkupPayType[],2,FALSE),"TBD")</f>
        <v>Paid</v>
      </c>
      <c r="AH78" s="22"/>
      <c r="AI78" s="25"/>
      <c r="AJ78" s="25"/>
      <c r="AK78" s="26"/>
    </row>
    <row r="79" spans="1:37" x14ac:dyDescent="0.25">
      <c r="A79" s="21" t="s">
        <v>37</v>
      </c>
      <c r="B79" s="22">
        <v>314304</v>
      </c>
      <c r="C79" s="22">
        <v>20094528</v>
      </c>
      <c r="D79" s="23">
        <v>511704048891</v>
      </c>
      <c r="E79" s="22" t="s">
        <v>82</v>
      </c>
      <c r="F79" s="22" t="s">
        <v>2122</v>
      </c>
      <c r="G79" s="22">
        <v>20170407</v>
      </c>
      <c r="H79" s="22">
        <v>20170504</v>
      </c>
      <c r="I79" s="22" t="s">
        <v>40</v>
      </c>
      <c r="J79" s="22"/>
      <c r="K79" s="22"/>
      <c r="L79" s="22" t="s">
        <v>34</v>
      </c>
      <c r="M79" s="22" t="s">
        <v>34</v>
      </c>
      <c r="N79" s="22" t="s">
        <v>35</v>
      </c>
      <c r="O79" s="22" t="s">
        <v>35</v>
      </c>
      <c r="P79" s="22" t="s">
        <v>35</v>
      </c>
      <c r="Q79" s="22" t="s">
        <v>34</v>
      </c>
      <c r="R79" s="22" t="s">
        <v>35</v>
      </c>
      <c r="S79" s="22" t="s">
        <v>34</v>
      </c>
      <c r="T79" s="22"/>
      <c r="U79" s="22"/>
      <c r="V79" s="22"/>
      <c r="W79" s="22"/>
      <c r="X79" s="22"/>
      <c r="Y79" s="22"/>
      <c r="Z79" s="22"/>
      <c r="AA79" s="22"/>
      <c r="AB79" s="22"/>
      <c r="AC79" s="22" t="s">
        <v>1908</v>
      </c>
      <c r="AD79" s="22">
        <v>20170413</v>
      </c>
      <c r="AE79" s="22">
        <v>78</v>
      </c>
      <c r="AF79" s="22"/>
      <c r="AG79" s="22" t="str">
        <f>IFERROR(VLOOKUP(TblFeedFile[[#This Row],[Leave Type ]],LkupPayType[],2,FALSE),"TBD")</f>
        <v>Paid</v>
      </c>
      <c r="AH79" s="22"/>
      <c r="AI79" s="25"/>
      <c r="AJ79" s="25"/>
      <c r="AK79" s="26"/>
    </row>
    <row r="80" spans="1:37" x14ac:dyDescent="0.25">
      <c r="A80" s="21" t="s">
        <v>29</v>
      </c>
      <c r="B80" s="22">
        <v>314304</v>
      </c>
      <c r="C80" s="22">
        <v>20117705</v>
      </c>
      <c r="D80" s="23" t="s">
        <v>2123</v>
      </c>
      <c r="E80" s="22" t="s">
        <v>2124</v>
      </c>
      <c r="F80" s="22" t="s">
        <v>1434</v>
      </c>
      <c r="G80" s="22">
        <v>20170408</v>
      </c>
      <c r="H80" s="22">
        <v>20170408</v>
      </c>
      <c r="I80" s="22" t="s">
        <v>33</v>
      </c>
      <c r="J80" s="22"/>
      <c r="K80" s="22"/>
      <c r="L80" s="22" t="s">
        <v>34</v>
      </c>
      <c r="M80" s="22" t="s">
        <v>34</v>
      </c>
      <c r="N80" s="22" t="s">
        <v>35</v>
      </c>
      <c r="O80" s="22" t="s">
        <v>35</v>
      </c>
      <c r="P80" s="22" t="s">
        <v>35</v>
      </c>
      <c r="Q80" s="22" t="s">
        <v>35</v>
      </c>
      <c r="R80" s="22" t="s">
        <v>35</v>
      </c>
      <c r="S80" s="22" t="s">
        <v>34</v>
      </c>
      <c r="T80" s="22"/>
      <c r="U80" s="22"/>
      <c r="V80" s="22"/>
      <c r="W80" s="22"/>
      <c r="X80" s="22"/>
      <c r="Y80" s="22"/>
      <c r="Z80" s="22"/>
      <c r="AA80" s="22"/>
      <c r="AB80" s="22"/>
      <c r="AC80" s="22" t="s">
        <v>1929</v>
      </c>
      <c r="AD80" s="22">
        <v>20170413</v>
      </c>
      <c r="AE80" s="22">
        <v>79</v>
      </c>
      <c r="AF80" s="22"/>
      <c r="AG80" s="22" t="str">
        <f>IFERROR(VLOOKUP(TblFeedFile[[#This Row],[Leave Type ]],LkupPayType[],2,FALSE),"TBD")</f>
        <v>Closed</v>
      </c>
      <c r="AH80" s="22"/>
      <c r="AI80" s="25"/>
      <c r="AJ80" s="25"/>
      <c r="AK80" s="26"/>
    </row>
    <row r="81" spans="1:37" x14ac:dyDescent="0.25">
      <c r="A81" s="21" t="s">
        <v>29</v>
      </c>
      <c r="B81" s="22">
        <v>314304</v>
      </c>
      <c r="C81" s="22">
        <v>20117705</v>
      </c>
      <c r="D81" s="23" t="s">
        <v>2123</v>
      </c>
      <c r="E81" s="22" t="s">
        <v>2124</v>
      </c>
      <c r="F81" s="22" t="s">
        <v>1434</v>
      </c>
      <c r="G81" s="22">
        <v>20170313</v>
      </c>
      <c r="H81" s="22">
        <v>20170407</v>
      </c>
      <c r="I81" s="22" t="s">
        <v>223</v>
      </c>
      <c r="J81" s="22"/>
      <c r="K81" s="22"/>
      <c r="L81" s="22" t="s">
        <v>34</v>
      </c>
      <c r="M81" s="22" t="s">
        <v>34</v>
      </c>
      <c r="N81" s="22" t="s">
        <v>35</v>
      </c>
      <c r="O81" s="22" t="s">
        <v>35</v>
      </c>
      <c r="P81" s="22" t="s">
        <v>35</v>
      </c>
      <c r="Q81" s="22" t="s">
        <v>35</v>
      </c>
      <c r="R81" s="22" t="s">
        <v>35</v>
      </c>
      <c r="S81" s="22" t="s">
        <v>34</v>
      </c>
      <c r="T81" s="22"/>
      <c r="U81" s="22"/>
      <c r="V81" s="22"/>
      <c r="W81" s="22"/>
      <c r="X81" s="22"/>
      <c r="Y81" s="22"/>
      <c r="Z81" s="22"/>
      <c r="AA81" s="22"/>
      <c r="AB81" s="22"/>
      <c r="AC81" s="22" t="s">
        <v>1911</v>
      </c>
      <c r="AD81" s="22">
        <v>20170413</v>
      </c>
      <c r="AE81" s="22">
        <v>80</v>
      </c>
      <c r="AF81" s="22"/>
      <c r="AG81" s="22" t="str">
        <f>IFERROR(VLOOKUP(TblFeedFile[[#This Row],[Leave Type ]],LkupPayType[],2,FALSE),"TBD")</f>
        <v>Paid</v>
      </c>
      <c r="AH81" s="22"/>
      <c r="AI81" s="25"/>
      <c r="AJ81" s="25"/>
      <c r="AK81" s="26"/>
    </row>
    <row r="82" spans="1:37" x14ac:dyDescent="0.25">
      <c r="A82" s="21" t="s">
        <v>29</v>
      </c>
      <c r="B82" s="22">
        <v>314304</v>
      </c>
      <c r="C82" s="22">
        <v>20117705</v>
      </c>
      <c r="D82" s="23" t="s">
        <v>2123</v>
      </c>
      <c r="E82" s="22" t="s">
        <v>2124</v>
      </c>
      <c r="F82" s="22" t="s">
        <v>1434</v>
      </c>
      <c r="G82" s="22">
        <v>20170313</v>
      </c>
      <c r="H82" s="22">
        <v>20170407</v>
      </c>
      <c r="I82" s="22" t="s">
        <v>185</v>
      </c>
      <c r="J82" s="22"/>
      <c r="K82" s="22"/>
      <c r="L82" s="22" t="s">
        <v>34</v>
      </c>
      <c r="M82" s="22" t="s">
        <v>34</v>
      </c>
      <c r="N82" s="22" t="s">
        <v>35</v>
      </c>
      <c r="O82" s="22" t="s">
        <v>35</v>
      </c>
      <c r="P82" s="22" t="s">
        <v>35</v>
      </c>
      <c r="Q82" s="22" t="s">
        <v>35</v>
      </c>
      <c r="R82" s="22" t="s">
        <v>35</v>
      </c>
      <c r="S82" s="22" t="s">
        <v>34</v>
      </c>
      <c r="T82" s="22"/>
      <c r="U82" s="22"/>
      <c r="V82" s="22"/>
      <c r="W82" s="22"/>
      <c r="X82" s="22"/>
      <c r="Y82" s="22"/>
      <c r="Z82" s="22"/>
      <c r="AA82" s="22"/>
      <c r="AB82" s="22"/>
      <c r="AC82" s="22" t="s">
        <v>1943</v>
      </c>
      <c r="AD82" s="22">
        <v>20170413</v>
      </c>
      <c r="AE82" s="22">
        <v>81</v>
      </c>
      <c r="AF82" s="22"/>
      <c r="AG82" s="22" t="str">
        <f>IFERROR(VLOOKUP(TblFeedFile[[#This Row],[Leave Type ]],LkupPayType[],2,FALSE),"TBD")</f>
        <v>Unpaid</v>
      </c>
      <c r="AH82" s="22"/>
      <c r="AI82" s="25"/>
      <c r="AJ82" s="25"/>
      <c r="AK82" s="26"/>
    </row>
    <row r="83" spans="1:37" x14ac:dyDescent="0.25">
      <c r="A83" s="21" t="s">
        <v>37</v>
      </c>
      <c r="B83" s="22">
        <v>314304</v>
      </c>
      <c r="C83" s="22">
        <v>20117705</v>
      </c>
      <c r="D83" s="23" t="s">
        <v>2123</v>
      </c>
      <c r="E83" s="22" t="s">
        <v>2124</v>
      </c>
      <c r="F83" s="22" t="s">
        <v>1434</v>
      </c>
      <c r="G83" s="22">
        <v>20170313</v>
      </c>
      <c r="H83" s="22">
        <v>20170410</v>
      </c>
      <c r="I83" s="22" t="s">
        <v>223</v>
      </c>
      <c r="J83" s="22"/>
      <c r="K83" s="22"/>
      <c r="L83" s="22" t="s">
        <v>34</v>
      </c>
      <c r="M83" s="22" t="s">
        <v>34</v>
      </c>
      <c r="N83" s="22" t="s">
        <v>35</v>
      </c>
      <c r="O83" s="22" t="s">
        <v>35</v>
      </c>
      <c r="P83" s="22" t="s">
        <v>35</v>
      </c>
      <c r="Q83" s="22" t="s">
        <v>35</v>
      </c>
      <c r="R83" s="22" t="s">
        <v>35</v>
      </c>
      <c r="S83" s="22" t="s">
        <v>34</v>
      </c>
      <c r="T83" s="22">
        <v>20170411</v>
      </c>
      <c r="U83" s="22"/>
      <c r="V83" s="22"/>
      <c r="W83" s="22"/>
      <c r="X83" s="22"/>
      <c r="Y83" s="22"/>
      <c r="Z83" s="22"/>
      <c r="AA83" s="22"/>
      <c r="AB83" s="22"/>
      <c r="AC83" s="22" t="s">
        <v>1897</v>
      </c>
      <c r="AD83" s="22">
        <v>20170413</v>
      </c>
      <c r="AE83" s="22">
        <v>82</v>
      </c>
      <c r="AF83" s="22"/>
      <c r="AG83" s="22" t="str">
        <f>IFERROR(VLOOKUP(TblFeedFile[[#This Row],[Leave Type ]],LkupPayType[],2,FALSE),"TBD")</f>
        <v>Paid</v>
      </c>
      <c r="AH83" s="22"/>
      <c r="AI83" s="25" t="s">
        <v>35</v>
      </c>
      <c r="AJ83" s="25"/>
      <c r="AK83" s="26" t="s">
        <v>35</v>
      </c>
    </row>
    <row r="84" spans="1:37" x14ac:dyDescent="0.25">
      <c r="A84" s="21" t="s">
        <v>29</v>
      </c>
      <c r="B84" s="22">
        <v>314304</v>
      </c>
      <c r="C84" s="22">
        <v>20118952</v>
      </c>
      <c r="D84" s="23">
        <v>501704108030</v>
      </c>
      <c r="E84" s="22" t="s">
        <v>348</v>
      </c>
      <c r="F84" s="22" t="s">
        <v>2125</v>
      </c>
      <c r="G84" s="22">
        <v>20170407</v>
      </c>
      <c r="H84" s="22">
        <v>20170604</v>
      </c>
      <c r="I84" s="22" t="s">
        <v>53</v>
      </c>
      <c r="J84" s="22"/>
      <c r="K84" s="22"/>
      <c r="L84" s="22" t="s">
        <v>34</v>
      </c>
      <c r="M84" s="22" t="s">
        <v>34</v>
      </c>
      <c r="N84" s="22" t="s">
        <v>35</v>
      </c>
      <c r="O84" s="22" t="s">
        <v>35</v>
      </c>
      <c r="P84" s="22" t="s">
        <v>35</v>
      </c>
      <c r="Q84" s="22" t="s">
        <v>35</v>
      </c>
      <c r="R84" s="22" t="s">
        <v>35</v>
      </c>
      <c r="S84" s="22" t="s">
        <v>34</v>
      </c>
      <c r="T84" s="22"/>
      <c r="U84" s="22"/>
      <c r="V84" s="22"/>
      <c r="W84" s="22"/>
      <c r="X84" s="22"/>
      <c r="Y84" s="22"/>
      <c r="Z84" s="22"/>
      <c r="AA84" s="22"/>
      <c r="AB84" s="22"/>
      <c r="AC84" s="22" t="s">
        <v>1902</v>
      </c>
      <c r="AD84" s="22">
        <v>20170413</v>
      </c>
      <c r="AE84" s="22">
        <v>83</v>
      </c>
      <c r="AF84" s="22"/>
      <c r="AG84" s="22" t="str">
        <f>IFERROR(VLOOKUP(TblFeedFile[[#This Row],[Leave Type ]],LkupPayType[],2,FALSE),"TBD")</f>
        <v>Paid</v>
      </c>
      <c r="AH84" s="22"/>
      <c r="AI84" s="25"/>
      <c r="AJ84" s="25"/>
      <c r="AK84" s="26"/>
    </row>
    <row r="85" spans="1:37" x14ac:dyDescent="0.25">
      <c r="A85" s="21" t="s">
        <v>37</v>
      </c>
      <c r="B85" s="22">
        <v>314304</v>
      </c>
      <c r="C85" s="22">
        <v>20118952</v>
      </c>
      <c r="D85" s="23">
        <v>501704108030</v>
      </c>
      <c r="E85" s="22" t="s">
        <v>348</v>
      </c>
      <c r="F85" s="22" t="s">
        <v>2125</v>
      </c>
      <c r="G85" s="22">
        <v>20170410</v>
      </c>
      <c r="H85" s="22">
        <v>20170604</v>
      </c>
      <c r="I85" s="22" t="s">
        <v>53</v>
      </c>
      <c r="J85" s="22"/>
      <c r="K85" s="22"/>
      <c r="L85" s="22" t="s">
        <v>34</v>
      </c>
      <c r="M85" s="22" t="s">
        <v>34</v>
      </c>
      <c r="N85" s="22" t="s">
        <v>35</v>
      </c>
      <c r="O85" s="22" t="s">
        <v>35</v>
      </c>
      <c r="P85" s="22" t="s">
        <v>35</v>
      </c>
      <c r="Q85" s="22" t="s">
        <v>35</v>
      </c>
      <c r="R85" s="22" t="s">
        <v>35</v>
      </c>
      <c r="S85" s="22" t="s">
        <v>34</v>
      </c>
      <c r="T85" s="22"/>
      <c r="U85" s="22"/>
      <c r="V85" s="22"/>
      <c r="W85" s="22"/>
      <c r="X85" s="22"/>
      <c r="Y85" s="22"/>
      <c r="Z85" s="22"/>
      <c r="AA85" s="22"/>
      <c r="AB85" s="22"/>
      <c r="AC85" s="22" t="s">
        <v>1902</v>
      </c>
      <c r="AD85" s="22">
        <v>20170413</v>
      </c>
      <c r="AE85" s="22">
        <v>84</v>
      </c>
      <c r="AF85" s="22"/>
      <c r="AG85" s="22" t="str">
        <f>IFERROR(VLOOKUP(TblFeedFile[[#This Row],[Leave Type ]],LkupPayType[],2,FALSE),"TBD")</f>
        <v>Paid</v>
      </c>
      <c r="AH85" s="22"/>
      <c r="AI85" s="25"/>
      <c r="AJ85" s="25"/>
      <c r="AK85" s="26"/>
    </row>
    <row r="86" spans="1:37" x14ac:dyDescent="0.25">
      <c r="A86" s="21" t="s">
        <v>37</v>
      </c>
      <c r="B86" s="22">
        <v>314305</v>
      </c>
      <c r="C86" s="22">
        <v>20128660</v>
      </c>
      <c r="D86" s="23" t="s">
        <v>2126</v>
      </c>
      <c r="E86" s="22" t="s">
        <v>511</v>
      </c>
      <c r="F86" s="22" t="s">
        <v>1939</v>
      </c>
      <c r="G86" s="22">
        <v>20170413</v>
      </c>
      <c r="H86" s="22">
        <v>20170428</v>
      </c>
      <c r="I86" s="22" t="s">
        <v>36</v>
      </c>
      <c r="J86" s="22"/>
      <c r="K86" s="22"/>
      <c r="L86" s="22" t="s">
        <v>34</v>
      </c>
      <c r="M86" s="22" t="s">
        <v>34</v>
      </c>
      <c r="N86" s="22" t="s">
        <v>35</v>
      </c>
      <c r="O86" s="22" t="s">
        <v>35</v>
      </c>
      <c r="P86" s="22" t="s">
        <v>35</v>
      </c>
      <c r="Q86" s="22" t="s">
        <v>35</v>
      </c>
      <c r="R86" s="22" t="s">
        <v>35</v>
      </c>
      <c r="S86" s="22" t="s">
        <v>34</v>
      </c>
      <c r="T86" s="22"/>
      <c r="U86" s="22"/>
      <c r="V86" s="22"/>
      <c r="W86" s="22"/>
      <c r="X86" s="22"/>
      <c r="Y86" s="22"/>
      <c r="Z86" s="22"/>
      <c r="AA86" s="22"/>
      <c r="AB86" s="22"/>
      <c r="AC86" s="22" t="s">
        <v>1905</v>
      </c>
      <c r="AD86" s="22">
        <v>20170413</v>
      </c>
      <c r="AE86" s="22">
        <v>85</v>
      </c>
      <c r="AF86" s="22"/>
      <c r="AG86" s="22" t="str">
        <f>IFERROR(VLOOKUP(TblFeedFile[[#This Row],[Leave Type ]],LkupPayType[],2,FALSE),"TBD")</f>
        <v>Unpaid</v>
      </c>
      <c r="AH86" s="22"/>
      <c r="AI86" s="25"/>
      <c r="AJ86" s="25"/>
      <c r="AK86" s="26"/>
    </row>
    <row r="87" spans="1:37" x14ac:dyDescent="0.25">
      <c r="A87" s="21" t="s">
        <v>37</v>
      </c>
      <c r="B87" s="22">
        <v>314304</v>
      </c>
      <c r="C87" s="22">
        <v>20137431</v>
      </c>
      <c r="D87" s="23">
        <v>511702148171</v>
      </c>
      <c r="E87" s="22" t="s">
        <v>2127</v>
      </c>
      <c r="F87" s="22" t="s">
        <v>2128</v>
      </c>
      <c r="G87" s="22">
        <v>20170318</v>
      </c>
      <c r="H87" s="22">
        <v>20170515</v>
      </c>
      <c r="I87" s="22" t="s">
        <v>53</v>
      </c>
      <c r="J87" s="22"/>
      <c r="K87" s="22"/>
      <c r="L87" s="22" t="s">
        <v>34</v>
      </c>
      <c r="M87" s="22" t="s">
        <v>34</v>
      </c>
      <c r="N87" s="22" t="s">
        <v>35</v>
      </c>
      <c r="O87" s="22" t="s">
        <v>35</v>
      </c>
      <c r="P87" s="22" t="s">
        <v>35</v>
      </c>
      <c r="Q87" s="22" t="s">
        <v>35</v>
      </c>
      <c r="R87" s="22" t="s">
        <v>35</v>
      </c>
      <c r="S87" s="22" t="s">
        <v>34</v>
      </c>
      <c r="T87" s="22"/>
      <c r="U87" s="22"/>
      <c r="V87" s="22"/>
      <c r="W87" s="22"/>
      <c r="X87" s="22"/>
      <c r="Y87" s="22"/>
      <c r="Z87" s="22"/>
      <c r="AA87" s="22"/>
      <c r="AB87" s="22"/>
      <c r="AC87" s="22" t="s">
        <v>1896</v>
      </c>
      <c r="AD87" s="22">
        <v>20170413</v>
      </c>
      <c r="AE87" s="22">
        <v>86</v>
      </c>
      <c r="AF87" s="22"/>
      <c r="AG87" s="22" t="str">
        <f>IFERROR(VLOOKUP(TblFeedFile[[#This Row],[Leave Type ]],LkupPayType[],2,FALSE),"TBD")</f>
        <v>Paid</v>
      </c>
      <c r="AH87" s="22"/>
      <c r="AI87" s="25"/>
      <c r="AJ87" s="25"/>
      <c r="AK87" s="26"/>
    </row>
    <row r="88" spans="1:37" x14ac:dyDescent="0.25">
      <c r="A88" s="21" t="s">
        <v>29</v>
      </c>
      <c r="B88" s="22">
        <v>314304</v>
      </c>
      <c r="C88" s="22">
        <v>20178860</v>
      </c>
      <c r="D88" s="23" t="s">
        <v>2129</v>
      </c>
      <c r="E88" s="22" t="s">
        <v>550</v>
      </c>
      <c r="F88" s="22" t="s">
        <v>2130</v>
      </c>
      <c r="G88" s="22">
        <v>20170401</v>
      </c>
      <c r="H88" s="22">
        <v>20170401</v>
      </c>
      <c r="I88" s="22" t="s">
        <v>33</v>
      </c>
      <c r="J88" s="22"/>
      <c r="K88" s="22"/>
      <c r="L88" s="22" t="s">
        <v>34</v>
      </c>
      <c r="M88" s="22" t="s">
        <v>34</v>
      </c>
      <c r="N88" s="22" t="s">
        <v>35</v>
      </c>
      <c r="O88" s="22" t="s">
        <v>35</v>
      </c>
      <c r="P88" s="22" t="s">
        <v>35</v>
      </c>
      <c r="Q88" s="22" t="s">
        <v>35</v>
      </c>
      <c r="R88" s="22" t="s">
        <v>35</v>
      </c>
      <c r="S88" s="22" t="s">
        <v>34</v>
      </c>
      <c r="T88" s="22"/>
      <c r="U88" s="22"/>
      <c r="V88" s="22"/>
      <c r="W88" s="22"/>
      <c r="X88" s="22"/>
      <c r="Y88" s="22"/>
      <c r="Z88" s="22"/>
      <c r="AA88" s="22"/>
      <c r="AB88" s="22"/>
      <c r="AC88" s="22" t="s">
        <v>1918</v>
      </c>
      <c r="AD88" s="22">
        <v>20170413</v>
      </c>
      <c r="AE88" s="22">
        <v>87</v>
      </c>
      <c r="AF88" s="22"/>
      <c r="AG88" s="22" t="str">
        <f>IFERROR(VLOOKUP(TblFeedFile[[#This Row],[Leave Type ]],LkupPayType[],2,FALSE),"TBD")</f>
        <v>Closed</v>
      </c>
      <c r="AH88" s="22"/>
      <c r="AI88" s="25"/>
      <c r="AJ88" s="25"/>
      <c r="AK88" s="26"/>
    </row>
    <row r="89" spans="1:37" x14ac:dyDescent="0.25">
      <c r="A89" s="21" t="s">
        <v>29</v>
      </c>
      <c r="B89" s="22">
        <v>314304</v>
      </c>
      <c r="C89" s="22">
        <v>20178860</v>
      </c>
      <c r="D89" s="23">
        <v>571704058377</v>
      </c>
      <c r="E89" s="22" t="s">
        <v>550</v>
      </c>
      <c r="F89" s="22" t="s">
        <v>2130</v>
      </c>
      <c r="G89" s="22">
        <v>20170323</v>
      </c>
      <c r="H89" s="22">
        <v>20170422</v>
      </c>
      <c r="I89" s="22" t="s">
        <v>53</v>
      </c>
      <c r="J89" s="22"/>
      <c r="K89" s="22"/>
      <c r="L89" s="22" t="s">
        <v>34</v>
      </c>
      <c r="M89" s="22" t="s">
        <v>34</v>
      </c>
      <c r="N89" s="22" t="s">
        <v>35</v>
      </c>
      <c r="O89" s="22" t="s">
        <v>35</v>
      </c>
      <c r="P89" s="22" t="s">
        <v>35</v>
      </c>
      <c r="Q89" s="22" t="s">
        <v>35</v>
      </c>
      <c r="R89" s="22" t="s">
        <v>35</v>
      </c>
      <c r="S89" s="22" t="s">
        <v>34</v>
      </c>
      <c r="T89" s="22">
        <v>20170403</v>
      </c>
      <c r="U89" s="22"/>
      <c r="V89" s="22"/>
      <c r="W89" s="22"/>
      <c r="X89" s="22"/>
      <c r="Y89" s="22"/>
      <c r="Z89" s="22"/>
      <c r="AA89" s="22"/>
      <c r="AB89" s="22"/>
      <c r="AC89" s="22" t="s">
        <v>1915</v>
      </c>
      <c r="AD89" s="22">
        <v>20170413</v>
      </c>
      <c r="AE89" s="22">
        <v>88</v>
      </c>
      <c r="AF89" s="22"/>
      <c r="AG89" s="22" t="str">
        <f>IFERROR(VLOOKUP(TblFeedFile[[#This Row],[Leave Type ]],LkupPayType[],2,FALSE),"TBD")</f>
        <v>Paid</v>
      </c>
      <c r="AH89" s="22"/>
      <c r="AI89" s="25"/>
      <c r="AJ89" s="25"/>
      <c r="AK89" s="26"/>
    </row>
    <row r="90" spans="1:37" x14ac:dyDescent="0.25">
      <c r="A90" s="21" t="s">
        <v>37</v>
      </c>
      <c r="B90" s="22">
        <v>314304</v>
      </c>
      <c r="C90" s="22">
        <v>20178860</v>
      </c>
      <c r="D90" s="23">
        <v>571704058377</v>
      </c>
      <c r="E90" s="22" t="s">
        <v>550</v>
      </c>
      <c r="F90" s="22" t="s">
        <v>2130</v>
      </c>
      <c r="G90" s="22">
        <v>20170323</v>
      </c>
      <c r="H90" s="22">
        <v>20170505</v>
      </c>
      <c r="I90" s="22" t="s">
        <v>53</v>
      </c>
      <c r="J90" s="22"/>
      <c r="K90" s="22"/>
      <c r="L90" s="22" t="s">
        <v>34</v>
      </c>
      <c r="M90" s="22" t="s">
        <v>34</v>
      </c>
      <c r="N90" s="22" t="s">
        <v>35</v>
      </c>
      <c r="O90" s="22" t="s">
        <v>35</v>
      </c>
      <c r="P90" s="22" t="s">
        <v>35</v>
      </c>
      <c r="Q90" s="22" t="s">
        <v>35</v>
      </c>
      <c r="R90" s="22" t="s">
        <v>35</v>
      </c>
      <c r="S90" s="22" t="s">
        <v>34</v>
      </c>
      <c r="T90" s="22"/>
      <c r="U90" s="22"/>
      <c r="V90" s="22"/>
      <c r="W90" s="22"/>
      <c r="X90" s="22"/>
      <c r="Y90" s="22"/>
      <c r="Z90" s="22"/>
      <c r="AA90" s="22"/>
      <c r="AB90" s="22"/>
      <c r="AC90" s="22" t="s">
        <v>1908</v>
      </c>
      <c r="AD90" s="22">
        <v>20170413</v>
      </c>
      <c r="AE90" s="22">
        <v>89</v>
      </c>
      <c r="AF90" s="22"/>
      <c r="AG90" s="22" t="str">
        <f>IFERROR(VLOOKUP(TblFeedFile[[#This Row],[Leave Type ]],LkupPayType[],2,FALSE),"TBD")</f>
        <v>Paid</v>
      </c>
      <c r="AH90" s="22"/>
      <c r="AI90" s="25" t="s">
        <v>35</v>
      </c>
      <c r="AJ90" s="25"/>
      <c r="AK90" s="26"/>
    </row>
    <row r="91" spans="1:37" x14ac:dyDescent="0.25">
      <c r="A91" s="21" t="s">
        <v>37</v>
      </c>
      <c r="B91" s="22">
        <v>314304</v>
      </c>
      <c r="C91" s="22">
        <v>20178860</v>
      </c>
      <c r="D91" s="23">
        <v>571704058377</v>
      </c>
      <c r="E91" s="22" t="s">
        <v>550</v>
      </c>
      <c r="F91" s="22" t="s">
        <v>2130</v>
      </c>
      <c r="G91" s="22">
        <v>20170330</v>
      </c>
      <c r="H91" s="22">
        <v>20170505</v>
      </c>
      <c r="I91" s="22" t="s">
        <v>40</v>
      </c>
      <c r="J91" s="22"/>
      <c r="K91" s="22"/>
      <c r="L91" s="22" t="s">
        <v>34</v>
      </c>
      <c r="M91" s="22" t="s">
        <v>34</v>
      </c>
      <c r="N91" s="22" t="s">
        <v>35</v>
      </c>
      <c r="O91" s="22" t="s">
        <v>35</v>
      </c>
      <c r="P91" s="22" t="s">
        <v>35</v>
      </c>
      <c r="Q91" s="22" t="s">
        <v>35</v>
      </c>
      <c r="R91" s="22" t="s">
        <v>35</v>
      </c>
      <c r="S91" s="22" t="s">
        <v>34</v>
      </c>
      <c r="T91" s="22">
        <v>20170403</v>
      </c>
      <c r="U91" s="22"/>
      <c r="V91" s="22"/>
      <c r="W91" s="22"/>
      <c r="X91" s="22"/>
      <c r="Y91" s="22"/>
      <c r="Z91" s="22"/>
      <c r="AA91" s="22"/>
      <c r="AB91" s="22"/>
      <c r="AC91" s="22" t="s">
        <v>1914</v>
      </c>
      <c r="AD91" s="22">
        <v>20170413</v>
      </c>
      <c r="AE91" s="22">
        <v>90</v>
      </c>
      <c r="AF91" s="22"/>
      <c r="AG91" s="22" t="str">
        <f>IFERROR(VLOOKUP(TblFeedFile[[#This Row],[Leave Type ]],LkupPayType[],2,FALSE),"TBD")</f>
        <v>Paid</v>
      </c>
      <c r="AH91" s="22"/>
      <c r="AI91" s="25" t="s">
        <v>35</v>
      </c>
      <c r="AJ91" s="25"/>
      <c r="AK91" s="26" t="s">
        <v>35</v>
      </c>
    </row>
    <row r="92" spans="1:37" x14ac:dyDescent="0.25">
      <c r="A92" s="21" t="s">
        <v>37</v>
      </c>
      <c r="B92" s="22">
        <v>314304</v>
      </c>
      <c r="C92" s="22">
        <v>20241456</v>
      </c>
      <c r="D92" s="23">
        <v>571702248237</v>
      </c>
      <c r="E92" s="22" t="s">
        <v>1216</v>
      </c>
      <c r="F92" s="22" t="s">
        <v>1553</v>
      </c>
      <c r="G92" s="22">
        <v>20170331</v>
      </c>
      <c r="H92" s="22">
        <v>20170609</v>
      </c>
      <c r="I92" s="22" t="s">
        <v>53</v>
      </c>
      <c r="J92" s="22"/>
      <c r="K92" s="22"/>
      <c r="L92" s="22" t="s">
        <v>34</v>
      </c>
      <c r="M92" s="22" t="s">
        <v>34</v>
      </c>
      <c r="N92" s="22" t="s">
        <v>35</v>
      </c>
      <c r="O92" s="22" t="s">
        <v>35</v>
      </c>
      <c r="P92" s="22" t="s">
        <v>35</v>
      </c>
      <c r="Q92" s="22" t="s">
        <v>35</v>
      </c>
      <c r="R92" s="22" t="s">
        <v>35</v>
      </c>
      <c r="S92" s="22" t="s">
        <v>34</v>
      </c>
      <c r="T92" s="22"/>
      <c r="U92" s="22"/>
      <c r="V92" s="22"/>
      <c r="W92" s="22"/>
      <c r="X92" s="22"/>
      <c r="Y92" s="22"/>
      <c r="Z92" s="22"/>
      <c r="AA92" s="22"/>
      <c r="AB92" s="22"/>
      <c r="AC92" s="22" t="s">
        <v>1923</v>
      </c>
      <c r="AD92" s="22">
        <v>20170413</v>
      </c>
      <c r="AE92" s="22">
        <v>91</v>
      </c>
      <c r="AF92" s="22"/>
      <c r="AG92" s="22" t="str">
        <f>IFERROR(VLOOKUP(TblFeedFile[[#This Row],[Leave Type ]],LkupPayType[],2,FALSE),"TBD")</f>
        <v>Paid</v>
      </c>
      <c r="AH92" s="22"/>
      <c r="AI92" s="25"/>
      <c r="AJ92" s="25"/>
      <c r="AK92" s="26"/>
    </row>
    <row r="93" spans="1:37" x14ac:dyDescent="0.25">
      <c r="A93" s="21" t="s">
        <v>37</v>
      </c>
      <c r="B93" s="22">
        <v>314304</v>
      </c>
      <c r="C93" s="22">
        <v>20241456</v>
      </c>
      <c r="D93" s="23">
        <v>571702248237</v>
      </c>
      <c r="E93" s="22" t="s">
        <v>1216</v>
      </c>
      <c r="F93" s="22" t="s">
        <v>1553</v>
      </c>
      <c r="G93" s="22">
        <v>20170407</v>
      </c>
      <c r="H93" s="22">
        <v>20170609</v>
      </c>
      <c r="I93" s="22" t="s">
        <v>40</v>
      </c>
      <c r="J93" s="22"/>
      <c r="K93" s="22"/>
      <c r="L93" s="22" t="s">
        <v>34</v>
      </c>
      <c r="M93" s="22" t="s">
        <v>34</v>
      </c>
      <c r="N93" s="22" t="s">
        <v>35</v>
      </c>
      <c r="O93" s="22" t="s">
        <v>35</v>
      </c>
      <c r="P93" s="22" t="s">
        <v>35</v>
      </c>
      <c r="Q93" s="22" t="s">
        <v>35</v>
      </c>
      <c r="R93" s="22" t="s">
        <v>35</v>
      </c>
      <c r="S93" s="22" t="s">
        <v>34</v>
      </c>
      <c r="T93" s="22"/>
      <c r="U93" s="22"/>
      <c r="V93" s="22"/>
      <c r="W93" s="22"/>
      <c r="X93" s="22"/>
      <c r="Y93" s="22"/>
      <c r="Z93" s="22"/>
      <c r="AA93" s="22"/>
      <c r="AB93" s="22"/>
      <c r="AC93" s="22" t="s">
        <v>1922</v>
      </c>
      <c r="AD93" s="22">
        <v>20170413</v>
      </c>
      <c r="AE93" s="22">
        <v>92</v>
      </c>
      <c r="AF93" s="22"/>
      <c r="AG93" s="22" t="str">
        <f>IFERROR(VLOOKUP(TblFeedFile[[#This Row],[Leave Type ]],LkupPayType[],2,FALSE),"TBD")</f>
        <v>Paid</v>
      </c>
      <c r="AH93" s="22"/>
      <c r="AI93" s="25"/>
      <c r="AJ93" s="25"/>
      <c r="AK93" s="26"/>
    </row>
    <row r="94" spans="1:37" x14ac:dyDescent="0.25">
      <c r="A94" s="21" t="s">
        <v>29</v>
      </c>
      <c r="B94" s="22">
        <v>314304</v>
      </c>
      <c r="C94" s="22">
        <v>20270766</v>
      </c>
      <c r="D94" s="23">
        <v>541703208324</v>
      </c>
      <c r="E94" s="22" t="s">
        <v>2131</v>
      </c>
      <c r="F94" s="22" t="s">
        <v>2132</v>
      </c>
      <c r="G94" s="22">
        <v>20170314</v>
      </c>
      <c r="H94" s="22">
        <v>20170314</v>
      </c>
      <c r="I94" s="22" t="s">
        <v>43</v>
      </c>
      <c r="J94" s="22"/>
      <c r="K94" s="22"/>
      <c r="L94" s="22" t="s">
        <v>34</v>
      </c>
      <c r="M94" s="22" t="s">
        <v>34</v>
      </c>
      <c r="N94" s="22" t="s">
        <v>35</v>
      </c>
      <c r="O94" s="22" t="s">
        <v>35</v>
      </c>
      <c r="P94" s="22" t="s">
        <v>35</v>
      </c>
      <c r="Q94" s="22" t="s">
        <v>35</v>
      </c>
      <c r="R94" s="22" t="s">
        <v>35</v>
      </c>
      <c r="S94" s="22" t="s">
        <v>34</v>
      </c>
      <c r="T94" s="22"/>
      <c r="U94" s="22"/>
      <c r="V94" s="22"/>
      <c r="W94" s="22"/>
      <c r="X94" s="22"/>
      <c r="Y94" s="22"/>
      <c r="Z94" s="22"/>
      <c r="AA94" s="22"/>
      <c r="AB94" s="22"/>
      <c r="AC94" s="22" t="s">
        <v>1935</v>
      </c>
      <c r="AD94" s="22">
        <v>20170413</v>
      </c>
      <c r="AE94" s="22">
        <v>93</v>
      </c>
      <c r="AF94" s="22"/>
      <c r="AG94" s="22" t="str">
        <f>IFERROR(VLOOKUP(TblFeedFile[[#This Row],[Leave Type ]],LkupPayType[],2,FALSE),"TBD")</f>
        <v>Denied</v>
      </c>
      <c r="AH94" s="22"/>
      <c r="AI94" s="25"/>
      <c r="AJ94" s="25"/>
      <c r="AK94" s="26"/>
    </row>
    <row r="95" spans="1:37" x14ac:dyDescent="0.25">
      <c r="A95" s="21" t="s">
        <v>37</v>
      </c>
      <c r="B95" s="22">
        <v>314304</v>
      </c>
      <c r="C95" s="22">
        <v>20270766</v>
      </c>
      <c r="D95" s="23">
        <v>541703208324</v>
      </c>
      <c r="E95" s="22" t="s">
        <v>2131</v>
      </c>
      <c r="F95" s="22" t="s">
        <v>2132</v>
      </c>
      <c r="G95" s="22">
        <v>20170315</v>
      </c>
      <c r="H95" s="22">
        <v>20170531</v>
      </c>
      <c r="I95" s="22" t="s">
        <v>53</v>
      </c>
      <c r="J95" s="22"/>
      <c r="K95" s="22"/>
      <c r="L95" s="22" t="s">
        <v>34</v>
      </c>
      <c r="M95" s="22" t="s">
        <v>34</v>
      </c>
      <c r="N95" s="22" t="s">
        <v>35</v>
      </c>
      <c r="O95" s="22" t="s">
        <v>35</v>
      </c>
      <c r="P95" s="22" t="s">
        <v>35</v>
      </c>
      <c r="Q95" s="22" t="s">
        <v>35</v>
      </c>
      <c r="R95" s="22" t="s">
        <v>35</v>
      </c>
      <c r="S95" s="22" t="s">
        <v>34</v>
      </c>
      <c r="T95" s="22"/>
      <c r="U95" s="22"/>
      <c r="V95" s="22"/>
      <c r="W95" s="22"/>
      <c r="X95" s="22"/>
      <c r="Y95" s="22"/>
      <c r="Z95" s="22"/>
      <c r="AA95" s="22"/>
      <c r="AB95" s="22"/>
      <c r="AC95" s="22" t="s">
        <v>1902</v>
      </c>
      <c r="AD95" s="22">
        <v>20170413</v>
      </c>
      <c r="AE95" s="22">
        <v>94</v>
      </c>
      <c r="AF95" s="22"/>
      <c r="AG95" s="22" t="str">
        <f>IFERROR(VLOOKUP(TblFeedFile[[#This Row],[Leave Type ]],LkupPayType[],2,FALSE),"TBD")</f>
        <v>Paid</v>
      </c>
      <c r="AH95" s="22"/>
      <c r="AI95" s="25"/>
      <c r="AJ95" s="25"/>
      <c r="AK95" s="26"/>
    </row>
    <row r="96" spans="1:37" x14ac:dyDescent="0.25">
      <c r="A96" s="21" t="s">
        <v>37</v>
      </c>
      <c r="B96" s="22">
        <v>314304</v>
      </c>
      <c r="C96" s="22">
        <v>20270766</v>
      </c>
      <c r="D96" s="23">
        <v>541703208324</v>
      </c>
      <c r="E96" s="22" t="s">
        <v>2131</v>
      </c>
      <c r="F96" s="22" t="s">
        <v>2132</v>
      </c>
      <c r="G96" s="22">
        <v>20170322</v>
      </c>
      <c r="H96" s="22">
        <v>20170531</v>
      </c>
      <c r="I96" s="22" t="s">
        <v>40</v>
      </c>
      <c r="J96" s="22"/>
      <c r="K96" s="22"/>
      <c r="L96" s="22" t="s">
        <v>34</v>
      </c>
      <c r="M96" s="22" t="s">
        <v>34</v>
      </c>
      <c r="N96" s="22" t="s">
        <v>35</v>
      </c>
      <c r="O96" s="22" t="s">
        <v>35</v>
      </c>
      <c r="P96" s="22" t="s">
        <v>35</v>
      </c>
      <c r="Q96" s="22" t="s">
        <v>35</v>
      </c>
      <c r="R96" s="22" t="s">
        <v>35</v>
      </c>
      <c r="S96" s="22" t="s">
        <v>34</v>
      </c>
      <c r="T96" s="22"/>
      <c r="U96" s="22"/>
      <c r="V96" s="22"/>
      <c r="W96" s="22"/>
      <c r="X96" s="22"/>
      <c r="Y96" s="22"/>
      <c r="Z96" s="22"/>
      <c r="AA96" s="22"/>
      <c r="AB96" s="22"/>
      <c r="AC96" s="22" t="s">
        <v>1916</v>
      </c>
      <c r="AD96" s="22">
        <v>20170413</v>
      </c>
      <c r="AE96" s="22">
        <v>95</v>
      </c>
      <c r="AF96" s="22"/>
      <c r="AG96" s="22" t="str">
        <f>IFERROR(VLOOKUP(TblFeedFile[[#This Row],[Leave Type ]],LkupPayType[],2,FALSE),"TBD")</f>
        <v>Paid</v>
      </c>
      <c r="AH96" s="22"/>
      <c r="AI96" s="25"/>
      <c r="AJ96" s="25"/>
      <c r="AK96" s="26"/>
    </row>
    <row r="97" spans="1:37" x14ac:dyDescent="0.25">
      <c r="A97" s="21" t="s">
        <v>37</v>
      </c>
      <c r="B97" s="22">
        <v>314304</v>
      </c>
      <c r="C97" s="22">
        <v>20284689</v>
      </c>
      <c r="D97" s="23">
        <v>551704138705</v>
      </c>
      <c r="E97" s="22" t="s">
        <v>2133</v>
      </c>
      <c r="F97" s="22" t="s">
        <v>2134</v>
      </c>
      <c r="G97" s="22">
        <v>20170413</v>
      </c>
      <c r="H97" s="22">
        <v>20170514</v>
      </c>
      <c r="I97" s="22" t="s">
        <v>53</v>
      </c>
      <c r="J97" s="22"/>
      <c r="K97" s="22"/>
      <c r="L97" s="22" t="s">
        <v>34</v>
      </c>
      <c r="M97" s="22" t="s">
        <v>34</v>
      </c>
      <c r="N97" s="22" t="s">
        <v>35</v>
      </c>
      <c r="O97" s="22" t="s">
        <v>35</v>
      </c>
      <c r="P97" s="22" t="s">
        <v>35</v>
      </c>
      <c r="Q97" s="22" t="s">
        <v>35</v>
      </c>
      <c r="R97" s="22" t="s">
        <v>35</v>
      </c>
      <c r="S97" s="22" t="s">
        <v>34</v>
      </c>
      <c r="T97" s="22"/>
      <c r="U97" s="22"/>
      <c r="V97" s="22"/>
      <c r="W97" s="22"/>
      <c r="X97" s="22"/>
      <c r="Y97" s="22"/>
      <c r="Z97" s="22"/>
      <c r="AA97" s="22"/>
      <c r="AB97" s="22"/>
      <c r="AC97" s="22" t="s">
        <v>1901</v>
      </c>
      <c r="AD97" s="22">
        <v>20170413</v>
      </c>
      <c r="AE97" s="22">
        <v>96</v>
      </c>
      <c r="AF97" s="22"/>
      <c r="AG97" s="22" t="str">
        <f>IFERROR(VLOOKUP(TblFeedFile[[#This Row],[Leave Type ]],LkupPayType[],2,FALSE),"TBD")</f>
        <v>Paid</v>
      </c>
      <c r="AH97" s="22"/>
      <c r="AI97" s="25"/>
      <c r="AJ97" s="25"/>
      <c r="AK97" s="26"/>
    </row>
    <row r="98" spans="1:37" x14ac:dyDescent="0.25">
      <c r="A98" s="21" t="s">
        <v>37</v>
      </c>
      <c r="B98" s="22">
        <v>314304</v>
      </c>
      <c r="C98" s="22">
        <v>20411817</v>
      </c>
      <c r="D98" s="23">
        <v>531703278503</v>
      </c>
      <c r="E98" s="22" t="s">
        <v>1947</v>
      </c>
      <c r="F98" s="22" t="s">
        <v>1948</v>
      </c>
      <c r="G98" s="22">
        <v>20170410</v>
      </c>
      <c r="H98" s="22">
        <v>20170813</v>
      </c>
      <c r="I98" s="22" t="s">
        <v>53</v>
      </c>
      <c r="J98" s="22"/>
      <c r="K98" s="22"/>
      <c r="L98" s="22" t="s">
        <v>35</v>
      </c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 t="s">
        <v>1905</v>
      </c>
      <c r="AD98" s="22">
        <v>20170413</v>
      </c>
      <c r="AE98" s="22">
        <v>97</v>
      </c>
      <c r="AF98" s="22"/>
      <c r="AG98" s="22" t="str">
        <f>IFERROR(VLOOKUP(TblFeedFile[[#This Row],[Leave Type ]],LkupPayType[],2,FALSE),"TBD")</f>
        <v>Paid</v>
      </c>
      <c r="AH98" s="22"/>
      <c r="AI98" s="25"/>
      <c r="AJ98" s="25"/>
      <c r="AK98" s="26"/>
    </row>
    <row r="99" spans="1:37" x14ac:dyDescent="0.25">
      <c r="A99" s="21" t="s">
        <v>29</v>
      </c>
      <c r="B99" s="22">
        <v>314301</v>
      </c>
      <c r="C99" s="22">
        <v>20460427</v>
      </c>
      <c r="D99" s="23">
        <v>551704118315</v>
      </c>
      <c r="E99" s="22" t="s">
        <v>205</v>
      </c>
      <c r="F99" s="22" t="s">
        <v>2135</v>
      </c>
      <c r="G99" s="22">
        <v>20170408</v>
      </c>
      <c r="H99" s="22">
        <v>20170511</v>
      </c>
      <c r="I99" s="22" t="s">
        <v>53</v>
      </c>
      <c r="J99" s="22"/>
      <c r="K99" s="22"/>
      <c r="L99" s="22" t="s">
        <v>34</v>
      </c>
      <c r="M99" s="22" t="s">
        <v>34</v>
      </c>
      <c r="N99" s="22" t="s">
        <v>35</v>
      </c>
      <c r="O99" s="22" t="s">
        <v>35</v>
      </c>
      <c r="P99" s="22" t="s">
        <v>35</v>
      </c>
      <c r="Q99" s="22" t="s">
        <v>35</v>
      </c>
      <c r="R99" s="22" t="s">
        <v>35</v>
      </c>
      <c r="S99" s="22" t="s">
        <v>34</v>
      </c>
      <c r="T99" s="22"/>
      <c r="U99" s="22"/>
      <c r="V99" s="22"/>
      <c r="W99" s="22"/>
      <c r="X99" s="22"/>
      <c r="Y99" s="22"/>
      <c r="Z99" s="22"/>
      <c r="AA99" s="22"/>
      <c r="AB99" s="22"/>
      <c r="AC99" s="22" t="s">
        <v>1923</v>
      </c>
      <c r="AD99" s="22">
        <v>20170413</v>
      </c>
      <c r="AE99" s="22">
        <v>98</v>
      </c>
      <c r="AF99" s="22"/>
      <c r="AG99" s="22" t="str">
        <f>IFERROR(VLOOKUP(TblFeedFile[[#This Row],[Leave Type ]],LkupPayType[],2,FALSE),"TBD")</f>
        <v>Paid</v>
      </c>
      <c r="AH99" s="22"/>
      <c r="AI99" s="25"/>
      <c r="AJ99" s="25"/>
      <c r="AK99" s="26"/>
    </row>
    <row r="100" spans="1:37" x14ac:dyDescent="0.25">
      <c r="A100" s="21" t="s">
        <v>37</v>
      </c>
      <c r="B100" s="22">
        <v>314301</v>
      </c>
      <c r="C100" s="22">
        <v>20460427</v>
      </c>
      <c r="D100" s="23">
        <v>551704118315</v>
      </c>
      <c r="E100" s="22" t="s">
        <v>205</v>
      </c>
      <c r="F100" s="22" t="s">
        <v>2135</v>
      </c>
      <c r="G100" s="22">
        <v>20170411</v>
      </c>
      <c r="H100" s="22">
        <v>20170511</v>
      </c>
      <c r="I100" s="22" t="s">
        <v>53</v>
      </c>
      <c r="J100" s="22"/>
      <c r="K100" s="22"/>
      <c r="L100" s="22" t="s">
        <v>34</v>
      </c>
      <c r="M100" s="22" t="s">
        <v>34</v>
      </c>
      <c r="N100" s="22" t="s">
        <v>35</v>
      </c>
      <c r="O100" s="22" t="s">
        <v>35</v>
      </c>
      <c r="P100" s="22" t="s">
        <v>35</v>
      </c>
      <c r="Q100" s="22" t="s">
        <v>35</v>
      </c>
      <c r="R100" s="22" t="s">
        <v>35</v>
      </c>
      <c r="S100" s="22" t="s">
        <v>34</v>
      </c>
      <c r="T100" s="22"/>
      <c r="U100" s="22"/>
      <c r="V100" s="22"/>
      <c r="W100" s="22"/>
      <c r="X100" s="22"/>
      <c r="Y100" s="22"/>
      <c r="Z100" s="22"/>
      <c r="AA100" s="22"/>
      <c r="AB100" s="22"/>
      <c r="AC100" s="22" t="s">
        <v>1923</v>
      </c>
      <c r="AD100" s="22">
        <v>20170413</v>
      </c>
      <c r="AE100" s="22">
        <v>99</v>
      </c>
      <c r="AF100" s="22"/>
      <c r="AG100" s="22" t="str">
        <f>IFERROR(VLOOKUP(TblFeedFile[[#This Row],[Leave Type ]],LkupPayType[],2,FALSE),"TBD")</f>
        <v>Paid</v>
      </c>
      <c r="AH100" s="22"/>
      <c r="AI100" s="25"/>
      <c r="AJ100" s="25"/>
      <c r="AK100" s="26"/>
    </row>
    <row r="101" spans="1:37" x14ac:dyDescent="0.25">
      <c r="A101" s="21" t="s">
        <v>29</v>
      </c>
      <c r="B101" s="22">
        <v>314304</v>
      </c>
      <c r="C101" s="22">
        <v>20471380</v>
      </c>
      <c r="D101" s="23">
        <v>501703018068</v>
      </c>
      <c r="E101" s="22" t="s">
        <v>544</v>
      </c>
      <c r="F101" s="22" t="s">
        <v>2136</v>
      </c>
      <c r="G101" s="22">
        <v>20170228</v>
      </c>
      <c r="H101" s="22">
        <v>20170319</v>
      </c>
      <c r="I101" s="22" t="s">
        <v>40</v>
      </c>
      <c r="J101" s="22"/>
      <c r="K101" s="22"/>
      <c r="L101" s="22" t="s">
        <v>34</v>
      </c>
      <c r="M101" s="22" t="s">
        <v>34</v>
      </c>
      <c r="N101" s="22" t="s">
        <v>35</v>
      </c>
      <c r="O101" s="22" t="s">
        <v>35</v>
      </c>
      <c r="P101" s="22" t="s">
        <v>35</v>
      </c>
      <c r="Q101" s="22" t="s">
        <v>35</v>
      </c>
      <c r="R101" s="22" t="s">
        <v>35</v>
      </c>
      <c r="S101" s="22" t="s">
        <v>34</v>
      </c>
      <c r="T101" s="22">
        <v>20170320</v>
      </c>
      <c r="U101" s="22"/>
      <c r="V101" s="22"/>
      <c r="W101" s="22"/>
      <c r="X101" s="22"/>
      <c r="Y101" s="22"/>
      <c r="Z101" s="22"/>
      <c r="AA101" s="22"/>
      <c r="AB101" s="22"/>
      <c r="AC101" s="22" t="s">
        <v>2078</v>
      </c>
      <c r="AD101" s="22">
        <v>20170413</v>
      </c>
      <c r="AE101" s="22">
        <v>100</v>
      </c>
      <c r="AF101" s="22"/>
      <c r="AG101" s="22" t="str">
        <f>IFERROR(VLOOKUP(TblFeedFile[[#This Row],[Leave Type ]],LkupPayType[],2,FALSE),"TBD")</f>
        <v>Paid</v>
      </c>
      <c r="AH101" s="22"/>
      <c r="AI101" s="25"/>
      <c r="AJ101" s="25"/>
      <c r="AK101" s="26"/>
    </row>
    <row r="102" spans="1:37" x14ac:dyDescent="0.25">
      <c r="A102" s="21" t="s">
        <v>37</v>
      </c>
      <c r="B102" s="22">
        <v>314304</v>
      </c>
      <c r="C102" s="22">
        <v>20471380</v>
      </c>
      <c r="D102" s="23" t="s">
        <v>2137</v>
      </c>
      <c r="E102" s="22" t="s">
        <v>544</v>
      </c>
      <c r="F102" s="22" t="s">
        <v>2136</v>
      </c>
      <c r="G102" s="22">
        <v>20170320</v>
      </c>
      <c r="H102" s="22">
        <v>20170320</v>
      </c>
      <c r="I102" s="22" t="s">
        <v>33</v>
      </c>
      <c r="J102" s="22"/>
      <c r="K102" s="22"/>
      <c r="L102" s="22" t="s">
        <v>34</v>
      </c>
      <c r="M102" s="22" t="s">
        <v>34</v>
      </c>
      <c r="N102" s="22" t="s">
        <v>35</v>
      </c>
      <c r="O102" s="22" t="s">
        <v>35</v>
      </c>
      <c r="P102" s="22" t="s">
        <v>35</v>
      </c>
      <c r="Q102" s="22" t="s">
        <v>35</v>
      </c>
      <c r="R102" s="22" t="s">
        <v>35</v>
      </c>
      <c r="S102" s="22" t="s">
        <v>34</v>
      </c>
      <c r="T102" s="22"/>
      <c r="U102" s="22"/>
      <c r="V102" s="22"/>
      <c r="W102" s="22"/>
      <c r="X102" s="22"/>
      <c r="Y102" s="22"/>
      <c r="Z102" s="22"/>
      <c r="AA102" s="22"/>
      <c r="AB102" s="22"/>
      <c r="AC102" s="22" t="s">
        <v>1895</v>
      </c>
      <c r="AD102" s="22">
        <v>20170413</v>
      </c>
      <c r="AE102" s="22">
        <v>101</v>
      </c>
      <c r="AF102" s="22"/>
      <c r="AG102" s="22" t="str">
        <f>IFERROR(VLOOKUP(TblFeedFile[[#This Row],[Leave Type ]],LkupPayType[],2,FALSE),"TBD")</f>
        <v>Closed</v>
      </c>
      <c r="AH102" s="22"/>
      <c r="AI102" s="25"/>
      <c r="AJ102" s="25"/>
      <c r="AK102" s="26"/>
    </row>
    <row r="103" spans="1:37" x14ac:dyDescent="0.25">
      <c r="A103" s="21" t="s">
        <v>37</v>
      </c>
      <c r="B103" s="22">
        <v>314304</v>
      </c>
      <c r="C103" s="22">
        <v>20485860</v>
      </c>
      <c r="D103" s="23">
        <v>521703158352</v>
      </c>
      <c r="E103" s="22" t="s">
        <v>625</v>
      </c>
      <c r="F103" s="22" t="s">
        <v>1371</v>
      </c>
      <c r="G103" s="22">
        <v>20170412</v>
      </c>
      <c r="H103" s="22">
        <v>20170515</v>
      </c>
      <c r="I103" s="22" t="s">
        <v>53</v>
      </c>
      <c r="J103" s="22"/>
      <c r="K103" s="22"/>
      <c r="L103" s="22" t="s">
        <v>34</v>
      </c>
      <c r="M103" s="22" t="s">
        <v>34</v>
      </c>
      <c r="N103" s="22" t="s">
        <v>35</v>
      </c>
      <c r="O103" s="22" t="s">
        <v>35</v>
      </c>
      <c r="P103" s="22" t="s">
        <v>35</v>
      </c>
      <c r="Q103" s="22" t="s">
        <v>35</v>
      </c>
      <c r="R103" s="22" t="s">
        <v>35</v>
      </c>
      <c r="S103" s="22" t="s">
        <v>34</v>
      </c>
      <c r="T103" s="22"/>
      <c r="U103" s="22"/>
      <c r="V103" s="22"/>
      <c r="W103" s="22"/>
      <c r="X103" s="22"/>
      <c r="Y103" s="22"/>
      <c r="Z103" s="22"/>
      <c r="AA103" s="22"/>
      <c r="AB103" s="22"/>
      <c r="AC103" s="22" t="s">
        <v>1908</v>
      </c>
      <c r="AD103" s="22">
        <v>20170413</v>
      </c>
      <c r="AE103" s="22">
        <v>102</v>
      </c>
      <c r="AF103" s="22"/>
      <c r="AG103" s="22" t="str">
        <f>IFERROR(VLOOKUP(TblFeedFile[[#This Row],[Leave Type ]],LkupPayType[],2,FALSE),"TBD")</f>
        <v>Paid</v>
      </c>
      <c r="AH103" s="22"/>
      <c r="AI103" s="25"/>
      <c r="AJ103" s="25"/>
      <c r="AK103" s="26"/>
    </row>
    <row r="104" spans="1:37" x14ac:dyDescent="0.25">
      <c r="A104" s="21" t="s">
        <v>37</v>
      </c>
      <c r="B104" s="22">
        <v>314304</v>
      </c>
      <c r="C104" s="22">
        <v>20522127</v>
      </c>
      <c r="D104" s="23">
        <v>531704138753</v>
      </c>
      <c r="E104" s="22" t="s">
        <v>2138</v>
      </c>
      <c r="F104" s="22" t="s">
        <v>2139</v>
      </c>
      <c r="G104" s="22">
        <v>20170413</v>
      </c>
      <c r="H104" s="22">
        <v>20170715</v>
      </c>
      <c r="I104" s="22" t="s">
        <v>53</v>
      </c>
      <c r="J104" s="22"/>
      <c r="K104" s="22"/>
      <c r="L104" s="22" t="s">
        <v>34</v>
      </c>
      <c r="M104" s="22" t="s">
        <v>34</v>
      </c>
      <c r="N104" s="22" t="s">
        <v>35</v>
      </c>
      <c r="O104" s="22" t="s">
        <v>35</v>
      </c>
      <c r="P104" s="22" t="s">
        <v>35</v>
      </c>
      <c r="Q104" s="22" t="s">
        <v>35</v>
      </c>
      <c r="R104" s="22" t="s">
        <v>35</v>
      </c>
      <c r="S104" s="22" t="s">
        <v>34</v>
      </c>
      <c r="T104" s="22"/>
      <c r="U104" s="22"/>
      <c r="V104" s="22"/>
      <c r="W104" s="22"/>
      <c r="X104" s="22"/>
      <c r="Y104" s="22"/>
      <c r="Z104" s="22"/>
      <c r="AA104" s="22"/>
      <c r="AB104" s="22"/>
      <c r="AC104" s="22" t="s">
        <v>1923</v>
      </c>
      <c r="AD104" s="22">
        <v>20170413</v>
      </c>
      <c r="AE104" s="22">
        <v>103</v>
      </c>
      <c r="AF104" s="22"/>
      <c r="AG104" s="22" t="str">
        <f>IFERROR(VLOOKUP(TblFeedFile[[#This Row],[Leave Type ]],LkupPayType[],2,FALSE),"TBD")</f>
        <v>Paid</v>
      </c>
      <c r="AH104" s="22"/>
      <c r="AI104" s="25"/>
      <c r="AJ104" s="25"/>
      <c r="AK104" s="26"/>
    </row>
    <row r="105" spans="1:37" x14ac:dyDescent="0.25">
      <c r="A105" s="21" t="s">
        <v>29</v>
      </c>
      <c r="B105" s="22">
        <v>314304</v>
      </c>
      <c r="C105" s="22">
        <v>20588340</v>
      </c>
      <c r="D105" s="23" t="s">
        <v>2140</v>
      </c>
      <c r="E105" s="22" t="s">
        <v>171</v>
      </c>
      <c r="F105" s="22" t="s">
        <v>410</v>
      </c>
      <c r="G105" s="22">
        <v>20170405</v>
      </c>
      <c r="H105" s="22">
        <v>20170505</v>
      </c>
      <c r="I105" s="22" t="s">
        <v>49</v>
      </c>
      <c r="J105" s="22"/>
      <c r="K105" s="22"/>
      <c r="L105" s="22" t="s">
        <v>34</v>
      </c>
      <c r="M105" s="22" t="s">
        <v>34</v>
      </c>
      <c r="N105" s="22" t="s">
        <v>35</v>
      </c>
      <c r="O105" s="22" t="s">
        <v>35</v>
      </c>
      <c r="P105" s="22" t="s">
        <v>35</v>
      </c>
      <c r="Q105" s="22" t="s">
        <v>35</v>
      </c>
      <c r="R105" s="22" t="s">
        <v>35</v>
      </c>
      <c r="S105" s="22" t="s">
        <v>34</v>
      </c>
      <c r="T105" s="22"/>
      <c r="U105" s="22"/>
      <c r="V105" s="22"/>
      <c r="W105" s="22"/>
      <c r="X105" s="22"/>
      <c r="Y105" s="22"/>
      <c r="Z105" s="22"/>
      <c r="AA105" s="22"/>
      <c r="AB105" s="22"/>
      <c r="AC105" s="22" t="s">
        <v>1911</v>
      </c>
      <c r="AD105" s="22">
        <v>20170413</v>
      </c>
      <c r="AE105" s="22">
        <v>104</v>
      </c>
      <c r="AF105" s="22"/>
      <c r="AG105" s="22" t="str">
        <f>IFERROR(VLOOKUP(TblFeedFile[[#This Row],[Leave Type ]],LkupPayType[],2,FALSE),"TBD")</f>
        <v>Unpaid</v>
      </c>
      <c r="AH105" s="22"/>
      <c r="AI105" s="25"/>
      <c r="AJ105" s="25"/>
      <c r="AK105" s="26"/>
    </row>
    <row r="106" spans="1:37" x14ac:dyDescent="0.25">
      <c r="A106" s="21" t="s">
        <v>37</v>
      </c>
      <c r="B106" s="22">
        <v>314304</v>
      </c>
      <c r="C106" s="22">
        <v>20588340</v>
      </c>
      <c r="D106" s="23" t="s">
        <v>2140</v>
      </c>
      <c r="E106" s="22" t="s">
        <v>171</v>
      </c>
      <c r="F106" s="22" t="s">
        <v>410</v>
      </c>
      <c r="G106" s="22">
        <v>20170405</v>
      </c>
      <c r="H106" s="22">
        <v>20170417</v>
      </c>
      <c r="I106" s="22" t="s">
        <v>49</v>
      </c>
      <c r="J106" s="22"/>
      <c r="K106" s="22"/>
      <c r="L106" s="22" t="s">
        <v>34</v>
      </c>
      <c r="M106" s="22" t="s">
        <v>34</v>
      </c>
      <c r="N106" s="22" t="s">
        <v>35</v>
      </c>
      <c r="O106" s="22" t="s">
        <v>35</v>
      </c>
      <c r="P106" s="22" t="s">
        <v>35</v>
      </c>
      <c r="Q106" s="22" t="s">
        <v>35</v>
      </c>
      <c r="R106" s="22" t="s">
        <v>35</v>
      </c>
      <c r="S106" s="22" t="s">
        <v>34</v>
      </c>
      <c r="T106" s="22"/>
      <c r="U106" s="22"/>
      <c r="V106" s="22"/>
      <c r="W106" s="22"/>
      <c r="X106" s="22"/>
      <c r="Y106" s="22"/>
      <c r="Z106" s="22"/>
      <c r="AA106" s="22"/>
      <c r="AB106" s="22"/>
      <c r="AC106" s="22" t="s">
        <v>1911</v>
      </c>
      <c r="AD106" s="22">
        <v>20170413</v>
      </c>
      <c r="AE106" s="22">
        <v>105</v>
      </c>
      <c r="AF106" s="22"/>
      <c r="AG106" s="22" t="str">
        <f>IFERROR(VLOOKUP(TblFeedFile[[#This Row],[Leave Type ]],LkupPayType[],2,FALSE),"TBD")</f>
        <v>Unpaid</v>
      </c>
      <c r="AH106" s="22"/>
      <c r="AI106" s="25"/>
      <c r="AJ106" s="25"/>
      <c r="AK106" s="26"/>
    </row>
    <row r="107" spans="1:37" x14ac:dyDescent="0.25">
      <c r="A107" s="21" t="s">
        <v>37</v>
      </c>
      <c r="B107" s="22">
        <v>314304</v>
      </c>
      <c r="C107" s="22">
        <v>20591745</v>
      </c>
      <c r="D107" s="23" t="s">
        <v>2141</v>
      </c>
      <c r="E107" s="22" t="s">
        <v>307</v>
      </c>
      <c r="F107" s="22" t="s">
        <v>308</v>
      </c>
      <c r="G107" s="22">
        <v>20170413</v>
      </c>
      <c r="H107" s="22">
        <v>20170413</v>
      </c>
      <c r="I107" s="22" t="s">
        <v>33</v>
      </c>
      <c r="J107" s="22"/>
      <c r="K107" s="22"/>
      <c r="L107" s="22" t="s">
        <v>34</v>
      </c>
      <c r="M107" s="22" t="s">
        <v>34</v>
      </c>
      <c r="N107" s="22" t="s">
        <v>35</v>
      </c>
      <c r="O107" s="22" t="s">
        <v>35</v>
      </c>
      <c r="P107" s="22" t="s">
        <v>35</v>
      </c>
      <c r="Q107" s="22" t="s">
        <v>35</v>
      </c>
      <c r="R107" s="22" t="s">
        <v>35</v>
      </c>
      <c r="S107" s="22" t="s">
        <v>34</v>
      </c>
      <c r="T107" s="22"/>
      <c r="U107" s="22"/>
      <c r="V107" s="22"/>
      <c r="W107" s="22"/>
      <c r="X107" s="22"/>
      <c r="Y107" s="22"/>
      <c r="Z107" s="22"/>
      <c r="AA107" s="22"/>
      <c r="AB107" s="22"/>
      <c r="AC107" s="22" t="s">
        <v>1907</v>
      </c>
      <c r="AD107" s="22">
        <v>20170413</v>
      </c>
      <c r="AE107" s="22">
        <v>106</v>
      </c>
      <c r="AF107" s="22"/>
      <c r="AG107" s="22" t="str">
        <f>IFERROR(VLOOKUP(TblFeedFile[[#This Row],[Leave Type ]],LkupPayType[],2,FALSE),"TBD")</f>
        <v>Closed</v>
      </c>
      <c r="AH107" s="22"/>
      <c r="AI107" s="25"/>
      <c r="AJ107" s="25"/>
      <c r="AK107" s="26"/>
    </row>
    <row r="108" spans="1:37" x14ac:dyDescent="0.25">
      <c r="A108" s="21" t="s">
        <v>37</v>
      </c>
      <c r="B108" s="22">
        <v>314304</v>
      </c>
      <c r="C108" s="22">
        <v>20596489</v>
      </c>
      <c r="D108" s="23">
        <v>501704138740</v>
      </c>
      <c r="E108" s="22" t="s">
        <v>2072</v>
      </c>
      <c r="F108" s="22" t="s">
        <v>1800</v>
      </c>
      <c r="G108" s="22">
        <v>20170408</v>
      </c>
      <c r="H108" s="22">
        <v>20170512</v>
      </c>
      <c r="I108" s="22" t="s">
        <v>53</v>
      </c>
      <c r="J108" s="22"/>
      <c r="K108" s="22"/>
      <c r="L108" s="22" t="s">
        <v>34</v>
      </c>
      <c r="M108" s="22" t="s">
        <v>34</v>
      </c>
      <c r="N108" s="22" t="s">
        <v>35</v>
      </c>
      <c r="O108" s="22" t="s">
        <v>35</v>
      </c>
      <c r="P108" s="22" t="s">
        <v>35</v>
      </c>
      <c r="Q108" s="22" t="s">
        <v>35</v>
      </c>
      <c r="R108" s="22" t="s">
        <v>35</v>
      </c>
      <c r="S108" s="22" t="s">
        <v>34</v>
      </c>
      <c r="T108" s="22"/>
      <c r="U108" s="22"/>
      <c r="V108" s="22"/>
      <c r="W108" s="22"/>
      <c r="X108" s="22" t="s">
        <v>35</v>
      </c>
      <c r="Y108" s="22"/>
      <c r="Z108" s="22"/>
      <c r="AA108" s="22"/>
      <c r="AB108" s="22"/>
      <c r="AC108" s="22" t="s">
        <v>1923</v>
      </c>
      <c r="AD108" s="22">
        <v>20170413</v>
      </c>
      <c r="AE108" s="22">
        <v>107</v>
      </c>
      <c r="AF108" s="22"/>
      <c r="AG108" s="22" t="str">
        <f>IFERROR(VLOOKUP(TblFeedFile[[#This Row],[Leave Type ]],LkupPayType[],2,FALSE),"TBD")</f>
        <v>Paid</v>
      </c>
      <c r="AH108" s="22"/>
      <c r="AI108" s="25"/>
      <c r="AJ108" s="25"/>
      <c r="AK108" s="26"/>
    </row>
    <row r="109" spans="1:37" x14ac:dyDescent="0.25">
      <c r="A109" s="21" t="s">
        <v>37</v>
      </c>
      <c r="B109" s="22">
        <v>314301</v>
      </c>
      <c r="C109" s="22">
        <v>20601065</v>
      </c>
      <c r="D109" s="23">
        <v>561703308226</v>
      </c>
      <c r="E109" s="22" t="s">
        <v>544</v>
      </c>
      <c r="F109" s="22" t="s">
        <v>1950</v>
      </c>
      <c r="G109" s="22">
        <v>20170324</v>
      </c>
      <c r="H109" s="22">
        <v>20170415</v>
      </c>
      <c r="I109" s="22" t="s">
        <v>40</v>
      </c>
      <c r="J109" s="22"/>
      <c r="K109" s="22"/>
      <c r="L109" s="22" t="s">
        <v>34</v>
      </c>
      <c r="M109" s="22" t="s">
        <v>34</v>
      </c>
      <c r="N109" s="22" t="s">
        <v>35</v>
      </c>
      <c r="O109" s="22" t="s">
        <v>35</v>
      </c>
      <c r="P109" s="22" t="s">
        <v>35</v>
      </c>
      <c r="Q109" s="22" t="s">
        <v>35</v>
      </c>
      <c r="R109" s="22" t="s">
        <v>35</v>
      </c>
      <c r="S109" s="22" t="s">
        <v>34</v>
      </c>
      <c r="T109" s="22">
        <v>20170417</v>
      </c>
      <c r="U109" s="22"/>
      <c r="V109" s="22"/>
      <c r="W109" s="22"/>
      <c r="X109" s="22"/>
      <c r="Y109" s="22"/>
      <c r="Z109" s="22"/>
      <c r="AA109" s="22"/>
      <c r="AB109" s="22"/>
      <c r="AC109" s="22" t="s">
        <v>1914</v>
      </c>
      <c r="AD109" s="22">
        <v>20170413</v>
      </c>
      <c r="AE109" s="22">
        <v>108</v>
      </c>
      <c r="AF109" s="22"/>
      <c r="AG109" s="22" t="str">
        <f>IFERROR(VLOOKUP(TblFeedFile[[#This Row],[Leave Type ]],LkupPayType[],2,FALSE),"TBD")</f>
        <v>Paid</v>
      </c>
      <c r="AH109" s="22"/>
      <c r="AI109" s="25"/>
      <c r="AJ109" s="25"/>
      <c r="AK109" s="26" t="s">
        <v>35</v>
      </c>
    </row>
    <row r="110" spans="1:37" x14ac:dyDescent="0.25">
      <c r="A110" s="21" t="s">
        <v>37</v>
      </c>
      <c r="B110" s="22">
        <v>314304</v>
      </c>
      <c r="C110" s="22">
        <v>20611613</v>
      </c>
      <c r="D110" s="23" t="s">
        <v>2142</v>
      </c>
      <c r="E110" s="22" t="s">
        <v>2143</v>
      </c>
      <c r="F110" s="22" t="s">
        <v>907</v>
      </c>
      <c r="G110" s="22">
        <v>20170413</v>
      </c>
      <c r="H110" s="22">
        <v>20170622</v>
      </c>
      <c r="I110" s="22" t="s">
        <v>155</v>
      </c>
      <c r="J110" s="22"/>
      <c r="K110" s="22"/>
      <c r="L110" s="22" t="s">
        <v>34</v>
      </c>
      <c r="M110" s="22" t="s">
        <v>34</v>
      </c>
      <c r="N110" s="22" t="s">
        <v>35</v>
      </c>
      <c r="O110" s="22" t="s">
        <v>35</v>
      </c>
      <c r="P110" s="22" t="s">
        <v>35</v>
      </c>
      <c r="Q110" s="22" t="s">
        <v>35</v>
      </c>
      <c r="R110" s="22" t="s">
        <v>35</v>
      </c>
      <c r="S110" s="22" t="s">
        <v>34</v>
      </c>
      <c r="T110" s="22"/>
      <c r="U110" s="22"/>
      <c r="V110" s="22"/>
      <c r="W110" s="22"/>
      <c r="X110" s="22"/>
      <c r="Y110" s="22"/>
      <c r="Z110" s="22"/>
      <c r="AA110" s="22"/>
      <c r="AB110" s="22"/>
      <c r="AC110" s="22" t="s">
        <v>1936</v>
      </c>
      <c r="AD110" s="22">
        <v>20170413</v>
      </c>
      <c r="AE110" s="22">
        <v>109</v>
      </c>
      <c r="AF110" s="22"/>
      <c r="AG110" s="22" t="str">
        <f>IFERROR(VLOOKUP(TblFeedFile[[#This Row],[Leave Type ]],LkupPayType[],2,FALSE),"TBD")</f>
        <v>Paid</v>
      </c>
      <c r="AH110" s="22"/>
      <c r="AI110" s="25"/>
      <c r="AJ110" s="25"/>
      <c r="AK110" s="26"/>
    </row>
    <row r="111" spans="1:37" x14ac:dyDescent="0.25">
      <c r="A111" s="21" t="s">
        <v>29</v>
      </c>
      <c r="B111" s="22">
        <v>314304</v>
      </c>
      <c r="C111" s="22">
        <v>20767813</v>
      </c>
      <c r="D111" s="23">
        <v>501703238908</v>
      </c>
      <c r="E111" s="22" t="s">
        <v>586</v>
      </c>
      <c r="F111" s="22" t="s">
        <v>1493</v>
      </c>
      <c r="G111" s="22">
        <v>20170318</v>
      </c>
      <c r="H111" s="22">
        <v>20170417</v>
      </c>
      <c r="I111" s="22" t="s">
        <v>53</v>
      </c>
      <c r="J111" s="22"/>
      <c r="K111" s="22"/>
      <c r="L111" s="22" t="s">
        <v>35</v>
      </c>
      <c r="M111" s="22"/>
      <c r="N111" s="22"/>
      <c r="O111" s="22"/>
      <c r="P111" s="22"/>
      <c r="Q111" s="22"/>
      <c r="R111" s="22"/>
      <c r="S111" s="22"/>
      <c r="T111" s="22">
        <v>20170328</v>
      </c>
      <c r="U111" s="22"/>
      <c r="V111" s="22"/>
      <c r="W111" s="22"/>
      <c r="X111" s="22"/>
      <c r="Y111" s="22"/>
      <c r="Z111" s="22"/>
      <c r="AA111" s="22"/>
      <c r="AB111" s="22"/>
      <c r="AC111" s="22" t="s">
        <v>1900</v>
      </c>
      <c r="AD111" s="22">
        <v>20170413</v>
      </c>
      <c r="AE111" s="22">
        <v>110</v>
      </c>
      <c r="AF111" s="22"/>
      <c r="AG111" s="22" t="str">
        <f>IFERROR(VLOOKUP(TblFeedFile[[#This Row],[Leave Type ]],LkupPayType[],2,FALSE),"TBD")</f>
        <v>Paid</v>
      </c>
      <c r="AH111" s="22"/>
      <c r="AI111" s="25"/>
      <c r="AJ111" s="25"/>
      <c r="AK111" s="26"/>
    </row>
    <row r="112" spans="1:37" x14ac:dyDescent="0.25">
      <c r="A112" s="21" t="s">
        <v>37</v>
      </c>
      <c r="B112" s="22">
        <v>314304</v>
      </c>
      <c r="C112" s="22">
        <v>20767813</v>
      </c>
      <c r="D112" s="23">
        <v>501703238908</v>
      </c>
      <c r="E112" s="22" t="s">
        <v>586</v>
      </c>
      <c r="F112" s="22" t="s">
        <v>1493</v>
      </c>
      <c r="G112" s="22">
        <v>20170320</v>
      </c>
      <c r="H112" s="22">
        <v>20170422</v>
      </c>
      <c r="I112" s="22" t="s">
        <v>53</v>
      </c>
      <c r="J112" s="22"/>
      <c r="K112" s="22"/>
      <c r="L112" s="22" t="s">
        <v>35</v>
      </c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 t="s">
        <v>1905</v>
      </c>
      <c r="AD112" s="22">
        <v>20170413</v>
      </c>
      <c r="AE112" s="22">
        <v>111</v>
      </c>
      <c r="AF112" s="22"/>
      <c r="AG112" s="22" t="str">
        <f>IFERROR(VLOOKUP(TblFeedFile[[#This Row],[Leave Type ]],LkupPayType[],2,FALSE),"TBD")</f>
        <v>Paid</v>
      </c>
      <c r="AH112" s="22"/>
      <c r="AI112" s="25"/>
      <c r="AJ112" s="25"/>
      <c r="AK112" s="26"/>
    </row>
    <row r="113" spans="1:37" x14ac:dyDescent="0.25">
      <c r="A113" s="21" t="s">
        <v>37</v>
      </c>
      <c r="B113" s="22">
        <v>314304</v>
      </c>
      <c r="C113" s="22">
        <v>20767813</v>
      </c>
      <c r="D113" s="23">
        <v>501703238908</v>
      </c>
      <c r="E113" s="22" t="s">
        <v>586</v>
      </c>
      <c r="F113" s="22" t="s">
        <v>1493</v>
      </c>
      <c r="G113" s="22">
        <v>20170327</v>
      </c>
      <c r="H113" s="22">
        <v>20170422</v>
      </c>
      <c r="I113" s="22" t="s">
        <v>40</v>
      </c>
      <c r="J113" s="22"/>
      <c r="K113" s="22"/>
      <c r="L113" s="22" t="s">
        <v>35</v>
      </c>
      <c r="M113" s="22"/>
      <c r="N113" s="22"/>
      <c r="O113" s="22"/>
      <c r="P113" s="22"/>
      <c r="Q113" s="22"/>
      <c r="R113" s="22"/>
      <c r="S113" s="22"/>
      <c r="T113" s="22">
        <v>20170328</v>
      </c>
      <c r="U113" s="22"/>
      <c r="V113" s="22"/>
      <c r="W113" s="22"/>
      <c r="X113" s="22"/>
      <c r="Y113" s="22"/>
      <c r="Z113" s="22"/>
      <c r="AA113" s="22"/>
      <c r="AB113" s="22"/>
      <c r="AC113" s="22" t="s">
        <v>1902</v>
      </c>
      <c r="AD113" s="22">
        <v>20170413</v>
      </c>
      <c r="AE113" s="22">
        <v>112</v>
      </c>
      <c r="AF113" s="22"/>
      <c r="AG113" s="22" t="str">
        <f>IFERROR(VLOOKUP(TblFeedFile[[#This Row],[Leave Type ]],LkupPayType[],2,FALSE),"TBD")</f>
        <v>Paid</v>
      </c>
      <c r="AH113" s="22"/>
      <c r="AI113" s="25"/>
      <c r="AJ113" s="25"/>
      <c r="AK113" s="26" t="s">
        <v>35</v>
      </c>
    </row>
    <row r="114" spans="1:37" x14ac:dyDescent="0.25">
      <c r="A114" s="21" t="s">
        <v>37</v>
      </c>
      <c r="B114" s="22">
        <v>314301</v>
      </c>
      <c r="C114" s="22">
        <v>20773896</v>
      </c>
      <c r="D114" s="23">
        <v>501703068800</v>
      </c>
      <c r="E114" s="22" t="s">
        <v>147</v>
      </c>
      <c r="F114" s="22" t="s">
        <v>1979</v>
      </c>
      <c r="G114" s="22">
        <v>20170328</v>
      </c>
      <c r="H114" s="22">
        <v>20170529</v>
      </c>
      <c r="I114" s="22" t="s">
        <v>53</v>
      </c>
      <c r="J114" s="22"/>
      <c r="K114" s="22"/>
      <c r="L114" s="22" t="s">
        <v>34</v>
      </c>
      <c r="M114" s="22" t="s">
        <v>34</v>
      </c>
      <c r="N114" s="22" t="s">
        <v>35</v>
      </c>
      <c r="O114" s="22" t="s">
        <v>35</v>
      </c>
      <c r="P114" s="22" t="s">
        <v>35</v>
      </c>
      <c r="Q114" s="22" t="s">
        <v>35</v>
      </c>
      <c r="R114" s="22" t="s">
        <v>35</v>
      </c>
      <c r="S114" s="22" t="s">
        <v>34</v>
      </c>
      <c r="T114" s="22"/>
      <c r="U114" s="22"/>
      <c r="V114" s="22"/>
      <c r="W114" s="22"/>
      <c r="X114" s="22"/>
      <c r="Y114" s="22"/>
      <c r="Z114" s="22"/>
      <c r="AA114" s="22"/>
      <c r="AB114" s="22"/>
      <c r="AC114" s="22" t="s">
        <v>1900</v>
      </c>
      <c r="AD114" s="22">
        <v>20170413</v>
      </c>
      <c r="AE114" s="22">
        <v>113</v>
      </c>
      <c r="AF114" s="22"/>
      <c r="AG114" s="22" t="str">
        <f>IFERROR(VLOOKUP(TblFeedFile[[#This Row],[Leave Type ]],LkupPayType[],2,FALSE),"TBD")</f>
        <v>Paid</v>
      </c>
      <c r="AH114" s="22"/>
      <c r="AI114" s="25"/>
      <c r="AJ114" s="25"/>
      <c r="AK114" s="26"/>
    </row>
    <row r="115" spans="1:37" x14ac:dyDescent="0.25">
      <c r="A115" s="21" t="s">
        <v>37</v>
      </c>
      <c r="B115" s="22">
        <v>314301</v>
      </c>
      <c r="C115" s="22">
        <v>20773896</v>
      </c>
      <c r="D115" s="23">
        <v>501703068800</v>
      </c>
      <c r="E115" s="22" t="s">
        <v>147</v>
      </c>
      <c r="F115" s="22" t="s">
        <v>1979</v>
      </c>
      <c r="G115" s="22">
        <v>20170404</v>
      </c>
      <c r="H115" s="22">
        <v>20170529</v>
      </c>
      <c r="I115" s="22" t="s">
        <v>40</v>
      </c>
      <c r="J115" s="22"/>
      <c r="K115" s="22"/>
      <c r="L115" s="22" t="s">
        <v>34</v>
      </c>
      <c r="M115" s="22" t="s">
        <v>34</v>
      </c>
      <c r="N115" s="22" t="s">
        <v>35</v>
      </c>
      <c r="O115" s="22" t="s">
        <v>35</v>
      </c>
      <c r="P115" s="22" t="s">
        <v>35</v>
      </c>
      <c r="Q115" s="22" t="s">
        <v>35</v>
      </c>
      <c r="R115" s="22" t="s">
        <v>35</v>
      </c>
      <c r="S115" s="22" t="s">
        <v>34</v>
      </c>
      <c r="T115" s="22"/>
      <c r="U115" s="22"/>
      <c r="V115" s="22"/>
      <c r="W115" s="22"/>
      <c r="X115" s="22"/>
      <c r="Y115" s="22"/>
      <c r="Z115" s="22"/>
      <c r="AA115" s="22"/>
      <c r="AB115" s="22"/>
      <c r="AC115" s="22" t="s">
        <v>1902</v>
      </c>
      <c r="AD115" s="22">
        <v>20170413</v>
      </c>
      <c r="AE115" s="22">
        <v>114</v>
      </c>
      <c r="AF115" s="22"/>
      <c r="AG115" s="22" t="str">
        <f>IFERROR(VLOOKUP(TblFeedFile[[#This Row],[Leave Type ]],LkupPayType[],2,FALSE),"TBD")</f>
        <v>Paid</v>
      </c>
      <c r="AH115" s="22"/>
      <c r="AI115" s="25"/>
      <c r="AJ115" s="25"/>
      <c r="AK115" s="26"/>
    </row>
    <row r="116" spans="1:37" x14ac:dyDescent="0.25">
      <c r="A116" s="21" t="s">
        <v>37</v>
      </c>
      <c r="B116" s="22">
        <v>314304</v>
      </c>
      <c r="C116" s="22">
        <v>20794650</v>
      </c>
      <c r="D116" s="23">
        <v>531702278553</v>
      </c>
      <c r="E116" s="22" t="s">
        <v>2144</v>
      </c>
      <c r="F116" s="22" t="s">
        <v>172</v>
      </c>
      <c r="G116" s="22">
        <v>20170306</v>
      </c>
      <c r="H116" s="22">
        <v>20170416</v>
      </c>
      <c r="I116" s="22" t="s">
        <v>40</v>
      </c>
      <c r="J116" s="22"/>
      <c r="K116" s="22"/>
      <c r="L116" s="22" t="s">
        <v>34</v>
      </c>
      <c r="M116" s="22" t="s">
        <v>34</v>
      </c>
      <c r="N116" s="22" t="s">
        <v>35</v>
      </c>
      <c r="O116" s="22" t="s">
        <v>35</v>
      </c>
      <c r="P116" s="22" t="s">
        <v>35</v>
      </c>
      <c r="Q116" s="22" t="s">
        <v>35</v>
      </c>
      <c r="R116" s="22" t="s">
        <v>35</v>
      </c>
      <c r="S116" s="22" t="s">
        <v>34</v>
      </c>
      <c r="T116" s="22">
        <v>20170417</v>
      </c>
      <c r="U116" s="22"/>
      <c r="V116" s="22"/>
      <c r="W116" s="22"/>
      <c r="X116" s="22"/>
      <c r="Y116" s="22"/>
      <c r="Z116" s="22"/>
      <c r="AA116" s="22"/>
      <c r="AB116" s="22"/>
      <c r="AC116" s="22" t="s">
        <v>1904</v>
      </c>
      <c r="AD116" s="22">
        <v>20170413</v>
      </c>
      <c r="AE116" s="22">
        <v>115</v>
      </c>
      <c r="AF116" s="22"/>
      <c r="AG116" s="22" t="str">
        <f>IFERROR(VLOOKUP(TblFeedFile[[#This Row],[Leave Type ]],LkupPayType[],2,FALSE),"TBD")</f>
        <v>Paid</v>
      </c>
      <c r="AH116" s="22"/>
      <c r="AI116" s="25"/>
      <c r="AJ116" s="25"/>
      <c r="AK116" s="26" t="s">
        <v>35</v>
      </c>
    </row>
    <row r="117" spans="1:37" x14ac:dyDescent="0.25">
      <c r="A117" s="21" t="s">
        <v>29</v>
      </c>
      <c r="B117" s="22">
        <v>314301</v>
      </c>
      <c r="C117" s="22">
        <v>20808549</v>
      </c>
      <c r="D117" s="23">
        <v>561701078596</v>
      </c>
      <c r="E117" s="22" t="s">
        <v>2145</v>
      </c>
      <c r="F117" s="22" t="s">
        <v>2146</v>
      </c>
      <c r="G117" s="22">
        <v>20170308</v>
      </c>
      <c r="H117" s="22">
        <v>20170502</v>
      </c>
      <c r="I117" s="22" t="s">
        <v>1892</v>
      </c>
      <c r="J117" s="22"/>
      <c r="K117" s="22"/>
      <c r="L117" s="22" t="s">
        <v>34</v>
      </c>
      <c r="M117" s="22" t="s">
        <v>34</v>
      </c>
      <c r="N117" s="22" t="s">
        <v>35</v>
      </c>
      <c r="O117" s="22" t="s">
        <v>35</v>
      </c>
      <c r="P117" s="22" t="s">
        <v>35</v>
      </c>
      <c r="Q117" s="22" t="s">
        <v>35</v>
      </c>
      <c r="R117" s="22" t="s">
        <v>35</v>
      </c>
      <c r="S117" s="22" t="s">
        <v>34</v>
      </c>
      <c r="T117" s="22"/>
      <c r="U117" s="22"/>
      <c r="V117" s="22"/>
      <c r="W117" s="22"/>
      <c r="X117" s="22"/>
      <c r="Y117" s="22"/>
      <c r="Z117" s="22"/>
      <c r="AA117" s="22"/>
      <c r="AB117" s="22"/>
      <c r="AC117" s="22" t="s">
        <v>1922</v>
      </c>
      <c r="AD117" s="22">
        <v>20170413</v>
      </c>
      <c r="AE117" s="22">
        <v>116</v>
      </c>
      <c r="AF117" s="22"/>
      <c r="AG117" s="22" t="str">
        <f>IFERROR(VLOOKUP(TblFeedFile[[#This Row],[Leave Type ]],LkupPayType[],2,FALSE),"TBD")</f>
        <v>Paid</v>
      </c>
      <c r="AH117" s="22"/>
      <c r="AI117" s="25"/>
      <c r="AJ117" s="25"/>
      <c r="AK117" s="26"/>
    </row>
    <row r="118" spans="1:37" x14ac:dyDescent="0.25">
      <c r="A118" s="21" t="s">
        <v>37</v>
      </c>
      <c r="B118" s="22">
        <v>314301</v>
      </c>
      <c r="C118" s="22">
        <v>20808549</v>
      </c>
      <c r="D118" s="23">
        <v>561701078596</v>
      </c>
      <c r="E118" s="22" t="s">
        <v>2145</v>
      </c>
      <c r="F118" s="22" t="s">
        <v>2146</v>
      </c>
      <c r="G118" s="22">
        <v>20170308</v>
      </c>
      <c r="H118" s="22">
        <v>20170402</v>
      </c>
      <c r="I118" s="22" t="s">
        <v>1892</v>
      </c>
      <c r="J118" s="22"/>
      <c r="K118" s="22"/>
      <c r="L118" s="22" t="s">
        <v>34</v>
      </c>
      <c r="M118" s="22" t="s">
        <v>34</v>
      </c>
      <c r="N118" s="22" t="s">
        <v>35</v>
      </c>
      <c r="O118" s="22" t="s">
        <v>35</v>
      </c>
      <c r="P118" s="22" t="s">
        <v>35</v>
      </c>
      <c r="Q118" s="22" t="s">
        <v>35</v>
      </c>
      <c r="R118" s="22" t="s">
        <v>35</v>
      </c>
      <c r="S118" s="22" t="s">
        <v>34</v>
      </c>
      <c r="T118" s="22"/>
      <c r="U118" s="22"/>
      <c r="V118" s="22"/>
      <c r="W118" s="22"/>
      <c r="X118" s="22"/>
      <c r="Y118" s="22"/>
      <c r="Z118" s="22"/>
      <c r="AA118" s="22"/>
      <c r="AB118" s="22"/>
      <c r="AC118" s="22" t="s">
        <v>1922</v>
      </c>
      <c r="AD118" s="22">
        <v>20170413</v>
      </c>
      <c r="AE118" s="22">
        <v>117</v>
      </c>
      <c r="AF118" s="22"/>
      <c r="AG118" s="22" t="str">
        <f>IFERROR(VLOOKUP(TblFeedFile[[#This Row],[Leave Type ]],LkupPayType[],2,FALSE),"TBD")</f>
        <v>Paid</v>
      </c>
      <c r="AH118" s="22"/>
      <c r="AI118" s="25"/>
      <c r="AJ118" s="25"/>
      <c r="AK118" s="26"/>
    </row>
    <row r="119" spans="1:37" x14ac:dyDescent="0.25">
      <c r="A119" s="21" t="s">
        <v>37</v>
      </c>
      <c r="B119" s="22">
        <v>314301</v>
      </c>
      <c r="C119" s="22">
        <v>20808549</v>
      </c>
      <c r="D119" s="23" t="s">
        <v>2147</v>
      </c>
      <c r="E119" s="22" t="s">
        <v>2145</v>
      </c>
      <c r="F119" s="22" t="s">
        <v>2146</v>
      </c>
      <c r="G119" s="22">
        <v>20170403</v>
      </c>
      <c r="H119" s="22">
        <v>20170402</v>
      </c>
      <c r="I119" s="22" t="s">
        <v>36</v>
      </c>
      <c r="J119" s="22"/>
      <c r="K119" s="22"/>
      <c r="L119" s="22" t="s">
        <v>34</v>
      </c>
      <c r="M119" s="22" t="s">
        <v>34</v>
      </c>
      <c r="N119" s="22" t="s">
        <v>35</v>
      </c>
      <c r="O119" s="22" t="s">
        <v>35</v>
      </c>
      <c r="P119" s="22" t="s">
        <v>35</v>
      </c>
      <c r="Q119" s="22" t="s">
        <v>35</v>
      </c>
      <c r="R119" s="22" t="s">
        <v>35</v>
      </c>
      <c r="S119" s="22" t="s">
        <v>34</v>
      </c>
      <c r="T119" s="22"/>
      <c r="U119" s="22"/>
      <c r="V119" s="22"/>
      <c r="W119" s="22"/>
      <c r="X119" s="22"/>
      <c r="Y119" s="22"/>
      <c r="Z119" s="22"/>
      <c r="AA119" s="22"/>
      <c r="AB119" s="22"/>
      <c r="AC119" s="22" t="s">
        <v>1935</v>
      </c>
      <c r="AD119" s="22">
        <v>20170413</v>
      </c>
      <c r="AE119" s="22">
        <v>118</v>
      </c>
      <c r="AF119" s="22"/>
      <c r="AG119" s="22" t="str">
        <f>IFERROR(VLOOKUP(TblFeedFile[[#This Row],[Leave Type ]],LkupPayType[],2,FALSE),"TBD")</f>
        <v>Unpaid</v>
      </c>
      <c r="AH119" s="22"/>
      <c r="AI119" s="25"/>
      <c r="AJ119" s="25"/>
      <c r="AK119" s="26"/>
    </row>
    <row r="120" spans="1:37" x14ac:dyDescent="0.25">
      <c r="A120" s="21" t="s">
        <v>37</v>
      </c>
      <c r="B120" s="22">
        <v>314301</v>
      </c>
      <c r="C120" s="22">
        <v>20808549</v>
      </c>
      <c r="D120" s="23" t="s">
        <v>2147</v>
      </c>
      <c r="E120" s="22" t="s">
        <v>2145</v>
      </c>
      <c r="F120" s="22" t="s">
        <v>2146</v>
      </c>
      <c r="G120" s="22">
        <v>20170403</v>
      </c>
      <c r="H120" s="22">
        <v>20170403</v>
      </c>
      <c r="I120" s="22" t="s">
        <v>33</v>
      </c>
      <c r="J120" s="22"/>
      <c r="K120" s="22"/>
      <c r="L120" s="22" t="s">
        <v>34</v>
      </c>
      <c r="M120" s="22" t="s">
        <v>34</v>
      </c>
      <c r="N120" s="22" t="s">
        <v>35</v>
      </c>
      <c r="O120" s="22" t="s">
        <v>35</v>
      </c>
      <c r="P120" s="22" t="s">
        <v>35</v>
      </c>
      <c r="Q120" s="22" t="s">
        <v>35</v>
      </c>
      <c r="R120" s="22" t="s">
        <v>35</v>
      </c>
      <c r="S120" s="22" t="s">
        <v>34</v>
      </c>
      <c r="T120" s="22"/>
      <c r="U120" s="22"/>
      <c r="V120" s="22"/>
      <c r="W120" s="22"/>
      <c r="X120" s="22"/>
      <c r="Y120" s="22"/>
      <c r="Z120" s="22"/>
      <c r="AA120" s="22"/>
      <c r="AB120" s="22"/>
      <c r="AC120" s="22" t="s">
        <v>1949</v>
      </c>
      <c r="AD120" s="22">
        <v>20170413</v>
      </c>
      <c r="AE120" s="22">
        <v>119</v>
      </c>
      <c r="AF120" s="22"/>
      <c r="AG120" s="22" t="str">
        <f>IFERROR(VLOOKUP(TblFeedFile[[#This Row],[Leave Type ]],LkupPayType[],2,FALSE),"TBD")</f>
        <v>Closed</v>
      </c>
      <c r="AH120" s="22"/>
      <c r="AI120" s="25"/>
      <c r="AJ120" s="25"/>
      <c r="AK120" s="26"/>
    </row>
    <row r="121" spans="1:37" x14ac:dyDescent="0.25">
      <c r="A121" s="21" t="s">
        <v>29</v>
      </c>
      <c r="B121" s="22">
        <v>314305</v>
      </c>
      <c r="C121" s="22">
        <v>20832796</v>
      </c>
      <c r="D121" s="23">
        <v>291701308039</v>
      </c>
      <c r="E121" s="22" t="s">
        <v>2148</v>
      </c>
      <c r="F121" s="22" t="s">
        <v>230</v>
      </c>
      <c r="G121" s="22">
        <v>20161114</v>
      </c>
      <c r="H121" s="22">
        <v>20170416</v>
      </c>
      <c r="I121" s="22" t="s">
        <v>53</v>
      </c>
      <c r="J121" s="22"/>
      <c r="K121" s="22"/>
      <c r="L121" s="22" t="s">
        <v>34</v>
      </c>
      <c r="M121" s="22" t="s">
        <v>34</v>
      </c>
      <c r="N121" s="22" t="s">
        <v>35</v>
      </c>
      <c r="O121" s="22" t="s">
        <v>35</v>
      </c>
      <c r="P121" s="22" t="s">
        <v>35</v>
      </c>
      <c r="Q121" s="22" t="s">
        <v>35</v>
      </c>
      <c r="R121" s="22" t="s">
        <v>35</v>
      </c>
      <c r="S121" s="22" t="s">
        <v>34</v>
      </c>
      <c r="T121" s="22"/>
      <c r="U121" s="22"/>
      <c r="V121" s="22"/>
      <c r="W121" s="22"/>
      <c r="X121" s="22"/>
      <c r="Y121" s="22"/>
      <c r="Z121" s="22"/>
      <c r="AA121" s="22"/>
      <c r="AB121" s="22"/>
      <c r="AC121" s="22" t="s">
        <v>1912</v>
      </c>
      <c r="AD121" s="22">
        <v>20170413</v>
      </c>
      <c r="AE121" s="22">
        <v>120</v>
      </c>
      <c r="AF121" s="22"/>
      <c r="AG121" s="22" t="str">
        <f>IFERROR(VLOOKUP(TblFeedFile[[#This Row],[Leave Type ]],LkupPayType[],2,FALSE),"TBD")</f>
        <v>Paid</v>
      </c>
      <c r="AH121" s="22"/>
      <c r="AI121" s="25"/>
      <c r="AJ121" s="25"/>
      <c r="AK121" s="26"/>
    </row>
    <row r="122" spans="1:37" x14ac:dyDescent="0.25">
      <c r="A122" s="21" t="s">
        <v>37</v>
      </c>
      <c r="B122" s="22">
        <v>314305</v>
      </c>
      <c r="C122" s="22">
        <v>20832796</v>
      </c>
      <c r="D122" s="23">
        <v>291701308039</v>
      </c>
      <c r="E122" s="22" t="s">
        <v>2148</v>
      </c>
      <c r="F122" s="22" t="s">
        <v>230</v>
      </c>
      <c r="G122" s="22">
        <v>20161114</v>
      </c>
      <c r="H122" s="22">
        <v>20170425</v>
      </c>
      <c r="I122" s="22" t="s">
        <v>53</v>
      </c>
      <c r="J122" s="22"/>
      <c r="K122" s="22"/>
      <c r="L122" s="22" t="s">
        <v>34</v>
      </c>
      <c r="M122" s="22" t="s">
        <v>34</v>
      </c>
      <c r="N122" s="22" t="s">
        <v>35</v>
      </c>
      <c r="O122" s="22" t="s">
        <v>35</v>
      </c>
      <c r="P122" s="22" t="s">
        <v>35</v>
      </c>
      <c r="Q122" s="22" t="s">
        <v>35</v>
      </c>
      <c r="R122" s="22" t="s">
        <v>35</v>
      </c>
      <c r="S122" s="22" t="s">
        <v>34</v>
      </c>
      <c r="T122" s="22"/>
      <c r="U122" s="22"/>
      <c r="V122" s="22"/>
      <c r="W122" s="22"/>
      <c r="X122" s="22"/>
      <c r="Y122" s="22"/>
      <c r="Z122" s="22"/>
      <c r="AA122" s="22"/>
      <c r="AB122" s="22"/>
      <c r="AC122" s="22" t="s">
        <v>1912</v>
      </c>
      <c r="AD122" s="22">
        <v>20170413</v>
      </c>
      <c r="AE122" s="22">
        <v>121</v>
      </c>
      <c r="AF122" s="22"/>
      <c r="AG122" s="22" t="str">
        <f>IFERROR(VLOOKUP(TblFeedFile[[#This Row],[Leave Type ]],LkupPayType[],2,FALSE),"TBD")</f>
        <v>Paid</v>
      </c>
      <c r="AH122" s="22"/>
      <c r="AI122" s="25"/>
      <c r="AJ122" s="25"/>
      <c r="AK122" s="26"/>
    </row>
    <row r="123" spans="1:37" x14ac:dyDescent="0.25">
      <c r="A123" s="21" t="s">
        <v>37</v>
      </c>
      <c r="B123" s="22">
        <v>314304</v>
      </c>
      <c r="C123" s="22">
        <v>20980115</v>
      </c>
      <c r="D123" s="23">
        <v>551704138695</v>
      </c>
      <c r="E123" s="22" t="s">
        <v>2149</v>
      </c>
      <c r="F123" s="22" t="s">
        <v>324</v>
      </c>
      <c r="G123" s="22">
        <v>20170413</v>
      </c>
      <c r="H123" s="22">
        <v>20170513</v>
      </c>
      <c r="I123" s="22" t="s">
        <v>53</v>
      </c>
      <c r="J123" s="22"/>
      <c r="K123" s="22"/>
      <c r="L123" s="22" t="s">
        <v>35</v>
      </c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 t="s">
        <v>1905</v>
      </c>
      <c r="AD123" s="22">
        <v>20170413</v>
      </c>
      <c r="AE123" s="22">
        <v>122</v>
      </c>
      <c r="AF123" s="22"/>
      <c r="AG123" s="22" t="str">
        <f>IFERROR(VLOOKUP(TblFeedFile[[#This Row],[Leave Type ]],LkupPayType[],2,FALSE),"TBD")</f>
        <v>Paid</v>
      </c>
      <c r="AH123" s="22"/>
      <c r="AI123" s="25"/>
      <c r="AJ123" s="25"/>
      <c r="AK123" s="26"/>
    </row>
    <row r="124" spans="1:37" x14ac:dyDescent="0.25">
      <c r="A124" s="21" t="s">
        <v>37</v>
      </c>
      <c r="B124" s="22">
        <v>314304</v>
      </c>
      <c r="C124" s="22">
        <v>20983127</v>
      </c>
      <c r="D124" s="23" t="s">
        <v>2150</v>
      </c>
      <c r="E124" s="22" t="s">
        <v>1296</v>
      </c>
      <c r="F124" s="22" t="s">
        <v>2151</v>
      </c>
      <c r="G124" s="22">
        <v>20170413</v>
      </c>
      <c r="H124" s="22">
        <v>20170427</v>
      </c>
      <c r="I124" s="22" t="s">
        <v>49</v>
      </c>
      <c r="J124" s="22"/>
      <c r="K124" s="22"/>
      <c r="L124" s="22" t="s">
        <v>34</v>
      </c>
      <c r="M124" s="22" t="s">
        <v>34</v>
      </c>
      <c r="N124" s="22" t="s">
        <v>35</v>
      </c>
      <c r="O124" s="22" t="s">
        <v>35</v>
      </c>
      <c r="P124" s="22" t="s">
        <v>35</v>
      </c>
      <c r="Q124" s="22" t="s">
        <v>35</v>
      </c>
      <c r="R124" s="22" t="s">
        <v>35</v>
      </c>
      <c r="S124" s="22" t="s">
        <v>34</v>
      </c>
      <c r="T124" s="22"/>
      <c r="U124" s="22"/>
      <c r="V124" s="22"/>
      <c r="W124" s="22"/>
      <c r="X124" s="22"/>
      <c r="Y124" s="22"/>
      <c r="Z124" s="22"/>
      <c r="AA124" s="22"/>
      <c r="AB124" s="22"/>
      <c r="AC124" s="22" t="s">
        <v>1927</v>
      </c>
      <c r="AD124" s="22">
        <v>20170413</v>
      </c>
      <c r="AE124" s="22">
        <v>123</v>
      </c>
      <c r="AF124" s="22"/>
      <c r="AG124" s="22" t="str">
        <f>IFERROR(VLOOKUP(TblFeedFile[[#This Row],[Leave Type ]],LkupPayType[],2,FALSE),"TBD")</f>
        <v>Unpaid</v>
      </c>
      <c r="AH124" s="22"/>
      <c r="AI124" s="25"/>
      <c r="AJ124" s="25"/>
      <c r="AK124" s="26"/>
    </row>
    <row r="125" spans="1:37" x14ac:dyDescent="0.25">
      <c r="A125" s="21" t="s">
        <v>29</v>
      </c>
      <c r="B125" s="22">
        <v>314304</v>
      </c>
      <c r="C125" s="22">
        <v>21000736</v>
      </c>
      <c r="D125" s="23" t="s">
        <v>1960</v>
      </c>
      <c r="E125" s="22" t="s">
        <v>109</v>
      </c>
      <c r="F125" s="22" t="s">
        <v>1961</v>
      </c>
      <c r="G125" s="22">
        <v>20170412</v>
      </c>
      <c r="H125" s="22">
        <v>20170412</v>
      </c>
      <c r="I125" s="22" t="s">
        <v>33</v>
      </c>
      <c r="J125" s="22"/>
      <c r="K125" s="22"/>
      <c r="L125" s="22" t="s">
        <v>34</v>
      </c>
      <c r="M125" s="22" t="s">
        <v>34</v>
      </c>
      <c r="N125" s="22" t="s">
        <v>34</v>
      </c>
      <c r="O125" s="22" t="s">
        <v>35</v>
      </c>
      <c r="P125" s="22" t="s">
        <v>35</v>
      </c>
      <c r="Q125" s="22" t="s">
        <v>35</v>
      </c>
      <c r="R125" s="22" t="s">
        <v>35</v>
      </c>
      <c r="S125" s="22" t="s">
        <v>35</v>
      </c>
      <c r="T125" s="22"/>
      <c r="U125" s="22"/>
      <c r="V125" s="22"/>
      <c r="W125" s="22"/>
      <c r="X125" s="22"/>
      <c r="Y125" s="22"/>
      <c r="Z125" s="22"/>
      <c r="AA125" s="22"/>
      <c r="AB125" s="22"/>
      <c r="AC125" s="22" t="s">
        <v>1907</v>
      </c>
      <c r="AD125" s="22">
        <v>20170413</v>
      </c>
      <c r="AE125" s="22">
        <v>124</v>
      </c>
      <c r="AF125" s="22"/>
      <c r="AG125" s="22" t="str">
        <f>IFERROR(VLOOKUP(TblFeedFile[[#This Row],[Leave Type ]],LkupPayType[],2,FALSE),"TBD")</f>
        <v>Closed</v>
      </c>
      <c r="AH125" s="22"/>
      <c r="AI125" s="25"/>
      <c r="AJ125" s="25"/>
      <c r="AK125" s="26"/>
    </row>
    <row r="126" spans="1:37" x14ac:dyDescent="0.25">
      <c r="A126" s="21" t="s">
        <v>29</v>
      </c>
      <c r="B126" s="22">
        <v>314304</v>
      </c>
      <c r="C126" s="22">
        <v>21000736</v>
      </c>
      <c r="D126" s="23" t="s">
        <v>1960</v>
      </c>
      <c r="E126" s="22" t="s">
        <v>109</v>
      </c>
      <c r="F126" s="22" t="s">
        <v>1961</v>
      </c>
      <c r="G126" s="22">
        <v>20170314</v>
      </c>
      <c r="H126" s="22">
        <v>20170411</v>
      </c>
      <c r="I126" s="22" t="s">
        <v>36</v>
      </c>
      <c r="J126" s="22"/>
      <c r="K126" s="22"/>
      <c r="L126" s="22" t="s">
        <v>34</v>
      </c>
      <c r="M126" s="22" t="s">
        <v>34</v>
      </c>
      <c r="N126" s="22" t="s">
        <v>34</v>
      </c>
      <c r="O126" s="22" t="s">
        <v>35</v>
      </c>
      <c r="P126" s="22" t="s">
        <v>35</v>
      </c>
      <c r="Q126" s="22" t="s">
        <v>35</v>
      </c>
      <c r="R126" s="22" t="s">
        <v>35</v>
      </c>
      <c r="S126" s="22" t="s">
        <v>35</v>
      </c>
      <c r="T126" s="22"/>
      <c r="U126" s="22"/>
      <c r="V126" s="22"/>
      <c r="W126" s="22"/>
      <c r="X126" s="22"/>
      <c r="Y126" s="22"/>
      <c r="Z126" s="22"/>
      <c r="AA126" s="22"/>
      <c r="AB126" s="22"/>
      <c r="AC126" s="22" t="s">
        <v>1943</v>
      </c>
      <c r="AD126" s="22">
        <v>20170413</v>
      </c>
      <c r="AE126" s="22">
        <v>125</v>
      </c>
      <c r="AF126" s="22"/>
      <c r="AG126" s="22" t="str">
        <f>IFERROR(VLOOKUP(TblFeedFile[[#This Row],[Leave Type ]],LkupPayType[],2,FALSE),"TBD")</f>
        <v>Unpaid</v>
      </c>
      <c r="AH126" s="22"/>
      <c r="AI126" s="25"/>
      <c r="AJ126" s="25"/>
      <c r="AK126" s="26"/>
    </row>
    <row r="127" spans="1:37" x14ac:dyDescent="0.25">
      <c r="A127" s="21" t="s">
        <v>37</v>
      </c>
      <c r="B127" s="22">
        <v>314304</v>
      </c>
      <c r="C127" s="22">
        <v>21000736</v>
      </c>
      <c r="D127" s="23">
        <v>291704138959</v>
      </c>
      <c r="E127" s="22" t="s">
        <v>109</v>
      </c>
      <c r="F127" s="22" t="s">
        <v>1961</v>
      </c>
      <c r="G127" s="22">
        <v>20170312</v>
      </c>
      <c r="H127" s="22">
        <v>20170312</v>
      </c>
      <c r="I127" s="22" t="s">
        <v>43</v>
      </c>
      <c r="J127" s="22"/>
      <c r="K127" s="22"/>
      <c r="L127" s="22" t="s">
        <v>34</v>
      </c>
      <c r="M127" s="22" t="s">
        <v>34</v>
      </c>
      <c r="N127" s="22" t="s">
        <v>34</v>
      </c>
      <c r="O127" s="22" t="s">
        <v>35</v>
      </c>
      <c r="P127" s="22" t="s">
        <v>35</v>
      </c>
      <c r="Q127" s="22" t="s">
        <v>35</v>
      </c>
      <c r="R127" s="22" t="s">
        <v>35</v>
      </c>
      <c r="S127" s="22" t="s">
        <v>35</v>
      </c>
      <c r="T127" s="22"/>
      <c r="U127" s="22"/>
      <c r="V127" s="22"/>
      <c r="W127" s="22"/>
      <c r="X127" s="22"/>
      <c r="Y127" s="22"/>
      <c r="Z127" s="22"/>
      <c r="AA127" s="22"/>
      <c r="AB127" s="22"/>
      <c r="AC127" s="22" t="s">
        <v>1907</v>
      </c>
      <c r="AD127" s="22">
        <v>20170413</v>
      </c>
      <c r="AE127" s="22">
        <v>126</v>
      </c>
      <c r="AF127" s="22"/>
      <c r="AG127" s="22" t="str">
        <f>IFERROR(VLOOKUP(TblFeedFile[[#This Row],[Leave Type ]],LkupPayType[],2,FALSE),"TBD")</f>
        <v>Denied</v>
      </c>
      <c r="AH127" s="22"/>
      <c r="AI127" s="25" t="s">
        <v>35</v>
      </c>
      <c r="AJ127" s="25"/>
      <c r="AK127" s="26"/>
    </row>
    <row r="128" spans="1:37" x14ac:dyDescent="0.25">
      <c r="A128" s="21" t="s">
        <v>37</v>
      </c>
      <c r="B128" s="22">
        <v>314304</v>
      </c>
      <c r="C128" s="22">
        <v>21004480</v>
      </c>
      <c r="D128" s="23">
        <v>531702158503</v>
      </c>
      <c r="E128" s="22" t="s">
        <v>2152</v>
      </c>
      <c r="F128" s="22" t="s">
        <v>2153</v>
      </c>
      <c r="G128" s="22">
        <v>20170309</v>
      </c>
      <c r="H128" s="22">
        <v>20170416</v>
      </c>
      <c r="I128" s="22" t="s">
        <v>40</v>
      </c>
      <c r="J128" s="22"/>
      <c r="K128" s="22"/>
      <c r="L128" s="22" t="s">
        <v>34</v>
      </c>
      <c r="M128" s="22" t="s">
        <v>34</v>
      </c>
      <c r="N128" s="22" t="s">
        <v>35</v>
      </c>
      <c r="O128" s="22" t="s">
        <v>35</v>
      </c>
      <c r="P128" s="22" t="s">
        <v>35</v>
      </c>
      <c r="Q128" s="22" t="s">
        <v>35</v>
      </c>
      <c r="R128" s="22" t="s">
        <v>35</v>
      </c>
      <c r="S128" s="22" t="s">
        <v>34</v>
      </c>
      <c r="T128" s="22">
        <v>20170417</v>
      </c>
      <c r="U128" s="22"/>
      <c r="V128" s="22"/>
      <c r="W128" s="22"/>
      <c r="X128" s="22"/>
      <c r="Y128" s="22">
        <v>484</v>
      </c>
      <c r="Z128" s="22" t="s">
        <v>341</v>
      </c>
      <c r="AA128" s="22">
        <v>20170309</v>
      </c>
      <c r="AB128" s="22">
        <v>20170416</v>
      </c>
      <c r="AC128" s="22" t="s">
        <v>2154</v>
      </c>
      <c r="AD128" s="22">
        <v>20170413</v>
      </c>
      <c r="AE128" s="22">
        <v>127</v>
      </c>
      <c r="AF128" s="22"/>
      <c r="AG128" s="22" t="str">
        <f>IFERROR(VLOOKUP(TblFeedFile[[#This Row],[Leave Type ]],LkupPayType[],2,FALSE),"TBD")</f>
        <v>Paid</v>
      </c>
      <c r="AH128" s="22"/>
      <c r="AI128" s="25"/>
      <c r="AJ128" s="25"/>
      <c r="AK128" s="26" t="s">
        <v>35</v>
      </c>
    </row>
    <row r="129" spans="1:37" x14ac:dyDescent="0.25">
      <c r="A129" s="21" t="s">
        <v>29</v>
      </c>
      <c r="B129" s="22">
        <v>314304</v>
      </c>
      <c r="C129" s="22">
        <v>21006271</v>
      </c>
      <c r="D129" s="23">
        <v>531703288843</v>
      </c>
      <c r="E129" s="22" t="s">
        <v>107</v>
      </c>
      <c r="F129" s="22" t="s">
        <v>2155</v>
      </c>
      <c r="G129" s="22">
        <v>20170329</v>
      </c>
      <c r="H129" s="22">
        <v>20170502</v>
      </c>
      <c r="I129" s="22" t="s">
        <v>40</v>
      </c>
      <c r="J129" s="22"/>
      <c r="K129" s="22"/>
      <c r="L129" s="22" t="s">
        <v>34</v>
      </c>
      <c r="M129" s="22" t="s">
        <v>34</v>
      </c>
      <c r="N129" s="22" t="s">
        <v>35</v>
      </c>
      <c r="O129" s="22" t="s">
        <v>35</v>
      </c>
      <c r="P129" s="22" t="s">
        <v>35</v>
      </c>
      <c r="Q129" s="22" t="s">
        <v>35</v>
      </c>
      <c r="R129" s="22" t="s">
        <v>35</v>
      </c>
      <c r="S129" s="22" t="s">
        <v>34</v>
      </c>
      <c r="T129" s="22"/>
      <c r="U129" s="22"/>
      <c r="V129" s="22"/>
      <c r="W129" s="22"/>
      <c r="X129" s="22"/>
      <c r="Y129" s="22"/>
      <c r="Z129" s="22"/>
      <c r="AA129" s="22"/>
      <c r="AB129" s="22"/>
      <c r="AC129" s="22" t="s">
        <v>1902</v>
      </c>
      <c r="AD129" s="22">
        <v>20170413</v>
      </c>
      <c r="AE129" s="22">
        <v>128</v>
      </c>
      <c r="AF129" s="22"/>
      <c r="AG129" s="22" t="str">
        <f>IFERROR(VLOOKUP(TblFeedFile[[#This Row],[Leave Type ]],LkupPayType[],2,FALSE),"TBD")</f>
        <v>Paid</v>
      </c>
      <c r="AH129" s="22"/>
      <c r="AI129" s="25"/>
      <c r="AJ129" s="25"/>
      <c r="AK129" s="26"/>
    </row>
    <row r="130" spans="1:37" x14ac:dyDescent="0.25">
      <c r="A130" s="21" t="s">
        <v>29</v>
      </c>
      <c r="B130" s="22">
        <v>314304</v>
      </c>
      <c r="C130" s="22">
        <v>21006271</v>
      </c>
      <c r="D130" s="23">
        <v>531703288843</v>
      </c>
      <c r="E130" s="22" t="s">
        <v>107</v>
      </c>
      <c r="F130" s="22" t="s">
        <v>2155</v>
      </c>
      <c r="G130" s="22">
        <v>20170322</v>
      </c>
      <c r="H130" s="22">
        <v>20170502</v>
      </c>
      <c r="I130" s="22" t="s">
        <v>53</v>
      </c>
      <c r="J130" s="22"/>
      <c r="K130" s="22"/>
      <c r="L130" s="22" t="s">
        <v>34</v>
      </c>
      <c r="M130" s="22" t="s">
        <v>34</v>
      </c>
      <c r="N130" s="22" t="s">
        <v>35</v>
      </c>
      <c r="O130" s="22" t="s">
        <v>35</v>
      </c>
      <c r="P130" s="22" t="s">
        <v>35</v>
      </c>
      <c r="Q130" s="22" t="s">
        <v>35</v>
      </c>
      <c r="R130" s="22" t="s">
        <v>35</v>
      </c>
      <c r="S130" s="22" t="s">
        <v>34</v>
      </c>
      <c r="T130" s="22"/>
      <c r="U130" s="22"/>
      <c r="V130" s="22"/>
      <c r="W130" s="22"/>
      <c r="X130" s="22"/>
      <c r="Y130" s="22"/>
      <c r="Z130" s="22"/>
      <c r="AA130" s="22"/>
      <c r="AB130" s="22"/>
      <c r="AC130" s="22" t="s">
        <v>1900</v>
      </c>
      <c r="AD130" s="22">
        <v>20170413</v>
      </c>
      <c r="AE130" s="22">
        <v>129</v>
      </c>
      <c r="AF130" s="22"/>
      <c r="AG130" s="22" t="str">
        <f>IFERROR(VLOOKUP(TblFeedFile[[#This Row],[Leave Type ]],LkupPayType[],2,FALSE),"TBD")</f>
        <v>Paid</v>
      </c>
      <c r="AH130" s="22"/>
      <c r="AI130" s="25"/>
      <c r="AJ130" s="25"/>
      <c r="AK130" s="26"/>
    </row>
    <row r="131" spans="1:37" x14ac:dyDescent="0.25">
      <c r="A131" s="21" t="s">
        <v>37</v>
      </c>
      <c r="B131" s="22">
        <v>314304</v>
      </c>
      <c r="C131" s="22">
        <v>21006271</v>
      </c>
      <c r="D131" s="23">
        <v>531703288843</v>
      </c>
      <c r="E131" s="22" t="s">
        <v>107</v>
      </c>
      <c r="F131" s="22" t="s">
        <v>2155</v>
      </c>
      <c r="G131" s="22">
        <v>20170329</v>
      </c>
      <c r="H131" s="22">
        <v>20170502</v>
      </c>
      <c r="I131" s="22" t="s">
        <v>53</v>
      </c>
      <c r="J131" s="22"/>
      <c r="K131" s="22"/>
      <c r="L131" s="22" t="s">
        <v>34</v>
      </c>
      <c r="M131" s="22" t="s">
        <v>34</v>
      </c>
      <c r="N131" s="22" t="s">
        <v>35</v>
      </c>
      <c r="O131" s="22" t="s">
        <v>35</v>
      </c>
      <c r="P131" s="22" t="s">
        <v>35</v>
      </c>
      <c r="Q131" s="22" t="s">
        <v>35</v>
      </c>
      <c r="R131" s="22" t="s">
        <v>35</v>
      </c>
      <c r="S131" s="22" t="s">
        <v>34</v>
      </c>
      <c r="T131" s="22"/>
      <c r="U131" s="22"/>
      <c r="V131" s="22"/>
      <c r="W131" s="22"/>
      <c r="X131" s="22"/>
      <c r="Y131" s="22"/>
      <c r="Z131" s="22"/>
      <c r="AA131" s="22"/>
      <c r="AB131" s="22"/>
      <c r="AC131" s="22" t="s">
        <v>1900</v>
      </c>
      <c r="AD131" s="22">
        <v>20170413</v>
      </c>
      <c r="AE131" s="22">
        <v>130</v>
      </c>
      <c r="AF131" s="22"/>
      <c r="AG131" s="22" t="str">
        <f>IFERROR(VLOOKUP(TblFeedFile[[#This Row],[Leave Type ]],LkupPayType[],2,FALSE),"TBD")</f>
        <v>Paid</v>
      </c>
      <c r="AH131" s="22"/>
      <c r="AI131" s="25"/>
      <c r="AJ131" s="25"/>
      <c r="AK131" s="26"/>
    </row>
    <row r="132" spans="1:37" x14ac:dyDescent="0.25">
      <c r="A132" s="21" t="s">
        <v>37</v>
      </c>
      <c r="B132" s="22">
        <v>314304</v>
      </c>
      <c r="C132" s="22">
        <v>21006271</v>
      </c>
      <c r="D132" s="23">
        <v>531703288843</v>
      </c>
      <c r="E132" s="22" t="s">
        <v>107</v>
      </c>
      <c r="F132" s="22" t="s">
        <v>2155</v>
      </c>
      <c r="G132" s="22">
        <v>20170405</v>
      </c>
      <c r="H132" s="22">
        <v>20170502</v>
      </c>
      <c r="I132" s="22" t="s">
        <v>40</v>
      </c>
      <c r="J132" s="22"/>
      <c r="K132" s="22"/>
      <c r="L132" s="22" t="s">
        <v>34</v>
      </c>
      <c r="M132" s="22" t="s">
        <v>34</v>
      </c>
      <c r="N132" s="22" t="s">
        <v>35</v>
      </c>
      <c r="O132" s="22" t="s">
        <v>35</v>
      </c>
      <c r="P132" s="22" t="s">
        <v>35</v>
      </c>
      <c r="Q132" s="22" t="s">
        <v>35</v>
      </c>
      <c r="R132" s="22" t="s">
        <v>35</v>
      </c>
      <c r="S132" s="22" t="s">
        <v>34</v>
      </c>
      <c r="T132" s="22"/>
      <c r="U132" s="22"/>
      <c r="V132" s="22"/>
      <c r="W132" s="22"/>
      <c r="X132" s="22"/>
      <c r="Y132" s="22"/>
      <c r="Z132" s="22"/>
      <c r="AA132" s="22"/>
      <c r="AB132" s="22"/>
      <c r="AC132" s="22" t="s">
        <v>1902</v>
      </c>
      <c r="AD132" s="22">
        <v>20170413</v>
      </c>
      <c r="AE132" s="22">
        <v>131</v>
      </c>
      <c r="AF132" s="22"/>
      <c r="AG132" s="22" t="str">
        <f>IFERROR(VLOOKUP(TblFeedFile[[#This Row],[Leave Type ]],LkupPayType[],2,FALSE),"TBD")</f>
        <v>Paid</v>
      </c>
      <c r="AH132" s="22"/>
      <c r="AI132" s="25"/>
      <c r="AJ132" s="25"/>
      <c r="AK132" s="26"/>
    </row>
    <row r="133" spans="1:37" x14ac:dyDescent="0.25">
      <c r="A133" s="21" t="s">
        <v>37</v>
      </c>
      <c r="B133" s="22">
        <v>314304</v>
      </c>
      <c r="C133" s="22">
        <v>21026605</v>
      </c>
      <c r="D133" s="23">
        <v>511702098559</v>
      </c>
      <c r="E133" s="22" t="s">
        <v>1169</v>
      </c>
      <c r="F133" s="22" t="s">
        <v>1065</v>
      </c>
      <c r="G133" s="22">
        <v>20170413</v>
      </c>
      <c r="H133" s="22">
        <v>20170508</v>
      </c>
      <c r="I133" s="22" t="s">
        <v>1892</v>
      </c>
      <c r="J133" s="22"/>
      <c r="K133" s="22"/>
      <c r="L133" s="22" t="s">
        <v>34</v>
      </c>
      <c r="M133" s="22" t="s">
        <v>34</v>
      </c>
      <c r="N133" s="22" t="s">
        <v>35</v>
      </c>
      <c r="O133" s="22" t="s">
        <v>35</v>
      </c>
      <c r="P133" s="22" t="s">
        <v>35</v>
      </c>
      <c r="Q133" s="22" t="s">
        <v>35</v>
      </c>
      <c r="R133" s="22" t="s">
        <v>35</v>
      </c>
      <c r="S133" s="22" t="s">
        <v>34</v>
      </c>
      <c r="T133" s="22"/>
      <c r="U133" s="22"/>
      <c r="V133" s="22"/>
      <c r="W133" s="22"/>
      <c r="X133" s="22"/>
      <c r="Y133" s="22"/>
      <c r="Z133" s="22"/>
      <c r="AA133" s="22"/>
      <c r="AB133" s="22"/>
      <c r="AC133" s="22" t="s">
        <v>1913</v>
      </c>
      <c r="AD133" s="22">
        <v>20170413</v>
      </c>
      <c r="AE133" s="22">
        <v>132</v>
      </c>
      <c r="AF133" s="22"/>
      <c r="AG133" s="22" t="str">
        <f>IFERROR(VLOOKUP(TblFeedFile[[#This Row],[Leave Type ]],LkupPayType[],2,FALSE),"TBD")</f>
        <v>Paid</v>
      </c>
      <c r="AH133" s="22"/>
      <c r="AI133" s="25"/>
      <c r="AJ133" s="25"/>
      <c r="AK133" s="26"/>
    </row>
    <row r="134" spans="1:37" x14ac:dyDescent="0.25">
      <c r="A134" s="21" t="s">
        <v>37</v>
      </c>
      <c r="B134" s="22">
        <v>314304</v>
      </c>
      <c r="C134" s="22">
        <v>21031075</v>
      </c>
      <c r="D134" s="23" t="s">
        <v>2156</v>
      </c>
      <c r="E134" s="22" t="s">
        <v>2157</v>
      </c>
      <c r="F134" s="22" t="s">
        <v>1182</v>
      </c>
      <c r="G134" s="22">
        <v>20170412</v>
      </c>
      <c r="H134" s="22">
        <v>20170426</v>
      </c>
      <c r="I134" s="22" t="s">
        <v>36</v>
      </c>
      <c r="J134" s="22"/>
      <c r="K134" s="22"/>
      <c r="L134" s="22" t="s">
        <v>34</v>
      </c>
      <c r="M134" s="22" t="s">
        <v>34</v>
      </c>
      <c r="N134" s="22" t="s">
        <v>35</v>
      </c>
      <c r="O134" s="22" t="s">
        <v>35</v>
      </c>
      <c r="P134" s="22" t="s">
        <v>35</v>
      </c>
      <c r="Q134" s="22" t="s">
        <v>35</v>
      </c>
      <c r="R134" s="22" t="s">
        <v>35</v>
      </c>
      <c r="S134" s="22" t="s">
        <v>34</v>
      </c>
      <c r="T134" s="22"/>
      <c r="U134" s="22"/>
      <c r="V134" s="22"/>
      <c r="W134" s="22"/>
      <c r="X134" s="22"/>
      <c r="Y134" s="22"/>
      <c r="Z134" s="22"/>
      <c r="AA134" s="22"/>
      <c r="AB134" s="22"/>
      <c r="AC134" s="22" t="s">
        <v>1936</v>
      </c>
      <c r="AD134" s="22">
        <v>20170413</v>
      </c>
      <c r="AE134" s="22">
        <v>133</v>
      </c>
      <c r="AF134" s="22"/>
      <c r="AG134" s="22" t="str">
        <f>IFERROR(VLOOKUP(TblFeedFile[[#This Row],[Leave Type ]],LkupPayType[],2,FALSE),"TBD")</f>
        <v>Unpaid</v>
      </c>
      <c r="AH134" s="22"/>
      <c r="AI134" s="25"/>
      <c r="AJ134" s="25"/>
      <c r="AK134" s="26"/>
    </row>
    <row r="135" spans="1:37" x14ac:dyDescent="0.25">
      <c r="A135" s="21" t="s">
        <v>37</v>
      </c>
      <c r="B135" s="22">
        <v>314304</v>
      </c>
      <c r="C135" s="22">
        <v>21067016</v>
      </c>
      <c r="D135" s="23">
        <v>521704048132</v>
      </c>
      <c r="E135" s="22" t="s">
        <v>2072</v>
      </c>
      <c r="F135" s="22" t="s">
        <v>2158</v>
      </c>
      <c r="G135" s="22">
        <v>20170412</v>
      </c>
      <c r="H135" s="22">
        <v>20170729</v>
      </c>
      <c r="I135" s="22" t="s">
        <v>40</v>
      </c>
      <c r="J135" s="22"/>
      <c r="K135" s="22"/>
      <c r="L135" s="22" t="s">
        <v>34</v>
      </c>
      <c r="M135" s="22" t="s">
        <v>34</v>
      </c>
      <c r="N135" s="22" t="s">
        <v>34</v>
      </c>
      <c r="O135" s="22" t="s">
        <v>35</v>
      </c>
      <c r="P135" s="22" t="s">
        <v>35</v>
      </c>
      <c r="Q135" s="22" t="s">
        <v>35</v>
      </c>
      <c r="R135" s="22" t="s">
        <v>35</v>
      </c>
      <c r="S135" s="22" t="s">
        <v>35</v>
      </c>
      <c r="T135" s="22"/>
      <c r="U135" s="22"/>
      <c r="V135" s="22"/>
      <c r="W135" s="22"/>
      <c r="X135" s="22"/>
      <c r="Y135" s="22"/>
      <c r="Z135" s="22"/>
      <c r="AA135" s="22"/>
      <c r="AB135" s="22"/>
      <c r="AC135" s="22" t="s">
        <v>1912</v>
      </c>
      <c r="AD135" s="22">
        <v>20170413</v>
      </c>
      <c r="AE135" s="22">
        <v>134</v>
      </c>
      <c r="AF135" s="22"/>
      <c r="AG135" s="22" t="str">
        <f>IFERROR(VLOOKUP(TblFeedFile[[#This Row],[Leave Type ]],LkupPayType[],2,FALSE),"TBD")</f>
        <v>Paid</v>
      </c>
      <c r="AH135" s="22"/>
      <c r="AI135" s="25"/>
      <c r="AJ135" s="25"/>
      <c r="AK135" s="26"/>
    </row>
    <row r="136" spans="1:37" x14ac:dyDescent="0.25">
      <c r="A136" s="21" t="s">
        <v>37</v>
      </c>
      <c r="B136" s="22">
        <v>314304</v>
      </c>
      <c r="C136" s="22">
        <v>21087486</v>
      </c>
      <c r="D136" s="23">
        <v>501704068570</v>
      </c>
      <c r="E136" s="22" t="s">
        <v>2159</v>
      </c>
      <c r="F136" s="22" t="s">
        <v>2160</v>
      </c>
      <c r="G136" s="22">
        <v>20170413</v>
      </c>
      <c r="H136" s="22">
        <v>20170622</v>
      </c>
      <c r="I136" s="22" t="s">
        <v>40</v>
      </c>
      <c r="J136" s="22"/>
      <c r="K136" s="22"/>
      <c r="L136" s="22" t="s">
        <v>35</v>
      </c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 t="s">
        <v>1921</v>
      </c>
      <c r="AD136" s="22">
        <v>20170413</v>
      </c>
      <c r="AE136" s="22">
        <v>135</v>
      </c>
      <c r="AF136" s="22"/>
      <c r="AG136" s="22" t="str">
        <f>IFERROR(VLOOKUP(TblFeedFile[[#This Row],[Leave Type ]],LkupPayType[],2,FALSE),"TBD")</f>
        <v>Paid</v>
      </c>
      <c r="AH136" s="22"/>
      <c r="AI136" s="25"/>
      <c r="AJ136" s="25"/>
      <c r="AK136" s="26"/>
    </row>
    <row r="137" spans="1:37" x14ac:dyDescent="0.25">
      <c r="A137" s="21" t="s">
        <v>37</v>
      </c>
      <c r="B137" s="22">
        <v>314304</v>
      </c>
      <c r="C137" s="22">
        <v>21098116</v>
      </c>
      <c r="D137" s="23">
        <v>501704128658</v>
      </c>
      <c r="E137" s="22" t="s">
        <v>2161</v>
      </c>
      <c r="F137" s="22" t="s">
        <v>1046</v>
      </c>
      <c r="G137" s="22">
        <v>20170413</v>
      </c>
      <c r="H137" s="22">
        <v>20170513</v>
      </c>
      <c r="I137" s="22" t="s">
        <v>53</v>
      </c>
      <c r="J137" s="22"/>
      <c r="K137" s="22"/>
      <c r="L137" s="22" t="s">
        <v>34</v>
      </c>
      <c r="M137" s="22" t="s">
        <v>34</v>
      </c>
      <c r="N137" s="22" t="s">
        <v>35</v>
      </c>
      <c r="O137" s="22" t="s">
        <v>35</v>
      </c>
      <c r="P137" s="22" t="s">
        <v>35</v>
      </c>
      <c r="Q137" s="22" t="s">
        <v>35</v>
      </c>
      <c r="R137" s="22" t="s">
        <v>35</v>
      </c>
      <c r="S137" s="22" t="s">
        <v>34</v>
      </c>
      <c r="T137" s="22"/>
      <c r="U137" s="22"/>
      <c r="V137" s="22"/>
      <c r="W137" s="22"/>
      <c r="X137" s="22"/>
      <c r="Y137" s="22"/>
      <c r="Z137" s="22"/>
      <c r="AA137" s="22"/>
      <c r="AB137" s="22"/>
      <c r="AC137" s="22" t="s">
        <v>1900</v>
      </c>
      <c r="AD137" s="22">
        <v>20170413</v>
      </c>
      <c r="AE137" s="22">
        <v>136</v>
      </c>
      <c r="AF137" s="22"/>
      <c r="AG137" s="22" t="str">
        <f>IFERROR(VLOOKUP(TblFeedFile[[#This Row],[Leave Type ]],LkupPayType[],2,FALSE),"TBD")</f>
        <v>Paid</v>
      </c>
      <c r="AH137" s="22"/>
      <c r="AI137" s="25"/>
      <c r="AJ137" s="25"/>
      <c r="AK137" s="26"/>
    </row>
    <row r="138" spans="1:37" x14ac:dyDescent="0.25">
      <c r="A138" s="21" t="s">
        <v>37</v>
      </c>
      <c r="B138" s="22">
        <v>314304</v>
      </c>
      <c r="C138" s="22">
        <v>21108816</v>
      </c>
      <c r="D138" s="23">
        <v>561703078126</v>
      </c>
      <c r="E138" s="22" t="s">
        <v>2003</v>
      </c>
      <c r="F138" s="22" t="s">
        <v>550</v>
      </c>
      <c r="G138" s="22">
        <v>20170320</v>
      </c>
      <c r="H138" s="22">
        <v>20170515</v>
      </c>
      <c r="I138" s="22" t="s">
        <v>53</v>
      </c>
      <c r="J138" s="22"/>
      <c r="K138" s="22"/>
      <c r="L138" s="22" t="s">
        <v>34</v>
      </c>
      <c r="M138" s="22" t="s">
        <v>34</v>
      </c>
      <c r="N138" s="22" t="s">
        <v>35</v>
      </c>
      <c r="O138" s="22" t="s">
        <v>35</v>
      </c>
      <c r="P138" s="22" t="s">
        <v>35</v>
      </c>
      <c r="Q138" s="22" t="s">
        <v>35</v>
      </c>
      <c r="R138" s="22" t="s">
        <v>35</v>
      </c>
      <c r="S138" s="22" t="s">
        <v>34</v>
      </c>
      <c r="T138" s="22"/>
      <c r="U138" s="22"/>
      <c r="V138" s="22"/>
      <c r="W138" s="22"/>
      <c r="X138" s="22"/>
      <c r="Y138" s="22"/>
      <c r="Z138" s="22"/>
      <c r="AA138" s="22"/>
      <c r="AB138" s="22"/>
      <c r="AC138" s="22" t="s">
        <v>1901</v>
      </c>
      <c r="AD138" s="22">
        <v>20170413</v>
      </c>
      <c r="AE138" s="22">
        <v>137</v>
      </c>
      <c r="AF138" s="22"/>
      <c r="AG138" s="22" t="str">
        <f>IFERROR(VLOOKUP(TblFeedFile[[#This Row],[Leave Type ]],LkupPayType[],2,FALSE),"TBD")</f>
        <v>Paid</v>
      </c>
      <c r="AH138" s="22"/>
      <c r="AI138" s="25"/>
      <c r="AJ138" s="25"/>
      <c r="AK138" s="26"/>
    </row>
    <row r="139" spans="1:37" x14ac:dyDescent="0.25">
      <c r="A139" s="21" t="s">
        <v>37</v>
      </c>
      <c r="B139" s="22">
        <v>314304</v>
      </c>
      <c r="C139" s="22">
        <v>21108816</v>
      </c>
      <c r="D139" s="23">
        <v>561703078126</v>
      </c>
      <c r="E139" s="22" t="s">
        <v>2003</v>
      </c>
      <c r="F139" s="22" t="s">
        <v>550</v>
      </c>
      <c r="G139" s="22">
        <v>20170327</v>
      </c>
      <c r="H139" s="22">
        <v>20170515</v>
      </c>
      <c r="I139" s="22" t="s">
        <v>40</v>
      </c>
      <c r="J139" s="22"/>
      <c r="K139" s="22"/>
      <c r="L139" s="22" t="s">
        <v>34</v>
      </c>
      <c r="M139" s="22" t="s">
        <v>34</v>
      </c>
      <c r="N139" s="22" t="s">
        <v>35</v>
      </c>
      <c r="O139" s="22" t="s">
        <v>35</v>
      </c>
      <c r="P139" s="22" t="s">
        <v>35</v>
      </c>
      <c r="Q139" s="22" t="s">
        <v>35</v>
      </c>
      <c r="R139" s="22" t="s">
        <v>35</v>
      </c>
      <c r="S139" s="22" t="s">
        <v>34</v>
      </c>
      <c r="T139" s="22"/>
      <c r="U139" s="22"/>
      <c r="V139" s="22"/>
      <c r="W139" s="22"/>
      <c r="X139" s="22"/>
      <c r="Y139" s="22"/>
      <c r="Z139" s="22"/>
      <c r="AA139" s="22"/>
      <c r="AB139" s="22"/>
      <c r="AC139" s="22" t="s">
        <v>1900</v>
      </c>
      <c r="AD139" s="22">
        <v>20170413</v>
      </c>
      <c r="AE139" s="22">
        <v>138</v>
      </c>
      <c r="AF139" s="22"/>
      <c r="AG139" s="22" t="str">
        <f>IFERROR(VLOOKUP(TblFeedFile[[#This Row],[Leave Type ]],LkupPayType[],2,FALSE),"TBD")</f>
        <v>Paid</v>
      </c>
      <c r="AH139" s="22"/>
      <c r="AI139" s="25"/>
      <c r="AJ139" s="25"/>
      <c r="AK139" s="26"/>
    </row>
    <row r="140" spans="1:37" x14ac:dyDescent="0.25">
      <c r="A140" s="21" t="s">
        <v>37</v>
      </c>
      <c r="B140" s="22">
        <v>314305</v>
      </c>
      <c r="C140" s="22">
        <v>21108912</v>
      </c>
      <c r="D140" s="23">
        <v>511703308299</v>
      </c>
      <c r="E140" s="22" t="s">
        <v>351</v>
      </c>
      <c r="F140" s="22" t="s">
        <v>2162</v>
      </c>
      <c r="G140" s="22">
        <v>20170406</v>
      </c>
      <c r="H140" s="22">
        <v>20170429</v>
      </c>
      <c r="I140" s="22" t="s">
        <v>40</v>
      </c>
      <c r="J140" s="22"/>
      <c r="K140" s="22"/>
      <c r="L140" s="22" t="s">
        <v>34</v>
      </c>
      <c r="M140" s="22" t="s">
        <v>34</v>
      </c>
      <c r="N140" s="22" t="s">
        <v>35</v>
      </c>
      <c r="O140" s="22" t="s">
        <v>35</v>
      </c>
      <c r="P140" s="22" t="s">
        <v>35</v>
      </c>
      <c r="Q140" s="22" t="s">
        <v>35</v>
      </c>
      <c r="R140" s="22" t="s">
        <v>35</v>
      </c>
      <c r="S140" s="22" t="s">
        <v>34</v>
      </c>
      <c r="T140" s="22"/>
      <c r="U140" s="22"/>
      <c r="V140" s="22"/>
      <c r="W140" s="22"/>
      <c r="X140" s="22"/>
      <c r="Y140" s="22"/>
      <c r="Z140" s="22"/>
      <c r="AA140" s="22"/>
      <c r="AB140" s="22"/>
      <c r="AC140" s="22" t="s">
        <v>1916</v>
      </c>
      <c r="AD140" s="22">
        <v>20170413</v>
      </c>
      <c r="AE140" s="22">
        <v>139</v>
      </c>
      <c r="AF140" s="22"/>
      <c r="AG140" s="22" t="str">
        <f>IFERROR(VLOOKUP(TblFeedFile[[#This Row],[Leave Type ]],LkupPayType[],2,FALSE),"TBD")</f>
        <v>Paid</v>
      </c>
      <c r="AH140" s="22"/>
      <c r="AI140" s="25"/>
      <c r="AJ140" s="25"/>
      <c r="AK140" s="26"/>
    </row>
    <row r="141" spans="1:37" x14ac:dyDescent="0.25">
      <c r="A141" s="21" t="s">
        <v>29</v>
      </c>
      <c r="B141" s="22">
        <v>314304</v>
      </c>
      <c r="C141" s="22">
        <v>21182693</v>
      </c>
      <c r="D141" s="23" t="s">
        <v>2163</v>
      </c>
      <c r="E141" s="22" t="s">
        <v>425</v>
      </c>
      <c r="F141" s="22" t="s">
        <v>426</v>
      </c>
      <c r="G141" s="22">
        <v>20170406</v>
      </c>
      <c r="H141" s="22">
        <v>20170406</v>
      </c>
      <c r="I141" s="22" t="s">
        <v>33</v>
      </c>
      <c r="J141" s="22"/>
      <c r="K141" s="22"/>
      <c r="L141" s="22" t="s">
        <v>34</v>
      </c>
      <c r="M141" s="22" t="s">
        <v>34</v>
      </c>
      <c r="N141" s="22" t="s">
        <v>35</v>
      </c>
      <c r="O141" s="22" t="s">
        <v>35</v>
      </c>
      <c r="P141" s="22" t="s">
        <v>35</v>
      </c>
      <c r="Q141" s="22" t="s">
        <v>35</v>
      </c>
      <c r="R141" s="22" t="s">
        <v>35</v>
      </c>
      <c r="S141" s="22" t="s">
        <v>34</v>
      </c>
      <c r="T141" s="22"/>
      <c r="U141" s="22"/>
      <c r="V141" s="22"/>
      <c r="W141" s="22"/>
      <c r="X141" s="22"/>
      <c r="Y141" s="22"/>
      <c r="Z141" s="22"/>
      <c r="AA141" s="22"/>
      <c r="AB141" s="22"/>
      <c r="AC141" s="22" t="s">
        <v>1935</v>
      </c>
      <c r="AD141" s="22">
        <v>20170413</v>
      </c>
      <c r="AE141" s="22">
        <v>140</v>
      </c>
      <c r="AF141" s="22"/>
      <c r="AG141" s="22" t="str">
        <f>IFERROR(VLOOKUP(TblFeedFile[[#This Row],[Leave Type ]],LkupPayType[],2,FALSE),"TBD")</f>
        <v>Closed</v>
      </c>
      <c r="AH141" s="22"/>
      <c r="AI141" s="25"/>
      <c r="AJ141" s="25"/>
      <c r="AK141" s="26"/>
    </row>
    <row r="142" spans="1:37" x14ac:dyDescent="0.25">
      <c r="A142" s="21" t="s">
        <v>29</v>
      </c>
      <c r="B142" s="22">
        <v>314304</v>
      </c>
      <c r="C142" s="22">
        <v>21182693</v>
      </c>
      <c r="D142" s="23" t="s">
        <v>2163</v>
      </c>
      <c r="E142" s="22" t="s">
        <v>425</v>
      </c>
      <c r="F142" s="22" t="s">
        <v>426</v>
      </c>
      <c r="G142" s="22">
        <v>20170306</v>
      </c>
      <c r="H142" s="22">
        <v>20170405</v>
      </c>
      <c r="I142" s="22" t="s">
        <v>223</v>
      </c>
      <c r="J142" s="22"/>
      <c r="K142" s="22"/>
      <c r="L142" s="22" t="s">
        <v>34</v>
      </c>
      <c r="M142" s="22" t="s">
        <v>34</v>
      </c>
      <c r="N142" s="22" t="s">
        <v>35</v>
      </c>
      <c r="O142" s="22" t="s">
        <v>35</v>
      </c>
      <c r="P142" s="22" t="s">
        <v>35</v>
      </c>
      <c r="Q142" s="22" t="s">
        <v>35</v>
      </c>
      <c r="R142" s="22" t="s">
        <v>35</v>
      </c>
      <c r="S142" s="22" t="s">
        <v>34</v>
      </c>
      <c r="T142" s="22"/>
      <c r="U142" s="22"/>
      <c r="V142" s="22"/>
      <c r="W142" s="22"/>
      <c r="X142" s="22"/>
      <c r="Y142" s="22"/>
      <c r="Z142" s="22"/>
      <c r="AA142" s="22"/>
      <c r="AB142" s="22"/>
      <c r="AC142" s="22" t="s">
        <v>1927</v>
      </c>
      <c r="AD142" s="22">
        <v>20170413</v>
      </c>
      <c r="AE142" s="22">
        <v>141</v>
      </c>
      <c r="AF142" s="22"/>
      <c r="AG142" s="22" t="str">
        <f>IFERROR(VLOOKUP(TblFeedFile[[#This Row],[Leave Type ]],LkupPayType[],2,FALSE),"TBD")</f>
        <v>Paid</v>
      </c>
      <c r="AH142" s="22"/>
      <c r="AI142" s="25"/>
      <c r="AJ142" s="25"/>
      <c r="AK142" s="26"/>
    </row>
    <row r="143" spans="1:37" x14ac:dyDescent="0.25">
      <c r="A143" s="21" t="s">
        <v>37</v>
      </c>
      <c r="B143" s="22">
        <v>314304</v>
      </c>
      <c r="C143" s="22">
        <v>21182693</v>
      </c>
      <c r="D143" s="23" t="s">
        <v>2163</v>
      </c>
      <c r="E143" s="22" t="s">
        <v>425</v>
      </c>
      <c r="F143" s="22" t="s">
        <v>426</v>
      </c>
      <c r="G143" s="22">
        <v>20170306</v>
      </c>
      <c r="H143" s="22">
        <v>20170411</v>
      </c>
      <c r="I143" s="22" t="s">
        <v>223</v>
      </c>
      <c r="J143" s="22"/>
      <c r="K143" s="22"/>
      <c r="L143" s="22" t="s">
        <v>34</v>
      </c>
      <c r="M143" s="22" t="s">
        <v>34</v>
      </c>
      <c r="N143" s="22" t="s">
        <v>35</v>
      </c>
      <c r="O143" s="22" t="s">
        <v>35</v>
      </c>
      <c r="P143" s="22" t="s">
        <v>35</v>
      </c>
      <c r="Q143" s="22" t="s">
        <v>35</v>
      </c>
      <c r="R143" s="22" t="s">
        <v>35</v>
      </c>
      <c r="S143" s="22" t="s">
        <v>34</v>
      </c>
      <c r="T143" s="22">
        <v>20170412</v>
      </c>
      <c r="U143" s="22"/>
      <c r="V143" s="22"/>
      <c r="W143" s="22"/>
      <c r="X143" s="22"/>
      <c r="Y143" s="22"/>
      <c r="Z143" s="22"/>
      <c r="AA143" s="22"/>
      <c r="AB143" s="22"/>
      <c r="AC143" s="22" t="s">
        <v>1912</v>
      </c>
      <c r="AD143" s="22">
        <v>20170413</v>
      </c>
      <c r="AE143" s="22">
        <v>142</v>
      </c>
      <c r="AF143" s="22"/>
      <c r="AG143" s="22" t="str">
        <f>IFERROR(VLOOKUP(TblFeedFile[[#This Row],[Leave Type ]],LkupPayType[],2,FALSE),"TBD")</f>
        <v>Paid</v>
      </c>
      <c r="AH143" s="22"/>
      <c r="AI143" s="25" t="s">
        <v>35</v>
      </c>
      <c r="AJ143" s="25"/>
      <c r="AK143" s="26" t="s">
        <v>35</v>
      </c>
    </row>
    <row r="144" spans="1:37" x14ac:dyDescent="0.25">
      <c r="A144" s="21" t="s">
        <v>37</v>
      </c>
      <c r="B144" s="22">
        <v>314301</v>
      </c>
      <c r="C144" s="22">
        <v>21261473</v>
      </c>
      <c r="D144" s="23">
        <v>551702148335</v>
      </c>
      <c r="E144" s="22" t="s">
        <v>1140</v>
      </c>
      <c r="F144" s="22" t="s">
        <v>542</v>
      </c>
      <c r="G144" s="22">
        <v>20170410</v>
      </c>
      <c r="H144" s="22">
        <v>20170416</v>
      </c>
      <c r="I144" s="22" t="s">
        <v>1892</v>
      </c>
      <c r="J144" s="22"/>
      <c r="K144" s="22"/>
      <c r="L144" s="22" t="s">
        <v>34</v>
      </c>
      <c r="M144" s="22" t="s">
        <v>34</v>
      </c>
      <c r="N144" s="22" t="s">
        <v>35</v>
      </c>
      <c r="O144" s="22" t="s">
        <v>35</v>
      </c>
      <c r="P144" s="22" t="s">
        <v>35</v>
      </c>
      <c r="Q144" s="22" t="s">
        <v>35</v>
      </c>
      <c r="R144" s="22" t="s">
        <v>35</v>
      </c>
      <c r="S144" s="22" t="s">
        <v>34</v>
      </c>
      <c r="T144" s="22">
        <v>20170417</v>
      </c>
      <c r="U144" s="22"/>
      <c r="V144" s="22"/>
      <c r="W144" s="22"/>
      <c r="X144" s="22"/>
      <c r="Y144" s="22"/>
      <c r="Z144" s="22"/>
      <c r="AA144" s="22"/>
      <c r="AB144" s="22"/>
      <c r="AC144" s="22" t="s">
        <v>2078</v>
      </c>
      <c r="AD144" s="22">
        <v>20170413</v>
      </c>
      <c r="AE144" s="22">
        <v>143</v>
      </c>
      <c r="AF144" s="22"/>
      <c r="AG144" s="22" t="str">
        <f>IFERROR(VLOOKUP(TblFeedFile[[#This Row],[Leave Type ]],LkupPayType[],2,FALSE),"TBD")</f>
        <v>Paid</v>
      </c>
      <c r="AH144" s="22"/>
      <c r="AI144" s="25"/>
      <c r="AJ144" s="25"/>
      <c r="AK144" s="26" t="s">
        <v>35</v>
      </c>
    </row>
    <row r="145" spans="1:37" x14ac:dyDescent="0.25">
      <c r="A145" s="21" t="s">
        <v>37</v>
      </c>
      <c r="B145" s="22">
        <v>314301</v>
      </c>
      <c r="C145" s="22">
        <v>21292731</v>
      </c>
      <c r="D145" s="23" t="s">
        <v>2164</v>
      </c>
      <c r="E145" s="22" t="s">
        <v>625</v>
      </c>
      <c r="F145" s="22" t="s">
        <v>2165</v>
      </c>
      <c r="G145" s="22">
        <v>20170320</v>
      </c>
      <c r="H145" s="22">
        <v>20170416</v>
      </c>
      <c r="I145" s="22" t="s">
        <v>36</v>
      </c>
      <c r="J145" s="22"/>
      <c r="K145" s="22"/>
      <c r="L145" s="22" t="s">
        <v>34</v>
      </c>
      <c r="M145" s="22" t="s">
        <v>34</v>
      </c>
      <c r="N145" s="22" t="s">
        <v>35</v>
      </c>
      <c r="O145" s="22" t="s">
        <v>35</v>
      </c>
      <c r="P145" s="22" t="s">
        <v>35</v>
      </c>
      <c r="Q145" s="22" t="s">
        <v>35</v>
      </c>
      <c r="R145" s="22" t="s">
        <v>35</v>
      </c>
      <c r="S145" s="22" t="s">
        <v>34</v>
      </c>
      <c r="T145" s="22">
        <v>20170417</v>
      </c>
      <c r="U145" s="22"/>
      <c r="V145" s="22"/>
      <c r="W145" s="22"/>
      <c r="X145" s="22"/>
      <c r="Y145" s="22"/>
      <c r="Z145" s="22"/>
      <c r="AA145" s="22"/>
      <c r="AB145" s="22"/>
      <c r="AC145" s="22" t="s">
        <v>1923</v>
      </c>
      <c r="AD145" s="22">
        <v>20170413</v>
      </c>
      <c r="AE145" s="22">
        <v>144</v>
      </c>
      <c r="AF145" s="22"/>
      <c r="AG145" s="22" t="str">
        <f>IFERROR(VLOOKUP(TblFeedFile[[#This Row],[Leave Type ]],LkupPayType[],2,FALSE),"TBD")</f>
        <v>Unpaid</v>
      </c>
      <c r="AH145" s="22"/>
      <c r="AI145" s="25"/>
      <c r="AJ145" s="25"/>
      <c r="AK145" s="26" t="s">
        <v>35</v>
      </c>
    </row>
    <row r="146" spans="1:37" x14ac:dyDescent="0.25">
      <c r="A146" s="21" t="s">
        <v>37</v>
      </c>
      <c r="B146" s="22">
        <v>314301</v>
      </c>
      <c r="C146" s="22">
        <v>21313602</v>
      </c>
      <c r="D146" s="23" t="s">
        <v>2166</v>
      </c>
      <c r="E146" s="22" t="s">
        <v>550</v>
      </c>
      <c r="F146" s="22" t="s">
        <v>2167</v>
      </c>
      <c r="G146" s="22">
        <v>20170308</v>
      </c>
      <c r="H146" s="22">
        <v>20170416</v>
      </c>
      <c r="I146" s="22" t="s">
        <v>223</v>
      </c>
      <c r="J146" s="22"/>
      <c r="K146" s="22"/>
      <c r="L146" s="22" t="s">
        <v>34</v>
      </c>
      <c r="M146" s="22" t="s">
        <v>34</v>
      </c>
      <c r="N146" s="22" t="s">
        <v>35</v>
      </c>
      <c r="O146" s="22" t="s">
        <v>35</v>
      </c>
      <c r="P146" s="22" t="s">
        <v>35</v>
      </c>
      <c r="Q146" s="22" t="s">
        <v>35</v>
      </c>
      <c r="R146" s="22" t="s">
        <v>35</v>
      </c>
      <c r="S146" s="22" t="s">
        <v>34</v>
      </c>
      <c r="T146" s="22">
        <v>20170417</v>
      </c>
      <c r="U146" s="22"/>
      <c r="V146" s="22"/>
      <c r="W146" s="22"/>
      <c r="X146" s="22"/>
      <c r="Y146" s="22"/>
      <c r="Z146" s="22"/>
      <c r="AA146" s="22"/>
      <c r="AB146" s="22"/>
      <c r="AC146" s="22" t="s">
        <v>1921</v>
      </c>
      <c r="AD146" s="22">
        <v>20170413</v>
      </c>
      <c r="AE146" s="22">
        <v>145</v>
      </c>
      <c r="AF146" s="22"/>
      <c r="AG146" s="22" t="str">
        <f>IFERROR(VLOOKUP(TblFeedFile[[#This Row],[Leave Type ]],LkupPayType[],2,FALSE),"TBD")</f>
        <v>Paid</v>
      </c>
      <c r="AH146" s="22"/>
      <c r="AI146" s="25"/>
      <c r="AJ146" s="25"/>
      <c r="AK146" s="26" t="s">
        <v>35</v>
      </c>
    </row>
    <row r="147" spans="1:37" x14ac:dyDescent="0.25">
      <c r="A147" s="21" t="s">
        <v>37</v>
      </c>
      <c r="B147" s="22">
        <v>314304</v>
      </c>
      <c r="C147" s="22">
        <v>21342963</v>
      </c>
      <c r="D147" s="23">
        <v>551704028525</v>
      </c>
      <c r="E147" s="22" t="s">
        <v>724</v>
      </c>
      <c r="F147" s="22" t="s">
        <v>2168</v>
      </c>
      <c r="G147" s="22">
        <v>20170327</v>
      </c>
      <c r="H147" s="22">
        <v>20170502</v>
      </c>
      <c r="I147" s="22" t="s">
        <v>53</v>
      </c>
      <c r="J147" s="22"/>
      <c r="K147" s="22"/>
      <c r="L147" s="22" t="s">
        <v>35</v>
      </c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 t="s">
        <v>1943</v>
      </c>
      <c r="AD147" s="22">
        <v>20170413</v>
      </c>
      <c r="AE147" s="22">
        <v>146</v>
      </c>
      <c r="AF147" s="22"/>
      <c r="AG147" s="22" t="str">
        <f>IFERROR(VLOOKUP(TblFeedFile[[#This Row],[Leave Type ]],LkupPayType[],2,FALSE),"TBD")</f>
        <v>Paid</v>
      </c>
      <c r="AH147" s="22"/>
      <c r="AI147" s="25"/>
      <c r="AJ147" s="25"/>
      <c r="AK147" s="26"/>
    </row>
    <row r="148" spans="1:37" x14ac:dyDescent="0.25">
      <c r="A148" s="21" t="s">
        <v>37</v>
      </c>
      <c r="B148" s="22">
        <v>314304</v>
      </c>
      <c r="C148" s="22">
        <v>21342963</v>
      </c>
      <c r="D148" s="23">
        <v>551704028525</v>
      </c>
      <c r="E148" s="22" t="s">
        <v>724</v>
      </c>
      <c r="F148" s="22" t="s">
        <v>2168</v>
      </c>
      <c r="G148" s="22">
        <v>20170403</v>
      </c>
      <c r="H148" s="22">
        <v>20170502</v>
      </c>
      <c r="I148" s="22" t="s">
        <v>40</v>
      </c>
      <c r="J148" s="22"/>
      <c r="K148" s="22"/>
      <c r="L148" s="22" t="s">
        <v>35</v>
      </c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 t="s">
        <v>1924</v>
      </c>
      <c r="AD148" s="22">
        <v>20170413</v>
      </c>
      <c r="AE148" s="22">
        <v>147</v>
      </c>
      <c r="AF148" s="22"/>
      <c r="AG148" s="22" t="str">
        <f>IFERROR(VLOOKUP(TblFeedFile[[#This Row],[Leave Type ]],LkupPayType[],2,FALSE),"TBD")</f>
        <v>Paid</v>
      </c>
      <c r="AH148" s="22"/>
      <c r="AI148" s="25"/>
      <c r="AJ148" s="25"/>
      <c r="AK148" s="26"/>
    </row>
    <row r="149" spans="1:37" x14ac:dyDescent="0.25">
      <c r="A149" s="21" t="s">
        <v>37</v>
      </c>
      <c r="B149" s="22">
        <v>314304</v>
      </c>
      <c r="C149" s="22">
        <v>21344686</v>
      </c>
      <c r="D149" s="23">
        <v>511702108681</v>
      </c>
      <c r="E149" s="22" t="s">
        <v>1102</v>
      </c>
      <c r="F149" s="22" t="s">
        <v>907</v>
      </c>
      <c r="G149" s="22">
        <v>20170413</v>
      </c>
      <c r="H149" s="22">
        <v>20170630</v>
      </c>
      <c r="I149" s="22" t="s">
        <v>1893</v>
      </c>
      <c r="J149" s="22"/>
      <c r="K149" s="22"/>
      <c r="L149" s="22" t="s">
        <v>34</v>
      </c>
      <c r="M149" s="22" t="s">
        <v>34</v>
      </c>
      <c r="N149" s="22" t="s">
        <v>35</v>
      </c>
      <c r="O149" s="22" t="s">
        <v>35</v>
      </c>
      <c r="P149" s="22" t="s">
        <v>35</v>
      </c>
      <c r="Q149" s="22" t="s">
        <v>35</v>
      </c>
      <c r="R149" s="22" t="s">
        <v>35</v>
      </c>
      <c r="S149" s="22" t="s">
        <v>34</v>
      </c>
      <c r="T149" s="22"/>
      <c r="U149" s="22"/>
      <c r="V149" s="22"/>
      <c r="W149" s="22"/>
      <c r="X149" s="22"/>
      <c r="Y149" s="22"/>
      <c r="Z149" s="22"/>
      <c r="AA149" s="22"/>
      <c r="AB149" s="22"/>
      <c r="AC149" s="22" t="s">
        <v>1908</v>
      </c>
      <c r="AD149" s="22">
        <v>20170413</v>
      </c>
      <c r="AE149" s="22">
        <v>148</v>
      </c>
      <c r="AF149" s="22"/>
      <c r="AG149" s="22" t="str">
        <f>IFERROR(VLOOKUP(TblFeedFile[[#This Row],[Leave Type ]],LkupPayType[],2,FALSE),"TBD")</f>
        <v>Paid</v>
      </c>
      <c r="AH149" s="22"/>
      <c r="AI149" s="25"/>
      <c r="AJ149" s="25"/>
      <c r="AK149" s="26"/>
    </row>
    <row r="150" spans="1:37" x14ac:dyDescent="0.25">
      <c r="A150" s="21" t="s">
        <v>37</v>
      </c>
      <c r="B150" s="22">
        <v>314304</v>
      </c>
      <c r="C150" s="22">
        <v>21371610</v>
      </c>
      <c r="D150" s="23">
        <v>511704138819</v>
      </c>
      <c r="E150" s="22" t="s">
        <v>112</v>
      </c>
      <c r="F150" s="22" t="s">
        <v>2169</v>
      </c>
      <c r="G150" s="22">
        <v>20170412</v>
      </c>
      <c r="H150" s="22">
        <v>20170512</v>
      </c>
      <c r="I150" s="22" t="s">
        <v>53</v>
      </c>
      <c r="J150" s="22"/>
      <c r="K150" s="22"/>
      <c r="L150" s="22" t="s">
        <v>34</v>
      </c>
      <c r="M150" s="22" t="s">
        <v>34</v>
      </c>
      <c r="N150" s="22" t="s">
        <v>35</v>
      </c>
      <c r="O150" s="22" t="s">
        <v>35</v>
      </c>
      <c r="P150" s="22" t="s">
        <v>35</v>
      </c>
      <c r="Q150" s="22" t="s">
        <v>35</v>
      </c>
      <c r="R150" s="22" t="s">
        <v>35</v>
      </c>
      <c r="S150" s="22" t="s">
        <v>34</v>
      </c>
      <c r="T150" s="22"/>
      <c r="U150" s="22"/>
      <c r="V150" s="22"/>
      <c r="W150" s="22"/>
      <c r="X150" s="22"/>
      <c r="Y150" s="22"/>
      <c r="Z150" s="22"/>
      <c r="AA150" s="22"/>
      <c r="AB150" s="22"/>
      <c r="AC150" s="22" t="s">
        <v>1897</v>
      </c>
      <c r="AD150" s="22">
        <v>20170413</v>
      </c>
      <c r="AE150" s="22">
        <v>149</v>
      </c>
      <c r="AF150" s="22"/>
      <c r="AG150" s="22" t="str">
        <f>IFERROR(VLOOKUP(TblFeedFile[[#This Row],[Leave Type ]],LkupPayType[],2,FALSE),"TBD")</f>
        <v>Paid</v>
      </c>
      <c r="AH150" s="22"/>
      <c r="AI150" s="25"/>
      <c r="AJ150" s="25"/>
      <c r="AK150" s="26"/>
    </row>
    <row r="151" spans="1:37" x14ac:dyDescent="0.25">
      <c r="A151" s="21" t="s">
        <v>37</v>
      </c>
      <c r="B151" s="22">
        <v>314304</v>
      </c>
      <c r="C151" s="22">
        <v>21384483</v>
      </c>
      <c r="D151" s="23" t="s">
        <v>2170</v>
      </c>
      <c r="E151" s="22" t="s">
        <v>2171</v>
      </c>
      <c r="F151" s="22" t="s">
        <v>2172</v>
      </c>
      <c r="G151" s="22">
        <v>20161110</v>
      </c>
      <c r="H151" s="22">
        <v>20170417</v>
      </c>
      <c r="I151" s="22" t="s">
        <v>36</v>
      </c>
      <c r="J151" s="22"/>
      <c r="K151" s="22"/>
      <c r="L151" s="22" t="s">
        <v>34</v>
      </c>
      <c r="M151" s="22" t="s">
        <v>34</v>
      </c>
      <c r="N151" s="22" t="s">
        <v>35</v>
      </c>
      <c r="O151" s="22" t="s">
        <v>35</v>
      </c>
      <c r="P151" s="22" t="s">
        <v>35</v>
      </c>
      <c r="Q151" s="22" t="s">
        <v>35</v>
      </c>
      <c r="R151" s="22" t="s">
        <v>35</v>
      </c>
      <c r="S151" s="22" t="s">
        <v>34</v>
      </c>
      <c r="T151" s="22">
        <v>20170417</v>
      </c>
      <c r="U151" s="22"/>
      <c r="V151" s="22"/>
      <c r="W151" s="22"/>
      <c r="X151" s="22"/>
      <c r="Y151" s="22"/>
      <c r="Z151" s="22"/>
      <c r="AA151" s="22"/>
      <c r="AB151" s="22"/>
      <c r="AC151" s="22" t="s">
        <v>2173</v>
      </c>
      <c r="AD151" s="22">
        <v>20170413</v>
      </c>
      <c r="AE151" s="22">
        <v>150</v>
      </c>
      <c r="AF151" s="22"/>
      <c r="AG151" s="22" t="str">
        <f>IFERROR(VLOOKUP(TblFeedFile[[#This Row],[Leave Type ]],LkupPayType[],2,FALSE),"TBD")</f>
        <v>Unpaid</v>
      </c>
      <c r="AH151" s="22"/>
      <c r="AI151" s="25"/>
      <c r="AJ151" s="25"/>
      <c r="AK151" s="26" t="s">
        <v>35</v>
      </c>
    </row>
    <row r="152" spans="1:37" x14ac:dyDescent="0.25">
      <c r="A152" s="21" t="s">
        <v>37</v>
      </c>
      <c r="B152" s="22">
        <v>314304</v>
      </c>
      <c r="C152" s="22">
        <v>21387482</v>
      </c>
      <c r="D152" s="23">
        <v>501702178958</v>
      </c>
      <c r="E152" s="22" t="s">
        <v>556</v>
      </c>
      <c r="F152" s="22" t="s">
        <v>209</v>
      </c>
      <c r="G152" s="22">
        <v>20170410</v>
      </c>
      <c r="H152" s="22">
        <v>20170522</v>
      </c>
      <c r="I152" s="22" t="s">
        <v>53</v>
      </c>
      <c r="J152" s="22"/>
      <c r="K152" s="22"/>
      <c r="L152" s="22" t="s">
        <v>34</v>
      </c>
      <c r="M152" s="22" t="s">
        <v>34</v>
      </c>
      <c r="N152" s="22" t="s">
        <v>35</v>
      </c>
      <c r="O152" s="22" t="s">
        <v>35</v>
      </c>
      <c r="P152" s="22" t="s">
        <v>35</v>
      </c>
      <c r="Q152" s="22" t="s">
        <v>35</v>
      </c>
      <c r="R152" s="22" t="s">
        <v>35</v>
      </c>
      <c r="S152" s="22" t="s">
        <v>34</v>
      </c>
      <c r="T152" s="22"/>
      <c r="U152" s="22"/>
      <c r="V152" s="22"/>
      <c r="W152" s="22"/>
      <c r="X152" s="22"/>
      <c r="Y152" s="22"/>
      <c r="Z152" s="22"/>
      <c r="AA152" s="22"/>
      <c r="AB152" s="22"/>
      <c r="AC152" s="22" t="s">
        <v>1923</v>
      </c>
      <c r="AD152" s="22">
        <v>20170413</v>
      </c>
      <c r="AE152" s="22">
        <v>151</v>
      </c>
      <c r="AF152" s="22"/>
      <c r="AG152" s="22" t="str">
        <f>IFERROR(VLOOKUP(TblFeedFile[[#This Row],[Leave Type ]],LkupPayType[],2,FALSE),"TBD")</f>
        <v>Paid</v>
      </c>
      <c r="AH152" s="22"/>
      <c r="AI152" s="25"/>
      <c r="AJ152" s="25"/>
      <c r="AK152" s="26"/>
    </row>
    <row r="153" spans="1:37" x14ac:dyDescent="0.25">
      <c r="A153" s="21" t="s">
        <v>29</v>
      </c>
      <c r="B153" s="22">
        <v>314304</v>
      </c>
      <c r="C153" s="22">
        <v>21398515</v>
      </c>
      <c r="D153" s="23" t="s">
        <v>2174</v>
      </c>
      <c r="E153" s="22" t="s">
        <v>2175</v>
      </c>
      <c r="F153" s="22" t="s">
        <v>2176</v>
      </c>
      <c r="G153" s="22">
        <v>20161115</v>
      </c>
      <c r="H153" s="22">
        <v>20161115</v>
      </c>
      <c r="I153" s="22" t="s">
        <v>43</v>
      </c>
      <c r="J153" s="22"/>
      <c r="K153" s="22"/>
      <c r="L153" s="22" t="s">
        <v>34</v>
      </c>
      <c r="M153" s="22" t="s">
        <v>34</v>
      </c>
      <c r="N153" s="22" t="s">
        <v>35</v>
      </c>
      <c r="O153" s="22" t="s">
        <v>35</v>
      </c>
      <c r="P153" s="22" t="s">
        <v>35</v>
      </c>
      <c r="Q153" s="22" t="s">
        <v>35</v>
      </c>
      <c r="R153" s="22" t="s">
        <v>35</v>
      </c>
      <c r="S153" s="22" t="s">
        <v>34</v>
      </c>
      <c r="T153" s="22"/>
      <c r="U153" s="22"/>
      <c r="V153" s="22"/>
      <c r="W153" s="22"/>
      <c r="X153" s="22"/>
      <c r="Y153" s="22"/>
      <c r="Z153" s="22"/>
      <c r="AA153" s="22"/>
      <c r="AB153" s="22"/>
      <c r="AC153" s="22" t="s">
        <v>2062</v>
      </c>
      <c r="AD153" s="22">
        <v>20170413</v>
      </c>
      <c r="AE153" s="22">
        <v>152</v>
      </c>
      <c r="AF153" s="22"/>
      <c r="AG153" s="22" t="str">
        <f>IFERROR(VLOOKUP(TblFeedFile[[#This Row],[Leave Type ]],LkupPayType[],2,FALSE),"TBD")</f>
        <v>Denied</v>
      </c>
      <c r="AH153" s="22"/>
      <c r="AI153" s="25"/>
      <c r="AJ153" s="25"/>
      <c r="AK153" s="26"/>
    </row>
    <row r="154" spans="1:37" x14ac:dyDescent="0.25">
      <c r="A154" s="21" t="s">
        <v>37</v>
      </c>
      <c r="B154" s="22">
        <v>314304</v>
      </c>
      <c r="C154" s="22">
        <v>21398515</v>
      </c>
      <c r="D154" s="23" t="s">
        <v>2174</v>
      </c>
      <c r="E154" s="22" t="s">
        <v>2175</v>
      </c>
      <c r="F154" s="22" t="s">
        <v>2176</v>
      </c>
      <c r="G154" s="22">
        <v>20161115</v>
      </c>
      <c r="H154" s="22">
        <v>20161115</v>
      </c>
      <c r="I154" s="22" t="s">
        <v>33</v>
      </c>
      <c r="J154" s="22"/>
      <c r="K154" s="22"/>
      <c r="L154" s="22" t="s">
        <v>34</v>
      </c>
      <c r="M154" s="22" t="s">
        <v>34</v>
      </c>
      <c r="N154" s="22" t="s">
        <v>35</v>
      </c>
      <c r="O154" s="22" t="s">
        <v>35</v>
      </c>
      <c r="P154" s="22" t="s">
        <v>35</v>
      </c>
      <c r="Q154" s="22" t="s">
        <v>35</v>
      </c>
      <c r="R154" s="22" t="s">
        <v>35</v>
      </c>
      <c r="S154" s="22" t="s">
        <v>34</v>
      </c>
      <c r="T154" s="22"/>
      <c r="U154" s="22"/>
      <c r="V154" s="22"/>
      <c r="W154" s="22"/>
      <c r="X154" s="22"/>
      <c r="Y154" s="22"/>
      <c r="Z154" s="22"/>
      <c r="AA154" s="22"/>
      <c r="AB154" s="22"/>
      <c r="AC154" s="22" t="s">
        <v>2062</v>
      </c>
      <c r="AD154" s="22">
        <v>20170413</v>
      </c>
      <c r="AE154" s="22">
        <v>153</v>
      </c>
      <c r="AF154" s="22"/>
      <c r="AG154" s="22" t="str">
        <f>IFERROR(VLOOKUP(TblFeedFile[[#This Row],[Leave Type ]],LkupPayType[],2,FALSE),"TBD")</f>
        <v>Closed</v>
      </c>
      <c r="AH154" s="22"/>
      <c r="AI154" s="25"/>
      <c r="AJ154" s="25"/>
      <c r="AK154" s="26"/>
    </row>
    <row r="155" spans="1:37" x14ac:dyDescent="0.25">
      <c r="A155" s="21" t="s">
        <v>37</v>
      </c>
      <c r="B155" s="22">
        <v>314304</v>
      </c>
      <c r="C155" s="22">
        <v>21398515</v>
      </c>
      <c r="D155" s="23" t="s">
        <v>2174</v>
      </c>
      <c r="E155" s="22" t="s">
        <v>2175</v>
      </c>
      <c r="F155" s="22" t="s">
        <v>2176</v>
      </c>
      <c r="G155" s="22">
        <v>20161217</v>
      </c>
      <c r="H155" s="22">
        <v>20170330</v>
      </c>
      <c r="I155" s="22" t="s">
        <v>36</v>
      </c>
      <c r="J155" s="22"/>
      <c r="K155" s="22"/>
      <c r="L155" s="22" t="s">
        <v>34</v>
      </c>
      <c r="M155" s="22" t="s">
        <v>34</v>
      </c>
      <c r="N155" s="22" t="s">
        <v>35</v>
      </c>
      <c r="O155" s="22" t="s">
        <v>35</v>
      </c>
      <c r="P155" s="22" t="s">
        <v>35</v>
      </c>
      <c r="Q155" s="22" t="s">
        <v>35</v>
      </c>
      <c r="R155" s="22" t="s">
        <v>35</v>
      </c>
      <c r="S155" s="22" t="s">
        <v>34</v>
      </c>
      <c r="T155" s="22"/>
      <c r="U155" s="22"/>
      <c r="V155" s="22"/>
      <c r="W155" s="22"/>
      <c r="X155" s="22"/>
      <c r="Y155" s="22"/>
      <c r="Z155" s="22"/>
      <c r="AA155" s="22"/>
      <c r="AB155" s="22"/>
      <c r="AC155" s="22" t="s">
        <v>1972</v>
      </c>
      <c r="AD155" s="22">
        <v>20170413</v>
      </c>
      <c r="AE155" s="22">
        <v>154</v>
      </c>
      <c r="AF155" s="22"/>
      <c r="AG155" s="22" t="str">
        <f>IFERROR(VLOOKUP(TblFeedFile[[#This Row],[Leave Type ]],LkupPayType[],2,FALSE),"TBD")</f>
        <v>Unpaid</v>
      </c>
      <c r="AH155" s="22"/>
      <c r="AI155" s="25"/>
      <c r="AJ155" s="25"/>
      <c r="AK155" s="26"/>
    </row>
    <row r="156" spans="1:37" x14ac:dyDescent="0.25">
      <c r="A156" s="21" t="s">
        <v>37</v>
      </c>
      <c r="B156" s="22">
        <v>314304</v>
      </c>
      <c r="C156" s="22">
        <v>21442566</v>
      </c>
      <c r="D156" s="23">
        <v>511703038551</v>
      </c>
      <c r="E156" s="22" t="s">
        <v>2059</v>
      </c>
      <c r="F156" s="22" t="s">
        <v>2177</v>
      </c>
      <c r="G156" s="22">
        <v>20170320</v>
      </c>
      <c r="H156" s="22">
        <v>20170724</v>
      </c>
      <c r="I156" s="22" t="s">
        <v>459</v>
      </c>
      <c r="J156" s="22"/>
      <c r="K156" s="22"/>
      <c r="L156" s="22" t="s">
        <v>34</v>
      </c>
      <c r="M156" s="22" t="s">
        <v>34</v>
      </c>
      <c r="N156" s="22" t="s">
        <v>35</v>
      </c>
      <c r="O156" s="22" t="s">
        <v>35</v>
      </c>
      <c r="P156" s="22" t="s">
        <v>35</v>
      </c>
      <c r="Q156" s="22" t="s">
        <v>35</v>
      </c>
      <c r="R156" s="22" t="s">
        <v>35</v>
      </c>
      <c r="S156" s="22" t="s">
        <v>34</v>
      </c>
      <c r="T156" s="22"/>
      <c r="U156" s="22"/>
      <c r="V156" s="22"/>
      <c r="W156" s="22"/>
      <c r="X156" s="22"/>
      <c r="Y156" s="22"/>
      <c r="Z156" s="22"/>
      <c r="AA156" s="22"/>
      <c r="AB156" s="22"/>
      <c r="AC156" s="22" t="s">
        <v>1927</v>
      </c>
      <c r="AD156" s="22">
        <v>20170413</v>
      </c>
      <c r="AE156" s="22">
        <v>155</v>
      </c>
      <c r="AF156" s="22"/>
      <c r="AG156" s="22" t="str">
        <f>IFERROR(VLOOKUP(TblFeedFile[[#This Row],[Leave Type ]],LkupPayType[],2,FALSE),"TBD")</f>
        <v>Paid</v>
      </c>
      <c r="AH156" s="22"/>
      <c r="AI156" s="25"/>
      <c r="AJ156" s="25"/>
      <c r="AK156" s="26"/>
    </row>
    <row r="157" spans="1:37" x14ac:dyDescent="0.25">
      <c r="A157" s="21" t="s">
        <v>37</v>
      </c>
      <c r="B157" s="22">
        <v>314304</v>
      </c>
      <c r="C157" s="22">
        <v>21525093</v>
      </c>
      <c r="D157" s="23" t="s">
        <v>2178</v>
      </c>
      <c r="E157" s="22" t="s">
        <v>2179</v>
      </c>
      <c r="F157" s="22" t="s">
        <v>2180</v>
      </c>
      <c r="G157" s="22">
        <v>20170413</v>
      </c>
      <c r="H157" s="22">
        <v>20170716</v>
      </c>
      <c r="I157" s="22" t="s">
        <v>155</v>
      </c>
      <c r="J157" s="22"/>
      <c r="K157" s="22"/>
      <c r="L157" s="22" t="s">
        <v>34</v>
      </c>
      <c r="M157" s="22" t="s">
        <v>34</v>
      </c>
      <c r="N157" s="22" t="s">
        <v>35</v>
      </c>
      <c r="O157" s="22" t="s">
        <v>35</v>
      </c>
      <c r="P157" s="22" t="s">
        <v>35</v>
      </c>
      <c r="Q157" s="22" t="s">
        <v>35</v>
      </c>
      <c r="R157" s="22" t="s">
        <v>35</v>
      </c>
      <c r="S157" s="22" t="s">
        <v>34</v>
      </c>
      <c r="T157" s="22"/>
      <c r="U157" s="22"/>
      <c r="V157" s="22"/>
      <c r="W157" s="22"/>
      <c r="X157" s="22"/>
      <c r="Y157" s="22"/>
      <c r="Z157" s="22"/>
      <c r="AA157" s="22"/>
      <c r="AB157" s="22"/>
      <c r="AC157" s="22" t="s">
        <v>1936</v>
      </c>
      <c r="AD157" s="22">
        <v>20170413</v>
      </c>
      <c r="AE157" s="22">
        <v>156</v>
      </c>
      <c r="AF157" s="22"/>
      <c r="AG157" s="22" t="str">
        <f>IFERROR(VLOOKUP(TblFeedFile[[#This Row],[Leave Type ]],LkupPayType[],2,FALSE),"TBD")</f>
        <v>Paid</v>
      </c>
      <c r="AH157" s="22"/>
      <c r="AI157" s="25"/>
      <c r="AJ157" s="25"/>
      <c r="AK157" s="26"/>
    </row>
    <row r="158" spans="1:37" x14ac:dyDescent="0.25">
      <c r="A158" s="21" t="s">
        <v>37</v>
      </c>
      <c r="B158" s="22">
        <v>314304</v>
      </c>
      <c r="C158" s="22">
        <v>21541845</v>
      </c>
      <c r="D158" s="23" t="s">
        <v>1968</v>
      </c>
      <c r="E158" s="22" t="s">
        <v>1966</v>
      </c>
      <c r="F158" s="22" t="s">
        <v>1967</v>
      </c>
      <c r="G158" s="22">
        <v>20170403</v>
      </c>
      <c r="H158" s="22">
        <v>20170416</v>
      </c>
      <c r="I158" s="22" t="s">
        <v>78</v>
      </c>
      <c r="J158" s="22"/>
      <c r="K158" s="22" t="s">
        <v>79</v>
      </c>
      <c r="L158" s="22" t="s">
        <v>34</v>
      </c>
      <c r="M158" s="22" t="s">
        <v>34</v>
      </c>
      <c r="N158" s="22" t="s">
        <v>35</v>
      </c>
      <c r="O158" s="22" t="s">
        <v>35</v>
      </c>
      <c r="P158" s="22" t="s">
        <v>35</v>
      </c>
      <c r="Q158" s="22" t="s">
        <v>35</v>
      </c>
      <c r="R158" s="22" t="s">
        <v>35</v>
      </c>
      <c r="S158" s="22" t="s">
        <v>34</v>
      </c>
      <c r="T158" s="22">
        <v>20170417</v>
      </c>
      <c r="U158" s="22"/>
      <c r="V158" s="22"/>
      <c r="W158" s="22"/>
      <c r="X158" s="22"/>
      <c r="Y158" s="22"/>
      <c r="Z158" s="22"/>
      <c r="AA158" s="22"/>
      <c r="AB158" s="22"/>
      <c r="AC158" s="22" t="s">
        <v>2078</v>
      </c>
      <c r="AD158" s="22">
        <v>20170413</v>
      </c>
      <c r="AE158" s="22">
        <v>157</v>
      </c>
      <c r="AF158" s="22"/>
      <c r="AG158" s="22" t="str">
        <f>IFERROR(VLOOKUP(TblFeedFile[[#This Row],[Leave Type ]],LkupPayType[],2,FALSE),"TBD")</f>
        <v>Unpaid</v>
      </c>
      <c r="AH158" s="22"/>
      <c r="AI158" s="25"/>
      <c r="AJ158" s="25"/>
      <c r="AK158" s="26" t="s">
        <v>35</v>
      </c>
    </row>
    <row r="159" spans="1:37" x14ac:dyDescent="0.25">
      <c r="A159" s="21" t="s">
        <v>29</v>
      </c>
      <c r="B159" s="22">
        <v>314304</v>
      </c>
      <c r="C159" s="22">
        <v>21551079</v>
      </c>
      <c r="D159" s="23">
        <v>501703248170</v>
      </c>
      <c r="E159" s="22" t="s">
        <v>1320</v>
      </c>
      <c r="F159" s="22" t="s">
        <v>2181</v>
      </c>
      <c r="G159" s="22">
        <v>20170329</v>
      </c>
      <c r="H159" s="22">
        <v>20170423</v>
      </c>
      <c r="I159" s="22" t="s">
        <v>40</v>
      </c>
      <c r="J159" s="22"/>
      <c r="K159" s="22"/>
      <c r="L159" s="22" t="s">
        <v>34</v>
      </c>
      <c r="M159" s="22" t="s">
        <v>34</v>
      </c>
      <c r="N159" s="22" t="s">
        <v>35</v>
      </c>
      <c r="O159" s="22" t="s">
        <v>35</v>
      </c>
      <c r="P159" s="22" t="s">
        <v>35</v>
      </c>
      <c r="Q159" s="22" t="s">
        <v>35</v>
      </c>
      <c r="R159" s="22" t="s">
        <v>35</v>
      </c>
      <c r="S159" s="22" t="s">
        <v>34</v>
      </c>
      <c r="T159" s="22"/>
      <c r="U159" s="22"/>
      <c r="V159" s="22"/>
      <c r="W159" s="22"/>
      <c r="X159" s="22"/>
      <c r="Y159" s="22"/>
      <c r="Z159" s="22"/>
      <c r="AA159" s="22"/>
      <c r="AB159" s="22"/>
      <c r="AC159" s="22" t="s">
        <v>1908</v>
      </c>
      <c r="AD159" s="22">
        <v>20170413</v>
      </c>
      <c r="AE159" s="22">
        <v>158</v>
      </c>
      <c r="AF159" s="22"/>
      <c r="AG159" s="22" t="str">
        <f>IFERROR(VLOOKUP(TblFeedFile[[#This Row],[Leave Type ]],LkupPayType[],2,FALSE),"TBD")</f>
        <v>Paid</v>
      </c>
      <c r="AH159" s="22"/>
      <c r="AI159" s="25"/>
      <c r="AJ159" s="25"/>
      <c r="AK159" s="26"/>
    </row>
    <row r="160" spans="1:37" x14ac:dyDescent="0.25">
      <c r="A160" s="21" t="s">
        <v>37</v>
      </c>
      <c r="B160" s="22">
        <v>314304</v>
      </c>
      <c r="C160" s="22">
        <v>21551079</v>
      </c>
      <c r="D160" s="23">
        <v>501703248170</v>
      </c>
      <c r="E160" s="22" t="s">
        <v>1320</v>
      </c>
      <c r="F160" s="22" t="s">
        <v>2181</v>
      </c>
      <c r="G160" s="22">
        <v>20170329</v>
      </c>
      <c r="H160" s="22">
        <v>20170422</v>
      </c>
      <c r="I160" s="22" t="s">
        <v>40</v>
      </c>
      <c r="J160" s="22"/>
      <c r="K160" s="22"/>
      <c r="L160" s="22" t="s">
        <v>34</v>
      </c>
      <c r="M160" s="22" t="s">
        <v>34</v>
      </c>
      <c r="N160" s="22" t="s">
        <v>35</v>
      </c>
      <c r="O160" s="22" t="s">
        <v>35</v>
      </c>
      <c r="P160" s="22" t="s">
        <v>35</v>
      </c>
      <c r="Q160" s="22" t="s">
        <v>35</v>
      </c>
      <c r="R160" s="22" t="s">
        <v>35</v>
      </c>
      <c r="S160" s="22" t="s">
        <v>34</v>
      </c>
      <c r="T160" s="22"/>
      <c r="U160" s="22"/>
      <c r="V160" s="22"/>
      <c r="W160" s="22"/>
      <c r="X160" s="22"/>
      <c r="Y160" s="22"/>
      <c r="Z160" s="22"/>
      <c r="AA160" s="22"/>
      <c r="AB160" s="22"/>
      <c r="AC160" s="22" t="s">
        <v>1908</v>
      </c>
      <c r="AD160" s="22">
        <v>20170413</v>
      </c>
      <c r="AE160" s="22">
        <v>159</v>
      </c>
      <c r="AF160" s="22"/>
      <c r="AG160" s="22" t="str">
        <f>IFERROR(VLOOKUP(TblFeedFile[[#This Row],[Leave Type ]],LkupPayType[],2,FALSE),"TBD")</f>
        <v>Paid</v>
      </c>
      <c r="AH160" s="22"/>
      <c r="AI160" s="25"/>
      <c r="AJ160" s="25"/>
      <c r="AK160" s="26"/>
    </row>
    <row r="161" spans="1:37" x14ac:dyDescent="0.25">
      <c r="A161" s="21" t="s">
        <v>29</v>
      </c>
      <c r="B161" s="22">
        <v>314304</v>
      </c>
      <c r="C161" s="22">
        <v>21554728</v>
      </c>
      <c r="D161" s="23" t="s">
        <v>1969</v>
      </c>
      <c r="E161" s="22" t="s">
        <v>1970</v>
      </c>
      <c r="F161" s="22" t="s">
        <v>1297</v>
      </c>
      <c r="G161" s="22">
        <v>20170324</v>
      </c>
      <c r="H161" s="22">
        <v>20170408</v>
      </c>
      <c r="I161" s="22" t="s">
        <v>423</v>
      </c>
      <c r="J161" s="22"/>
      <c r="K161" s="22"/>
      <c r="L161" s="22" t="s">
        <v>34</v>
      </c>
      <c r="M161" s="22" t="s">
        <v>34</v>
      </c>
      <c r="N161" s="22" t="s">
        <v>35</v>
      </c>
      <c r="O161" s="22" t="s">
        <v>35</v>
      </c>
      <c r="P161" s="22" t="s">
        <v>35</v>
      </c>
      <c r="Q161" s="22" t="s">
        <v>35</v>
      </c>
      <c r="R161" s="22" t="s">
        <v>35</v>
      </c>
      <c r="S161" s="22" t="s">
        <v>34</v>
      </c>
      <c r="T161" s="22">
        <v>20170409</v>
      </c>
      <c r="U161" s="22"/>
      <c r="V161" s="22"/>
      <c r="W161" s="22"/>
      <c r="X161" s="22"/>
      <c r="Y161" s="22"/>
      <c r="Z161" s="22"/>
      <c r="AA161" s="22"/>
      <c r="AB161" s="22"/>
      <c r="AC161" s="22" t="s">
        <v>1923</v>
      </c>
      <c r="AD161" s="22">
        <v>20170413</v>
      </c>
      <c r="AE161" s="22">
        <v>160</v>
      </c>
      <c r="AF161" s="22"/>
      <c r="AG161" s="22" t="str">
        <f>IFERROR(VLOOKUP(TblFeedFile[[#This Row],[Leave Type ]],LkupPayType[],2,FALSE),"TBD")</f>
        <v>Paid</v>
      </c>
      <c r="AH161" s="22"/>
      <c r="AI161" s="25"/>
      <c r="AJ161" s="25"/>
      <c r="AK161" s="26"/>
    </row>
    <row r="162" spans="1:37" x14ac:dyDescent="0.25">
      <c r="A162" s="21" t="s">
        <v>37</v>
      </c>
      <c r="B162" s="22">
        <v>314304</v>
      </c>
      <c r="C162" s="22">
        <v>21554728</v>
      </c>
      <c r="D162" s="23" t="s">
        <v>1969</v>
      </c>
      <c r="E162" s="22" t="s">
        <v>1970</v>
      </c>
      <c r="F162" s="22" t="s">
        <v>1297</v>
      </c>
      <c r="G162" s="22">
        <v>20170324</v>
      </c>
      <c r="H162" s="22">
        <v>20170411</v>
      </c>
      <c r="I162" s="22" t="s">
        <v>423</v>
      </c>
      <c r="J162" s="22"/>
      <c r="K162" s="22"/>
      <c r="L162" s="22" t="s">
        <v>34</v>
      </c>
      <c r="M162" s="22" t="s">
        <v>34</v>
      </c>
      <c r="N162" s="22" t="s">
        <v>35</v>
      </c>
      <c r="O162" s="22" t="s">
        <v>35</v>
      </c>
      <c r="P162" s="22" t="s">
        <v>35</v>
      </c>
      <c r="Q162" s="22" t="s">
        <v>35</v>
      </c>
      <c r="R162" s="22" t="s">
        <v>35</v>
      </c>
      <c r="S162" s="22" t="s">
        <v>34</v>
      </c>
      <c r="T162" s="22">
        <v>20170412</v>
      </c>
      <c r="U162" s="22"/>
      <c r="V162" s="22"/>
      <c r="W162" s="22"/>
      <c r="X162" s="22"/>
      <c r="Y162" s="22"/>
      <c r="Z162" s="22"/>
      <c r="AA162" s="22"/>
      <c r="AB162" s="22"/>
      <c r="AC162" s="22" t="s">
        <v>1923</v>
      </c>
      <c r="AD162" s="22">
        <v>20170413</v>
      </c>
      <c r="AE162" s="22">
        <v>161</v>
      </c>
      <c r="AF162" s="22"/>
      <c r="AG162" s="22" t="str">
        <f>IFERROR(VLOOKUP(TblFeedFile[[#This Row],[Leave Type ]],LkupPayType[],2,FALSE),"TBD")</f>
        <v>Paid</v>
      </c>
      <c r="AH162" s="22"/>
      <c r="AI162" s="25"/>
      <c r="AJ162" s="25"/>
      <c r="AK162" s="26" t="s">
        <v>35</v>
      </c>
    </row>
    <row r="163" spans="1:37" x14ac:dyDescent="0.25">
      <c r="A163" s="21" t="s">
        <v>29</v>
      </c>
      <c r="B163" s="22">
        <v>314304</v>
      </c>
      <c r="C163" s="22">
        <v>21556170</v>
      </c>
      <c r="D163" s="23">
        <v>521702018142</v>
      </c>
      <c r="E163" s="22" t="s">
        <v>2182</v>
      </c>
      <c r="F163" s="22" t="s">
        <v>2183</v>
      </c>
      <c r="G163" s="22">
        <v>20170405</v>
      </c>
      <c r="H163" s="22">
        <v>20170423</v>
      </c>
      <c r="I163" s="22" t="s">
        <v>1892</v>
      </c>
      <c r="J163" s="22"/>
      <c r="K163" s="22"/>
      <c r="L163" s="22" t="s">
        <v>34</v>
      </c>
      <c r="M163" s="22" t="s">
        <v>34</v>
      </c>
      <c r="N163" s="22" t="s">
        <v>35</v>
      </c>
      <c r="O163" s="22" t="s">
        <v>35</v>
      </c>
      <c r="P163" s="22" t="s">
        <v>35</v>
      </c>
      <c r="Q163" s="22" t="s">
        <v>35</v>
      </c>
      <c r="R163" s="22" t="s">
        <v>35</v>
      </c>
      <c r="S163" s="22" t="s">
        <v>34</v>
      </c>
      <c r="T163" s="22"/>
      <c r="U163" s="22"/>
      <c r="V163" s="22"/>
      <c r="W163" s="22"/>
      <c r="X163" s="22"/>
      <c r="Y163" s="22"/>
      <c r="Z163" s="22"/>
      <c r="AA163" s="22"/>
      <c r="AB163" s="22"/>
      <c r="AC163" s="22" t="s">
        <v>1945</v>
      </c>
      <c r="AD163" s="22">
        <v>20170413</v>
      </c>
      <c r="AE163" s="22">
        <v>162</v>
      </c>
      <c r="AF163" s="22"/>
      <c r="AG163" s="22" t="str">
        <f>IFERROR(VLOOKUP(TblFeedFile[[#This Row],[Leave Type ]],LkupPayType[],2,FALSE),"TBD")</f>
        <v>Paid</v>
      </c>
      <c r="AH163" s="22"/>
      <c r="AI163" s="25"/>
      <c r="AJ163" s="25"/>
      <c r="AK163" s="26"/>
    </row>
    <row r="164" spans="1:37" x14ac:dyDescent="0.25">
      <c r="A164" s="21" t="s">
        <v>37</v>
      </c>
      <c r="B164" s="22">
        <v>314304</v>
      </c>
      <c r="C164" s="22">
        <v>21556170</v>
      </c>
      <c r="D164" s="23">
        <v>521702018142</v>
      </c>
      <c r="E164" s="22" t="s">
        <v>2182</v>
      </c>
      <c r="F164" s="22" t="s">
        <v>2183</v>
      </c>
      <c r="G164" s="22">
        <v>20170405</v>
      </c>
      <c r="H164" s="22">
        <v>20170409</v>
      </c>
      <c r="I164" s="22" t="s">
        <v>1892</v>
      </c>
      <c r="J164" s="22"/>
      <c r="K164" s="22"/>
      <c r="L164" s="22" t="s">
        <v>34</v>
      </c>
      <c r="M164" s="22" t="s">
        <v>34</v>
      </c>
      <c r="N164" s="22" t="s">
        <v>35</v>
      </c>
      <c r="O164" s="22" t="s">
        <v>35</v>
      </c>
      <c r="P164" s="22" t="s">
        <v>35</v>
      </c>
      <c r="Q164" s="22" t="s">
        <v>35</v>
      </c>
      <c r="R164" s="22" t="s">
        <v>35</v>
      </c>
      <c r="S164" s="22" t="s">
        <v>34</v>
      </c>
      <c r="T164" s="22">
        <v>20170410</v>
      </c>
      <c r="U164" s="22"/>
      <c r="V164" s="22"/>
      <c r="W164" s="22"/>
      <c r="X164" s="22"/>
      <c r="Y164" s="22"/>
      <c r="Z164" s="22"/>
      <c r="AA164" s="22"/>
      <c r="AB164" s="22"/>
      <c r="AC164" s="22" t="s">
        <v>2029</v>
      </c>
      <c r="AD164" s="22">
        <v>20170413</v>
      </c>
      <c r="AE164" s="22">
        <v>163</v>
      </c>
      <c r="AF164" s="22"/>
      <c r="AG164" s="22" t="str">
        <f>IFERROR(VLOOKUP(TblFeedFile[[#This Row],[Leave Type ]],LkupPayType[],2,FALSE),"TBD")</f>
        <v>Paid</v>
      </c>
      <c r="AH164" s="22"/>
      <c r="AI164" s="25"/>
      <c r="AJ164" s="25"/>
      <c r="AK164" s="26" t="s">
        <v>35</v>
      </c>
    </row>
    <row r="165" spans="1:37" x14ac:dyDescent="0.25">
      <c r="A165" s="21" t="s">
        <v>29</v>
      </c>
      <c r="B165" s="22">
        <v>314304</v>
      </c>
      <c r="C165" s="22">
        <v>21559330</v>
      </c>
      <c r="D165" s="23" t="s">
        <v>2184</v>
      </c>
      <c r="E165" s="22" t="s">
        <v>1160</v>
      </c>
      <c r="F165" s="22" t="s">
        <v>2185</v>
      </c>
      <c r="G165" s="22">
        <v>20170314</v>
      </c>
      <c r="H165" s="22">
        <v>20170314</v>
      </c>
      <c r="I165" s="22" t="s">
        <v>33</v>
      </c>
      <c r="J165" s="22"/>
      <c r="K165" s="22"/>
      <c r="L165" s="22" t="s">
        <v>34</v>
      </c>
      <c r="M165" s="22" t="s">
        <v>34</v>
      </c>
      <c r="N165" s="22" t="s">
        <v>35</v>
      </c>
      <c r="O165" s="22" t="s">
        <v>35</v>
      </c>
      <c r="P165" s="22" t="s">
        <v>35</v>
      </c>
      <c r="Q165" s="22" t="s">
        <v>35</v>
      </c>
      <c r="R165" s="22" t="s">
        <v>35</v>
      </c>
      <c r="S165" s="22" t="s">
        <v>34</v>
      </c>
      <c r="T165" s="22"/>
      <c r="U165" s="22"/>
      <c r="V165" s="22"/>
      <c r="W165" s="22"/>
      <c r="X165" s="22"/>
      <c r="Y165" s="22"/>
      <c r="Z165" s="22"/>
      <c r="AA165" s="22"/>
      <c r="AB165" s="22"/>
      <c r="AC165" s="22" t="s">
        <v>1920</v>
      </c>
      <c r="AD165" s="22">
        <v>20170413</v>
      </c>
      <c r="AE165" s="22">
        <v>164</v>
      </c>
      <c r="AF165" s="22"/>
      <c r="AG165" s="22" t="str">
        <f>IFERROR(VLOOKUP(TblFeedFile[[#This Row],[Leave Type ]],LkupPayType[],2,FALSE),"TBD")</f>
        <v>Closed</v>
      </c>
      <c r="AH165" s="22"/>
      <c r="AI165" s="25"/>
      <c r="AJ165" s="25"/>
      <c r="AK165" s="26"/>
    </row>
    <row r="166" spans="1:37" x14ac:dyDescent="0.25">
      <c r="A166" s="21" t="s">
        <v>29</v>
      </c>
      <c r="B166" s="22">
        <v>314304</v>
      </c>
      <c r="C166" s="22">
        <v>21559330</v>
      </c>
      <c r="D166" s="23" t="s">
        <v>2184</v>
      </c>
      <c r="E166" s="22" t="s">
        <v>1160</v>
      </c>
      <c r="F166" s="22" t="s">
        <v>2185</v>
      </c>
      <c r="G166" s="22">
        <v>20170224</v>
      </c>
      <c r="H166" s="22">
        <v>20170313</v>
      </c>
      <c r="I166" s="22" t="s">
        <v>36</v>
      </c>
      <c r="J166" s="22"/>
      <c r="K166" s="22"/>
      <c r="L166" s="22" t="s">
        <v>34</v>
      </c>
      <c r="M166" s="22" t="s">
        <v>34</v>
      </c>
      <c r="N166" s="22" t="s">
        <v>35</v>
      </c>
      <c r="O166" s="22" t="s">
        <v>35</v>
      </c>
      <c r="P166" s="22" t="s">
        <v>35</v>
      </c>
      <c r="Q166" s="22" t="s">
        <v>35</v>
      </c>
      <c r="R166" s="22" t="s">
        <v>35</v>
      </c>
      <c r="S166" s="22" t="s">
        <v>34</v>
      </c>
      <c r="T166" s="22"/>
      <c r="U166" s="22"/>
      <c r="V166" s="22"/>
      <c r="W166" s="22"/>
      <c r="X166" s="22"/>
      <c r="Y166" s="22"/>
      <c r="Z166" s="22"/>
      <c r="AA166" s="22"/>
      <c r="AB166" s="22"/>
      <c r="AC166" s="22" t="s">
        <v>1905</v>
      </c>
      <c r="AD166" s="22">
        <v>20170413</v>
      </c>
      <c r="AE166" s="22">
        <v>165</v>
      </c>
      <c r="AF166" s="22"/>
      <c r="AG166" s="22" t="str">
        <f>IFERROR(VLOOKUP(TblFeedFile[[#This Row],[Leave Type ]],LkupPayType[],2,FALSE),"TBD")</f>
        <v>Unpaid</v>
      </c>
      <c r="AH166" s="22"/>
      <c r="AI166" s="25"/>
      <c r="AJ166" s="25"/>
      <c r="AK166" s="26"/>
    </row>
    <row r="167" spans="1:37" x14ac:dyDescent="0.25">
      <c r="A167" s="21" t="s">
        <v>37</v>
      </c>
      <c r="B167" s="22">
        <v>314304</v>
      </c>
      <c r="C167" s="22">
        <v>21559330</v>
      </c>
      <c r="D167" s="23" t="s">
        <v>2184</v>
      </c>
      <c r="E167" s="22" t="s">
        <v>1160</v>
      </c>
      <c r="F167" s="22" t="s">
        <v>2185</v>
      </c>
      <c r="G167" s="22">
        <v>20170224</v>
      </c>
      <c r="H167" s="22">
        <v>20170224</v>
      </c>
      <c r="I167" s="22" t="s">
        <v>43</v>
      </c>
      <c r="J167" s="22"/>
      <c r="K167" s="22"/>
      <c r="L167" s="22" t="s">
        <v>34</v>
      </c>
      <c r="M167" s="22" t="s">
        <v>34</v>
      </c>
      <c r="N167" s="22" t="s">
        <v>35</v>
      </c>
      <c r="O167" s="22" t="s">
        <v>35</v>
      </c>
      <c r="P167" s="22" t="s">
        <v>35</v>
      </c>
      <c r="Q167" s="22" t="s">
        <v>35</v>
      </c>
      <c r="R167" s="22" t="s">
        <v>35</v>
      </c>
      <c r="S167" s="22" t="s">
        <v>34</v>
      </c>
      <c r="T167" s="22"/>
      <c r="U167" s="22"/>
      <c r="V167" s="22"/>
      <c r="W167" s="22"/>
      <c r="X167" s="22"/>
      <c r="Y167" s="22"/>
      <c r="Z167" s="22"/>
      <c r="AA167" s="22"/>
      <c r="AB167" s="22"/>
      <c r="AC167" s="22" t="s">
        <v>1920</v>
      </c>
      <c r="AD167" s="22">
        <v>20170413</v>
      </c>
      <c r="AE167" s="22">
        <v>166</v>
      </c>
      <c r="AF167" s="22"/>
      <c r="AG167" s="22" t="str">
        <f>IFERROR(VLOOKUP(TblFeedFile[[#This Row],[Leave Type ]],LkupPayType[],2,FALSE),"TBD")</f>
        <v>Denied</v>
      </c>
      <c r="AH167" s="22"/>
      <c r="AI167" s="25" t="s">
        <v>35</v>
      </c>
      <c r="AJ167" s="25"/>
      <c r="AK167" s="26"/>
    </row>
    <row r="168" spans="1:37" x14ac:dyDescent="0.25">
      <c r="A168" s="21" t="s">
        <v>29</v>
      </c>
      <c r="B168" s="22">
        <v>314304</v>
      </c>
      <c r="C168" s="22">
        <v>21568955</v>
      </c>
      <c r="D168" s="23" t="s">
        <v>2186</v>
      </c>
      <c r="E168" s="22" t="s">
        <v>2187</v>
      </c>
      <c r="F168" s="22" t="s">
        <v>480</v>
      </c>
      <c r="G168" s="22">
        <v>20170218</v>
      </c>
      <c r="H168" s="22">
        <v>20170203</v>
      </c>
      <c r="I168" s="22" t="s">
        <v>36</v>
      </c>
      <c r="J168" s="22"/>
      <c r="K168" s="22"/>
      <c r="L168" s="22" t="s">
        <v>34</v>
      </c>
      <c r="M168" s="22" t="s">
        <v>34</v>
      </c>
      <c r="N168" s="22" t="s">
        <v>35</v>
      </c>
      <c r="O168" s="22" t="s">
        <v>35</v>
      </c>
      <c r="P168" s="22" t="s">
        <v>35</v>
      </c>
      <c r="Q168" s="22" t="s">
        <v>35</v>
      </c>
      <c r="R168" s="22" t="s">
        <v>35</v>
      </c>
      <c r="S168" s="22" t="s">
        <v>34</v>
      </c>
      <c r="T168" s="22"/>
      <c r="U168" s="22"/>
      <c r="V168" s="22"/>
      <c r="W168" s="22"/>
      <c r="X168" s="22"/>
      <c r="Y168" s="22"/>
      <c r="Z168" s="22"/>
      <c r="AA168" s="22"/>
      <c r="AB168" s="22"/>
      <c r="AC168" s="22" t="s">
        <v>2188</v>
      </c>
      <c r="AD168" s="22">
        <v>20170413</v>
      </c>
      <c r="AE168" s="22">
        <v>167</v>
      </c>
      <c r="AF168" s="22"/>
      <c r="AG168" s="22" t="str">
        <f>IFERROR(VLOOKUP(TblFeedFile[[#This Row],[Leave Type ]],LkupPayType[],2,FALSE),"TBD")</f>
        <v>Unpaid</v>
      </c>
      <c r="AH168" s="22"/>
      <c r="AI168" s="25"/>
      <c r="AJ168" s="25"/>
      <c r="AK168" s="26"/>
    </row>
    <row r="169" spans="1:37" x14ac:dyDescent="0.25">
      <c r="A169" s="21" t="s">
        <v>29</v>
      </c>
      <c r="B169" s="22">
        <v>314304</v>
      </c>
      <c r="C169" s="22">
        <v>21568955</v>
      </c>
      <c r="D169" s="23">
        <v>281703298198</v>
      </c>
      <c r="E169" s="22" t="s">
        <v>2187</v>
      </c>
      <c r="F169" s="22" t="s">
        <v>480</v>
      </c>
      <c r="G169" s="22">
        <v>20170211</v>
      </c>
      <c r="H169" s="22">
        <v>20170203</v>
      </c>
      <c r="I169" s="22" t="s">
        <v>53</v>
      </c>
      <c r="J169" s="22"/>
      <c r="K169" s="22"/>
      <c r="L169" s="22" t="s">
        <v>34</v>
      </c>
      <c r="M169" s="22" t="s">
        <v>34</v>
      </c>
      <c r="N169" s="22" t="s">
        <v>35</v>
      </c>
      <c r="O169" s="22" t="s">
        <v>35</v>
      </c>
      <c r="P169" s="22" t="s">
        <v>35</v>
      </c>
      <c r="Q169" s="22" t="s">
        <v>35</v>
      </c>
      <c r="R169" s="22" t="s">
        <v>35</v>
      </c>
      <c r="S169" s="22" t="s">
        <v>34</v>
      </c>
      <c r="T169" s="22"/>
      <c r="U169" s="22"/>
      <c r="V169" s="22"/>
      <c r="W169" s="22"/>
      <c r="X169" s="22"/>
      <c r="Y169" s="22"/>
      <c r="Z169" s="22"/>
      <c r="AA169" s="22"/>
      <c r="AB169" s="22"/>
      <c r="AC169" s="22" t="s">
        <v>1897</v>
      </c>
      <c r="AD169" s="22">
        <v>20170413</v>
      </c>
      <c r="AE169" s="22">
        <v>168</v>
      </c>
      <c r="AF169" s="22"/>
      <c r="AG169" s="22" t="str">
        <f>IFERROR(VLOOKUP(TblFeedFile[[#This Row],[Leave Type ]],LkupPayType[],2,FALSE),"TBD")</f>
        <v>Paid</v>
      </c>
      <c r="AH169" s="22"/>
      <c r="AI169" s="25"/>
      <c r="AJ169" s="25"/>
      <c r="AK169" s="26"/>
    </row>
    <row r="170" spans="1:37" x14ac:dyDescent="0.25">
      <c r="A170" s="21" t="s">
        <v>29</v>
      </c>
      <c r="B170" s="22">
        <v>314304</v>
      </c>
      <c r="C170" s="22">
        <v>21568955</v>
      </c>
      <c r="D170" s="23" t="s">
        <v>2186</v>
      </c>
      <c r="E170" s="22" t="s">
        <v>2187</v>
      </c>
      <c r="F170" s="22" t="s">
        <v>480</v>
      </c>
      <c r="G170" s="22">
        <v>20170204</v>
      </c>
      <c r="H170" s="22">
        <v>20170204</v>
      </c>
      <c r="I170" s="22" t="s">
        <v>33</v>
      </c>
      <c r="J170" s="22"/>
      <c r="K170" s="22"/>
      <c r="L170" s="22" t="s">
        <v>34</v>
      </c>
      <c r="M170" s="22" t="s">
        <v>34</v>
      </c>
      <c r="N170" s="22" t="s">
        <v>35</v>
      </c>
      <c r="O170" s="22" t="s">
        <v>35</v>
      </c>
      <c r="P170" s="22" t="s">
        <v>35</v>
      </c>
      <c r="Q170" s="22" t="s">
        <v>35</v>
      </c>
      <c r="R170" s="22" t="s">
        <v>35</v>
      </c>
      <c r="S170" s="22" t="s">
        <v>34</v>
      </c>
      <c r="T170" s="22"/>
      <c r="U170" s="22"/>
      <c r="V170" s="22"/>
      <c r="W170" s="22"/>
      <c r="X170" s="22"/>
      <c r="Y170" s="22"/>
      <c r="Z170" s="22"/>
      <c r="AA170" s="22"/>
      <c r="AB170" s="22"/>
      <c r="AC170" s="22" t="s">
        <v>2189</v>
      </c>
      <c r="AD170" s="22">
        <v>20170413</v>
      </c>
      <c r="AE170" s="22">
        <v>169</v>
      </c>
      <c r="AF170" s="22"/>
      <c r="AG170" s="22" t="str">
        <f>IFERROR(VLOOKUP(TblFeedFile[[#This Row],[Leave Type ]],LkupPayType[],2,FALSE),"TBD")</f>
        <v>Closed</v>
      </c>
      <c r="AH170" s="22"/>
      <c r="AI170" s="25"/>
      <c r="AJ170" s="25"/>
      <c r="AK170" s="26"/>
    </row>
    <row r="171" spans="1:37" x14ac:dyDescent="0.25">
      <c r="A171" s="21" t="s">
        <v>29</v>
      </c>
      <c r="B171" s="22">
        <v>314304</v>
      </c>
      <c r="C171" s="22">
        <v>21568955</v>
      </c>
      <c r="D171" s="23" t="s">
        <v>2186</v>
      </c>
      <c r="E171" s="22" t="s">
        <v>2187</v>
      </c>
      <c r="F171" s="22" t="s">
        <v>480</v>
      </c>
      <c r="G171" s="22">
        <v>20170204</v>
      </c>
      <c r="H171" s="22">
        <v>20170204</v>
      </c>
      <c r="I171" s="22" t="s">
        <v>33</v>
      </c>
      <c r="J171" s="22"/>
      <c r="K171" s="22"/>
      <c r="L171" s="22" t="s">
        <v>34</v>
      </c>
      <c r="M171" s="22" t="s">
        <v>34</v>
      </c>
      <c r="N171" s="22" t="s">
        <v>35</v>
      </c>
      <c r="O171" s="22" t="s">
        <v>35</v>
      </c>
      <c r="P171" s="22" t="s">
        <v>35</v>
      </c>
      <c r="Q171" s="22" t="s">
        <v>35</v>
      </c>
      <c r="R171" s="22" t="s">
        <v>35</v>
      </c>
      <c r="S171" s="22" t="s">
        <v>34</v>
      </c>
      <c r="T171" s="22"/>
      <c r="U171" s="22"/>
      <c r="V171" s="22"/>
      <c r="W171" s="22"/>
      <c r="X171" s="22"/>
      <c r="Y171" s="22"/>
      <c r="Z171" s="22"/>
      <c r="AA171" s="22"/>
      <c r="AB171" s="22"/>
      <c r="AC171" s="22" t="s">
        <v>2189</v>
      </c>
      <c r="AD171" s="22">
        <v>20170413</v>
      </c>
      <c r="AE171" s="22">
        <v>170</v>
      </c>
      <c r="AF171" s="22"/>
      <c r="AG171" s="22" t="str">
        <f>IFERROR(VLOOKUP(TblFeedFile[[#This Row],[Leave Type ]],LkupPayType[],2,FALSE),"TBD")</f>
        <v>Closed</v>
      </c>
      <c r="AH171" s="22"/>
      <c r="AI171" s="25"/>
      <c r="AJ171" s="25"/>
      <c r="AK171" s="26"/>
    </row>
    <row r="172" spans="1:37" x14ac:dyDescent="0.25">
      <c r="A172" s="21" t="s">
        <v>37</v>
      </c>
      <c r="B172" s="22">
        <v>314304</v>
      </c>
      <c r="C172" s="22">
        <v>21568955</v>
      </c>
      <c r="D172" s="23">
        <v>281703298198</v>
      </c>
      <c r="E172" s="22" t="s">
        <v>2187</v>
      </c>
      <c r="F172" s="22" t="s">
        <v>480</v>
      </c>
      <c r="G172" s="22">
        <v>20170211</v>
      </c>
      <c r="H172" s="22">
        <v>20170405</v>
      </c>
      <c r="I172" s="22" t="s">
        <v>53</v>
      </c>
      <c r="J172" s="22"/>
      <c r="K172" s="22"/>
      <c r="L172" s="22" t="s">
        <v>34</v>
      </c>
      <c r="M172" s="22" t="s">
        <v>34</v>
      </c>
      <c r="N172" s="22" t="s">
        <v>35</v>
      </c>
      <c r="O172" s="22" t="s">
        <v>35</v>
      </c>
      <c r="P172" s="22" t="s">
        <v>35</v>
      </c>
      <c r="Q172" s="22" t="s">
        <v>35</v>
      </c>
      <c r="R172" s="22" t="s">
        <v>35</v>
      </c>
      <c r="S172" s="22" t="s">
        <v>34</v>
      </c>
      <c r="T172" s="22"/>
      <c r="U172" s="22"/>
      <c r="V172" s="22"/>
      <c r="W172" s="22"/>
      <c r="X172" s="22"/>
      <c r="Y172" s="22"/>
      <c r="Z172" s="22"/>
      <c r="AA172" s="22"/>
      <c r="AB172" s="22"/>
      <c r="AC172" s="22" t="s">
        <v>1897</v>
      </c>
      <c r="AD172" s="22">
        <v>20170413</v>
      </c>
      <c r="AE172" s="22">
        <v>171</v>
      </c>
      <c r="AF172" s="22"/>
      <c r="AG172" s="22" t="str">
        <f>IFERROR(VLOOKUP(TblFeedFile[[#This Row],[Leave Type ]],LkupPayType[],2,FALSE),"TBD")</f>
        <v>Paid</v>
      </c>
      <c r="AH172" s="22"/>
      <c r="AI172" s="25" t="s">
        <v>35</v>
      </c>
      <c r="AJ172" s="25"/>
      <c r="AK172" s="26"/>
    </row>
    <row r="173" spans="1:37" x14ac:dyDescent="0.25">
      <c r="A173" s="21" t="s">
        <v>37</v>
      </c>
      <c r="B173" s="22">
        <v>314304</v>
      </c>
      <c r="C173" s="22">
        <v>21568955</v>
      </c>
      <c r="D173" s="23" t="s">
        <v>2186</v>
      </c>
      <c r="E173" s="22" t="s">
        <v>2187</v>
      </c>
      <c r="F173" s="22" t="s">
        <v>480</v>
      </c>
      <c r="G173" s="22">
        <v>20170218</v>
      </c>
      <c r="H173" s="22">
        <v>20170405</v>
      </c>
      <c r="I173" s="22" t="s">
        <v>36</v>
      </c>
      <c r="J173" s="22"/>
      <c r="K173" s="22"/>
      <c r="L173" s="22" t="s">
        <v>34</v>
      </c>
      <c r="M173" s="22" t="s">
        <v>34</v>
      </c>
      <c r="N173" s="22" t="s">
        <v>35</v>
      </c>
      <c r="O173" s="22" t="s">
        <v>35</v>
      </c>
      <c r="P173" s="22" t="s">
        <v>35</v>
      </c>
      <c r="Q173" s="22" t="s">
        <v>35</v>
      </c>
      <c r="R173" s="22" t="s">
        <v>35</v>
      </c>
      <c r="S173" s="22" t="s">
        <v>34</v>
      </c>
      <c r="T173" s="22"/>
      <c r="U173" s="22"/>
      <c r="V173" s="22"/>
      <c r="W173" s="22"/>
      <c r="X173" s="22"/>
      <c r="Y173" s="22"/>
      <c r="Z173" s="22"/>
      <c r="AA173" s="22"/>
      <c r="AB173" s="22"/>
      <c r="AC173" s="22" t="s">
        <v>2188</v>
      </c>
      <c r="AD173" s="22">
        <v>20170413</v>
      </c>
      <c r="AE173" s="22">
        <v>172</v>
      </c>
      <c r="AF173" s="22"/>
      <c r="AG173" s="22" t="str">
        <f>IFERROR(VLOOKUP(TblFeedFile[[#This Row],[Leave Type ]],LkupPayType[],2,FALSE),"TBD")</f>
        <v>Unpaid</v>
      </c>
      <c r="AH173" s="22"/>
      <c r="AI173" s="25" t="s">
        <v>35</v>
      </c>
      <c r="AJ173" s="25"/>
      <c r="AK173" s="26"/>
    </row>
    <row r="174" spans="1:37" x14ac:dyDescent="0.25">
      <c r="A174" s="21" t="s">
        <v>37</v>
      </c>
      <c r="B174" s="22">
        <v>314304</v>
      </c>
      <c r="C174" s="22">
        <v>21568955</v>
      </c>
      <c r="D174" s="23" t="s">
        <v>2186</v>
      </c>
      <c r="E174" s="22" t="s">
        <v>2187</v>
      </c>
      <c r="F174" s="22" t="s">
        <v>480</v>
      </c>
      <c r="G174" s="22">
        <v>20170406</v>
      </c>
      <c r="H174" s="22">
        <v>20170406</v>
      </c>
      <c r="I174" s="22" t="s">
        <v>33</v>
      </c>
      <c r="J174" s="22"/>
      <c r="K174" s="22"/>
      <c r="L174" s="22" t="s">
        <v>34</v>
      </c>
      <c r="M174" s="22" t="s">
        <v>34</v>
      </c>
      <c r="N174" s="22" t="s">
        <v>35</v>
      </c>
      <c r="O174" s="22" t="s">
        <v>35</v>
      </c>
      <c r="P174" s="22" t="s">
        <v>35</v>
      </c>
      <c r="Q174" s="22" t="s">
        <v>35</v>
      </c>
      <c r="R174" s="22" t="s">
        <v>35</v>
      </c>
      <c r="S174" s="22" t="s">
        <v>34</v>
      </c>
      <c r="T174" s="22"/>
      <c r="U174" s="22"/>
      <c r="V174" s="22"/>
      <c r="W174" s="22"/>
      <c r="X174" s="22"/>
      <c r="Y174" s="22"/>
      <c r="Z174" s="22"/>
      <c r="AA174" s="22"/>
      <c r="AB174" s="22"/>
      <c r="AC174" s="22" t="s">
        <v>2189</v>
      </c>
      <c r="AD174" s="22">
        <v>20170413</v>
      </c>
      <c r="AE174" s="22">
        <v>173</v>
      </c>
      <c r="AF174" s="22"/>
      <c r="AG174" s="22" t="str">
        <f>IFERROR(VLOOKUP(TblFeedFile[[#This Row],[Leave Type ]],LkupPayType[],2,FALSE),"TBD")</f>
        <v>Closed</v>
      </c>
      <c r="AH174" s="22"/>
      <c r="AI174" s="25"/>
      <c r="AJ174" s="25"/>
      <c r="AK174" s="26"/>
    </row>
    <row r="175" spans="1:37" x14ac:dyDescent="0.25">
      <c r="A175" s="21" t="s">
        <v>29</v>
      </c>
      <c r="B175" s="22">
        <v>314304</v>
      </c>
      <c r="C175" s="22">
        <v>21585967</v>
      </c>
      <c r="D175" s="23">
        <v>561702108666</v>
      </c>
      <c r="E175" s="22" t="s">
        <v>1006</v>
      </c>
      <c r="F175" s="22" t="s">
        <v>2190</v>
      </c>
      <c r="G175" s="22">
        <v>20170323</v>
      </c>
      <c r="H175" s="22">
        <v>20170430</v>
      </c>
      <c r="I175" s="22" t="s">
        <v>40</v>
      </c>
      <c r="J175" s="22"/>
      <c r="K175" s="22"/>
      <c r="L175" s="22" t="s">
        <v>34</v>
      </c>
      <c r="M175" s="22" t="s">
        <v>34</v>
      </c>
      <c r="N175" s="22" t="s">
        <v>35</v>
      </c>
      <c r="O175" s="22" t="s">
        <v>35</v>
      </c>
      <c r="P175" s="22" t="s">
        <v>35</v>
      </c>
      <c r="Q175" s="22" t="s">
        <v>35</v>
      </c>
      <c r="R175" s="22" t="s">
        <v>35</v>
      </c>
      <c r="S175" s="22" t="s">
        <v>34</v>
      </c>
      <c r="T175" s="22"/>
      <c r="U175" s="22"/>
      <c r="V175" s="22"/>
      <c r="W175" s="22"/>
      <c r="X175" s="22"/>
      <c r="Y175" s="22"/>
      <c r="Z175" s="22"/>
      <c r="AA175" s="22"/>
      <c r="AB175" s="22"/>
      <c r="AC175" s="22" t="s">
        <v>1951</v>
      </c>
      <c r="AD175" s="22">
        <v>20170413</v>
      </c>
      <c r="AE175" s="22">
        <v>174</v>
      </c>
      <c r="AF175" s="22"/>
      <c r="AG175" s="22" t="str">
        <f>IFERROR(VLOOKUP(TblFeedFile[[#This Row],[Leave Type ]],LkupPayType[],2,FALSE),"TBD")</f>
        <v>Paid</v>
      </c>
      <c r="AH175" s="22"/>
      <c r="AI175" s="25"/>
      <c r="AJ175" s="25"/>
      <c r="AK175" s="26"/>
    </row>
    <row r="176" spans="1:37" x14ac:dyDescent="0.25">
      <c r="A176" s="21" t="s">
        <v>37</v>
      </c>
      <c r="B176" s="22">
        <v>314304</v>
      </c>
      <c r="C176" s="22">
        <v>21585967</v>
      </c>
      <c r="D176" s="23">
        <v>561702108666</v>
      </c>
      <c r="E176" s="22" t="s">
        <v>1006</v>
      </c>
      <c r="F176" s="22" t="s">
        <v>2190</v>
      </c>
      <c r="G176" s="22">
        <v>20170323</v>
      </c>
      <c r="H176" s="22">
        <v>20170418</v>
      </c>
      <c r="I176" s="22" t="s">
        <v>40</v>
      </c>
      <c r="J176" s="22"/>
      <c r="K176" s="22"/>
      <c r="L176" s="22" t="s">
        <v>34</v>
      </c>
      <c r="M176" s="22" t="s">
        <v>34</v>
      </c>
      <c r="N176" s="22" t="s">
        <v>35</v>
      </c>
      <c r="O176" s="22" t="s">
        <v>35</v>
      </c>
      <c r="P176" s="22" t="s">
        <v>35</v>
      </c>
      <c r="Q176" s="22" t="s">
        <v>35</v>
      </c>
      <c r="R176" s="22" t="s">
        <v>35</v>
      </c>
      <c r="S176" s="22" t="s">
        <v>34</v>
      </c>
      <c r="T176" s="22"/>
      <c r="U176" s="22"/>
      <c r="V176" s="22"/>
      <c r="W176" s="22"/>
      <c r="X176" s="22"/>
      <c r="Y176" s="22"/>
      <c r="Z176" s="22"/>
      <c r="AA176" s="22"/>
      <c r="AB176" s="22"/>
      <c r="AC176" s="22" t="s">
        <v>1951</v>
      </c>
      <c r="AD176" s="22">
        <v>20170413</v>
      </c>
      <c r="AE176" s="22">
        <v>175</v>
      </c>
      <c r="AF176" s="22"/>
      <c r="AG176" s="22" t="str">
        <f>IFERROR(VLOOKUP(TblFeedFile[[#This Row],[Leave Type ]],LkupPayType[],2,FALSE),"TBD")</f>
        <v>Paid</v>
      </c>
      <c r="AH176" s="22"/>
      <c r="AI176" s="25"/>
      <c r="AJ176" s="25"/>
      <c r="AK176" s="26"/>
    </row>
    <row r="177" spans="1:37" x14ac:dyDescent="0.25">
      <c r="A177" s="21" t="s">
        <v>37</v>
      </c>
      <c r="B177" s="22">
        <v>314301</v>
      </c>
      <c r="C177" s="22">
        <v>21666848</v>
      </c>
      <c r="D177" s="23" t="s">
        <v>2191</v>
      </c>
      <c r="E177" s="22" t="s">
        <v>491</v>
      </c>
      <c r="F177" s="22" t="s">
        <v>492</v>
      </c>
      <c r="G177" s="22">
        <v>20170303</v>
      </c>
      <c r="H177" s="22">
        <v>20170511</v>
      </c>
      <c r="I177" s="22" t="s">
        <v>156</v>
      </c>
      <c r="J177" s="22"/>
      <c r="K177" s="22"/>
      <c r="L177" s="22" t="s">
        <v>34</v>
      </c>
      <c r="M177" s="22" t="s">
        <v>34</v>
      </c>
      <c r="N177" s="22" t="s">
        <v>35</v>
      </c>
      <c r="O177" s="22" t="s">
        <v>35</v>
      </c>
      <c r="P177" s="22" t="s">
        <v>35</v>
      </c>
      <c r="Q177" s="22" t="s">
        <v>35</v>
      </c>
      <c r="R177" s="22" t="s">
        <v>35</v>
      </c>
      <c r="S177" s="22" t="s">
        <v>34</v>
      </c>
      <c r="T177" s="22"/>
      <c r="U177" s="22"/>
      <c r="V177" s="22"/>
      <c r="W177" s="22"/>
      <c r="X177" s="22"/>
      <c r="Y177" s="22"/>
      <c r="Z177" s="22"/>
      <c r="AA177" s="22"/>
      <c r="AB177" s="22"/>
      <c r="AC177" s="22" t="s">
        <v>1905</v>
      </c>
      <c r="AD177" s="22">
        <v>20170413</v>
      </c>
      <c r="AE177" s="22">
        <v>176</v>
      </c>
      <c r="AF177" s="22"/>
      <c r="AG177" s="22" t="str">
        <f>IFERROR(VLOOKUP(TblFeedFile[[#This Row],[Leave Type ]],LkupPayType[],2,FALSE),"TBD")</f>
        <v>Unpaid</v>
      </c>
      <c r="AH177" s="22"/>
      <c r="AI177" s="25"/>
      <c r="AJ177" s="25"/>
      <c r="AK177" s="26"/>
    </row>
    <row r="178" spans="1:37" x14ac:dyDescent="0.25">
      <c r="A178" s="21" t="s">
        <v>29</v>
      </c>
      <c r="B178" s="22">
        <v>314304</v>
      </c>
      <c r="C178" s="22">
        <v>21682845</v>
      </c>
      <c r="D178" s="23" t="s">
        <v>2192</v>
      </c>
      <c r="E178" s="22" t="s">
        <v>622</v>
      </c>
      <c r="F178" s="22" t="s">
        <v>2193</v>
      </c>
      <c r="G178" s="22">
        <v>20170401</v>
      </c>
      <c r="H178" s="22">
        <v>20170401</v>
      </c>
      <c r="I178" s="22" t="s">
        <v>33</v>
      </c>
      <c r="J178" s="22"/>
      <c r="K178" s="22"/>
      <c r="L178" s="22" t="s">
        <v>35</v>
      </c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 t="s">
        <v>1989</v>
      </c>
      <c r="AD178" s="22">
        <v>20170413</v>
      </c>
      <c r="AE178" s="22">
        <v>177</v>
      </c>
      <c r="AF178" s="22"/>
      <c r="AG178" s="22" t="str">
        <f>IFERROR(VLOOKUP(TblFeedFile[[#This Row],[Leave Type ]],LkupPayType[],2,FALSE),"TBD")</f>
        <v>Closed</v>
      </c>
      <c r="AH178" s="22"/>
      <c r="AI178" s="25"/>
      <c r="AJ178" s="25"/>
      <c r="AK178" s="26"/>
    </row>
    <row r="179" spans="1:37" x14ac:dyDescent="0.25">
      <c r="A179" s="21" t="s">
        <v>29</v>
      </c>
      <c r="B179" s="22">
        <v>314304</v>
      </c>
      <c r="C179" s="22">
        <v>21682845</v>
      </c>
      <c r="D179" s="23">
        <v>511703228801</v>
      </c>
      <c r="E179" s="22" t="s">
        <v>622</v>
      </c>
      <c r="F179" s="22" t="s">
        <v>2193</v>
      </c>
      <c r="G179" s="22">
        <v>20170323</v>
      </c>
      <c r="H179" s="22">
        <v>20170503</v>
      </c>
      <c r="I179" s="22" t="s">
        <v>40</v>
      </c>
      <c r="J179" s="22"/>
      <c r="K179" s="22"/>
      <c r="L179" s="22" t="s">
        <v>35</v>
      </c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 t="s">
        <v>1936</v>
      </c>
      <c r="AD179" s="22">
        <v>20170413</v>
      </c>
      <c r="AE179" s="22">
        <v>178</v>
      </c>
      <c r="AF179" s="22"/>
      <c r="AG179" s="22" t="str">
        <f>IFERROR(VLOOKUP(TblFeedFile[[#This Row],[Leave Type ]],LkupPayType[],2,FALSE),"TBD")</f>
        <v>Paid</v>
      </c>
      <c r="AH179" s="22"/>
      <c r="AI179" s="25"/>
      <c r="AJ179" s="25"/>
      <c r="AK179" s="26"/>
    </row>
    <row r="180" spans="1:37" x14ac:dyDescent="0.25">
      <c r="A180" s="21" t="s">
        <v>29</v>
      </c>
      <c r="B180" s="22">
        <v>314304</v>
      </c>
      <c r="C180" s="22">
        <v>21682845</v>
      </c>
      <c r="D180" s="23">
        <v>511703228801</v>
      </c>
      <c r="E180" s="22" t="s">
        <v>622</v>
      </c>
      <c r="F180" s="22" t="s">
        <v>2193</v>
      </c>
      <c r="G180" s="22">
        <v>20170316</v>
      </c>
      <c r="H180" s="22">
        <v>20170503</v>
      </c>
      <c r="I180" s="22" t="s">
        <v>53</v>
      </c>
      <c r="J180" s="22"/>
      <c r="K180" s="22"/>
      <c r="L180" s="22" t="s">
        <v>35</v>
      </c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 t="s">
        <v>1905</v>
      </c>
      <c r="AD180" s="22">
        <v>20170413</v>
      </c>
      <c r="AE180" s="22">
        <v>179</v>
      </c>
      <c r="AF180" s="22"/>
      <c r="AG180" s="22" t="str">
        <f>IFERROR(VLOOKUP(TblFeedFile[[#This Row],[Leave Type ]],LkupPayType[],2,FALSE),"TBD")</f>
        <v>Paid</v>
      </c>
      <c r="AH180" s="22"/>
      <c r="AI180" s="25"/>
      <c r="AJ180" s="25"/>
      <c r="AK180" s="26"/>
    </row>
    <row r="181" spans="1:37" x14ac:dyDescent="0.25">
      <c r="A181" s="21" t="s">
        <v>37</v>
      </c>
      <c r="B181" s="22">
        <v>314304</v>
      </c>
      <c r="C181" s="22">
        <v>21682845</v>
      </c>
      <c r="D181" s="23">
        <v>511703228801</v>
      </c>
      <c r="E181" s="22" t="s">
        <v>622</v>
      </c>
      <c r="F181" s="22" t="s">
        <v>2193</v>
      </c>
      <c r="G181" s="22">
        <v>20170316</v>
      </c>
      <c r="H181" s="22">
        <v>20170316</v>
      </c>
      <c r="I181" s="22" t="s">
        <v>43</v>
      </c>
      <c r="J181" s="22"/>
      <c r="K181" s="22"/>
      <c r="L181" s="22" t="s">
        <v>35</v>
      </c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 t="s">
        <v>1989</v>
      </c>
      <c r="AD181" s="22">
        <v>20170413</v>
      </c>
      <c r="AE181" s="22">
        <v>180</v>
      </c>
      <c r="AF181" s="22"/>
      <c r="AG181" s="22" t="str">
        <f>IFERROR(VLOOKUP(TblFeedFile[[#This Row],[Leave Type ]],LkupPayType[],2,FALSE),"TBD")</f>
        <v>Denied</v>
      </c>
      <c r="AH181" s="22"/>
      <c r="AI181" s="25" t="s">
        <v>35</v>
      </c>
      <c r="AJ181" s="25"/>
      <c r="AK181" s="26"/>
    </row>
    <row r="182" spans="1:37" x14ac:dyDescent="0.25">
      <c r="A182" s="21" t="s">
        <v>37</v>
      </c>
      <c r="B182" s="22">
        <v>314304</v>
      </c>
      <c r="C182" s="22">
        <v>21683774</v>
      </c>
      <c r="D182" s="23">
        <v>521704128632</v>
      </c>
      <c r="E182" s="22" t="s">
        <v>1140</v>
      </c>
      <c r="F182" s="22" t="s">
        <v>2194</v>
      </c>
      <c r="G182" s="22">
        <v>20170413</v>
      </c>
      <c r="H182" s="22">
        <v>20170524</v>
      </c>
      <c r="I182" s="22" t="s">
        <v>53</v>
      </c>
      <c r="J182" s="22"/>
      <c r="K182" s="22"/>
      <c r="L182" s="22" t="s">
        <v>34</v>
      </c>
      <c r="M182" s="22" t="s">
        <v>34</v>
      </c>
      <c r="N182" s="22" t="s">
        <v>35</v>
      </c>
      <c r="O182" s="22" t="s">
        <v>35</v>
      </c>
      <c r="P182" s="22" t="s">
        <v>35</v>
      </c>
      <c r="Q182" s="22" t="s">
        <v>35</v>
      </c>
      <c r="R182" s="22" t="s">
        <v>35</v>
      </c>
      <c r="S182" s="22" t="s">
        <v>34</v>
      </c>
      <c r="T182" s="22"/>
      <c r="U182" s="22"/>
      <c r="V182" s="22"/>
      <c r="W182" s="22"/>
      <c r="X182" s="22"/>
      <c r="Y182" s="22"/>
      <c r="Z182" s="22"/>
      <c r="AA182" s="22"/>
      <c r="AB182" s="22"/>
      <c r="AC182" s="22" t="s">
        <v>1923</v>
      </c>
      <c r="AD182" s="22">
        <v>20170413</v>
      </c>
      <c r="AE182" s="22">
        <v>181</v>
      </c>
      <c r="AF182" s="22"/>
      <c r="AG182" s="22" t="str">
        <f>IFERROR(VLOOKUP(TblFeedFile[[#This Row],[Leave Type ]],LkupPayType[],2,FALSE),"TBD")</f>
        <v>Paid</v>
      </c>
      <c r="AH182" s="22"/>
      <c r="AI182" s="25"/>
      <c r="AJ182" s="25"/>
      <c r="AK182" s="26"/>
    </row>
    <row r="183" spans="1:37" x14ac:dyDescent="0.25">
      <c r="A183" s="21" t="s">
        <v>29</v>
      </c>
      <c r="B183" s="22">
        <v>314304</v>
      </c>
      <c r="C183" s="22">
        <v>21695282</v>
      </c>
      <c r="D183" s="23" t="s">
        <v>2195</v>
      </c>
      <c r="E183" s="22" t="s">
        <v>2196</v>
      </c>
      <c r="F183" s="22" t="s">
        <v>2197</v>
      </c>
      <c r="G183" s="22">
        <v>20170404</v>
      </c>
      <c r="H183" s="22">
        <v>20170404</v>
      </c>
      <c r="I183" s="22" t="s">
        <v>33</v>
      </c>
      <c r="J183" s="22"/>
      <c r="K183" s="22"/>
      <c r="L183" s="22" t="s">
        <v>34</v>
      </c>
      <c r="M183" s="22" t="s">
        <v>34</v>
      </c>
      <c r="N183" s="22" t="s">
        <v>35</v>
      </c>
      <c r="O183" s="22" t="s">
        <v>35</v>
      </c>
      <c r="P183" s="22" t="s">
        <v>35</v>
      </c>
      <c r="Q183" s="22" t="s">
        <v>35</v>
      </c>
      <c r="R183" s="22" t="s">
        <v>35</v>
      </c>
      <c r="S183" s="22" t="s">
        <v>34</v>
      </c>
      <c r="T183" s="22"/>
      <c r="U183" s="22"/>
      <c r="V183" s="22"/>
      <c r="W183" s="22"/>
      <c r="X183" s="22"/>
      <c r="Y183" s="22"/>
      <c r="Z183" s="22"/>
      <c r="AA183" s="22"/>
      <c r="AB183" s="22"/>
      <c r="AC183" s="22" t="s">
        <v>1944</v>
      </c>
      <c r="AD183" s="22">
        <v>20170413</v>
      </c>
      <c r="AE183" s="22">
        <v>182</v>
      </c>
      <c r="AF183" s="22"/>
      <c r="AG183" s="22" t="str">
        <f>IFERROR(VLOOKUP(TblFeedFile[[#This Row],[Leave Type ]],LkupPayType[],2,FALSE),"TBD")</f>
        <v>Closed</v>
      </c>
      <c r="AH183" s="22"/>
      <c r="AI183" s="25"/>
      <c r="AJ183" s="25"/>
      <c r="AK183" s="26"/>
    </row>
    <row r="184" spans="1:37" x14ac:dyDescent="0.25">
      <c r="A184" s="21" t="s">
        <v>29</v>
      </c>
      <c r="B184" s="22">
        <v>314304</v>
      </c>
      <c r="C184" s="22">
        <v>21695282</v>
      </c>
      <c r="D184" s="23" t="s">
        <v>2195</v>
      </c>
      <c r="E184" s="22" t="s">
        <v>2196</v>
      </c>
      <c r="F184" s="22" t="s">
        <v>2197</v>
      </c>
      <c r="G184" s="22">
        <v>20170320</v>
      </c>
      <c r="H184" s="22">
        <v>20170403</v>
      </c>
      <c r="I184" s="22" t="s">
        <v>36</v>
      </c>
      <c r="J184" s="22"/>
      <c r="K184" s="22"/>
      <c r="L184" s="22" t="s">
        <v>34</v>
      </c>
      <c r="M184" s="22" t="s">
        <v>34</v>
      </c>
      <c r="N184" s="22" t="s">
        <v>35</v>
      </c>
      <c r="O184" s="22" t="s">
        <v>35</v>
      </c>
      <c r="P184" s="22" t="s">
        <v>35</v>
      </c>
      <c r="Q184" s="22" t="s">
        <v>35</v>
      </c>
      <c r="R184" s="22" t="s">
        <v>35</v>
      </c>
      <c r="S184" s="22" t="s">
        <v>34</v>
      </c>
      <c r="T184" s="22"/>
      <c r="U184" s="22"/>
      <c r="V184" s="22"/>
      <c r="W184" s="22"/>
      <c r="X184" s="22"/>
      <c r="Y184" s="22"/>
      <c r="Z184" s="22"/>
      <c r="AA184" s="22"/>
      <c r="AB184" s="22"/>
      <c r="AC184" s="22" t="s">
        <v>1895</v>
      </c>
      <c r="AD184" s="22">
        <v>20170413</v>
      </c>
      <c r="AE184" s="22">
        <v>183</v>
      </c>
      <c r="AF184" s="22"/>
      <c r="AG184" s="22" t="str">
        <f>IFERROR(VLOOKUP(TblFeedFile[[#This Row],[Leave Type ]],LkupPayType[],2,FALSE),"TBD")</f>
        <v>Unpaid</v>
      </c>
      <c r="AH184" s="22"/>
      <c r="AI184" s="25"/>
      <c r="AJ184" s="25"/>
      <c r="AK184" s="26"/>
    </row>
    <row r="185" spans="1:37" x14ac:dyDescent="0.25">
      <c r="A185" s="21" t="s">
        <v>37</v>
      </c>
      <c r="B185" s="22">
        <v>314304</v>
      </c>
      <c r="C185" s="22">
        <v>21695282</v>
      </c>
      <c r="D185" s="23" t="s">
        <v>2195</v>
      </c>
      <c r="E185" s="22" t="s">
        <v>2196</v>
      </c>
      <c r="F185" s="22" t="s">
        <v>2197</v>
      </c>
      <c r="G185" s="22">
        <v>20170320</v>
      </c>
      <c r="H185" s="22">
        <v>20170402</v>
      </c>
      <c r="I185" s="22" t="s">
        <v>36</v>
      </c>
      <c r="J185" s="22"/>
      <c r="K185" s="22"/>
      <c r="L185" s="22" t="s">
        <v>34</v>
      </c>
      <c r="M185" s="22" t="s">
        <v>34</v>
      </c>
      <c r="N185" s="22" t="s">
        <v>35</v>
      </c>
      <c r="O185" s="22" t="s">
        <v>35</v>
      </c>
      <c r="P185" s="22" t="s">
        <v>35</v>
      </c>
      <c r="Q185" s="22" t="s">
        <v>35</v>
      </c>
      <c r="R185" s="22" t="s">
        <v>35</v>
      </c>
      <c r="S185" s="22" t="s">
        <v>34</v>
      </c>
      <c r="T185" s="22">
        <v>20170404</v>
      </c>
      <c r="U185" s="22"/>
      <c r="V185" s="22"/>
      <c r="W185" s="22"/>
      <c r="X185" s="22"/>
      <c r="Y185" s="22"/>
      <c r="Z185" s="22"/>
      <c r="AA185" s="22"/>
      <c r="AB185" s="22"/>
      <c r="AC185" s="22" t="s">
        <v>1901</v>
      </c>
      <c r="AD185" s="22">
        <v>20170413</v>
      </c>
      <c r="AE185" s="22">
        <v>184</v>
      </c>
      <c r="AF185" s="22"/>
      <c r="AG185" s="22" t="str">
        <f>IFERROR(VLOOKUP(TblFeedFile[[#This Row],[Leave Type ]],LkupPayType[],2,FALSE),"TBD")</f>
        <v>Unpaid</v>
      </c>
      <c r="AH185" s="22"/>
      <c r="AI185" s="25" t="s">
        <v>35</v>
      </c>
      <c r="AJ185" s="25"/>
      <c r="AK185" s="26" t="s">
        <v>35</v>
      </c>
    </row>
    <row r="186" spans="1:37" x14ac:dyDescent="0.25">
      <c r="A186" s="21" t="s">
        <v>37</v>
      </c>
      <c r="B186" s="22">
        <v>314304</v>
      </c>
      <c r="C186" s="22">
        <v>21709673</v>
      </c>
      <c r="D186" s="23" t="s">
        <v>2198</v>
      </c>
      <c r="E186" s="22" t="s">
        <v>2199</v>
      </c>
      <c r="F186" s="22" t="s">
        <v>2200</v>
      </c>
      <c r="G186" s="22">
        <v>20170320</v>
      </c>
      <c r="H186" s="22">
        <v>20170416</v>
      </c>
      <c r="I186" s="22" t="s">
        <v>223</v>
      </c>
      <c r="J186" s="22"/>
      <c r="K186" s="22"/>
      <c r="L186" s="22" t="s">
        <v>35</v>
      </c>
      <c r="M186" s="22"/>
      <c r="N186" s="22"/>
      <c r="O186" s="22"/>
      <c r="P186" s="22"/>
      <c r="Q186" s="22"/>
      <c r="R186" s="22"/>
      <c r="S186" s="22"/>
      <c r="T186" s="22">
        <v>20170417</v>
      </c>
      <c r="U186" s="22"/>
      <c r="V186" s="22"/>
      <c r="W186" s="22"/>
      <c r="X186" s="22"/>
      <c r="Y186" s="22"/>
      <c r="Z186" s="22"/>
      <c r="AA186" s="22"/>
      <c r="AB186" s="22"/>
      <c r="AC186" s="22" t="s">
        <v>1911</v>
      </c>
      <c r="AD186" s="22">
        <v>20170413</v>
      </c>
      <c r="AE186" s="22">
        <v>185</v>
      </c>
      <c r="AF186" s="22"/>
      <c r="AG186" s="22" t="str">
        <f>IFERROR(VLOOKUP(TblFeedFile[[#This Row],[Leave Type ]],LkupPayType[],2,FALSE),"TBD")</f>
        <v>Paid</v>
      </c>
      <c r="AH186" s="22"/>
      <c r="AI186" s="25"/>
      <c r="AJ186" s="25"/>
      <c r="AK186" s="26" t="s">
        <v>35</v>
      </c>
    </row>
    <row r="187" spans="1:37" x14ac:dyDescent="0.25">
      <c r="A187" s="21" t="s">
        <v>29</v>
      </c>
      <c r="B187" s="22">
        <v>314301</v>
      </c>
      <c r="C187" s="22">
        <v>21771640</v>
      </c>
      <c r="D187" s="23" t="s">
        <v>2201</v>
      </c>
      <c r="E187" s="22" t="s">
        <v>586</v>
      </c>
      <c r="F187" s="22" t="s">
        <v>1795</v>
      </c>
      <c r="G187" s="22">
        <v>20170109</v>
      </c>
      <c r="H187" s="22">
        <v>20170424</v>
      </c>
      <c r="I187" s="22" t="s">
        <v>223</v>
      </c>
      <c r="J187" s="22"/>
      <c r="K187" s="22"/>
      <c r="L187" s="22" t="s">
        <v>34</v>
      </c>
      <c r="M187" s="22" t="s">
        <v>34</v>
      </c>
      <c r="N187" s="22" t="s">
        <v>35</v>
      </c>
      <c r="O187" s="22" t="s">
        <v>35</v>
      </c>
      <c r="P187" s="22" t="s">
        <v>35</v>
      </c>
      <c r="Q187" s="22" t="s">
        <v>35</v>
      </c>
      <c r="R187" s="22" t="s">
        <v>35</v>
      </c>
      <c r="S187" s="22" t="s">
        <v>34</v>
      </c>
      <c r="T187" s="22"/>
      <c r="U187" s="22"/>
      <c r="V187" s="22"/>
      <c r="W187" s="22"/>
      <c r="X187" s="22"/>
      <c r="Y187" s="22"/>
      <c r="Z187" s="22"/>
      <c r="AA187" s="22"/>
      <c r="AB187" s="22"/>
      <c r="AC187" s="22" t="s">
        <v>1895</v>
      </c>
      <c r="AD187" s="22">
        <v>20170413</v>
      </c>
      <c r="AE187" s="22">
        <v>186</v>
      </c>
      <c r="AF187" s="22"/>
      <c r="AG187" s="22" t="str">
        <f>IFERROR(VLOOKUP(TblFeedFile[[#This Row],[Leave Type ]],LkupPayType[],2,FALSE),"TBD")</f>
        <v>Paid</v>
      </c>
      <c r="AH187" s="22"/>
      <c r="AI187" s="25"/>
      <c r="AJ187" s="25"/>
      <c r="AK187" s="26"/>
    </row>
    <row r="188" spans="1:37" x14ac:dyDescent="0.25">
      <c r="A188" s="21" t="s">
        <v>37</v>
      </c>
      <c r="B188" s="22">
        <v>314307</v>
      </c>
      <c r="C188" s="22">
        <v>21771640</v>
      </c>
      <c r="D188" s="23" t="s">
        <v>2201</v>
      </c>
      <c r="E188" s="22" t="s">
        <v>586</v>
      </c>
      <c r="F188" s="22" t="s">
        <v>1795</v>
      </c>
      <c r="G188" s="22">
        <v>20170109</v>
      </c>
      <c r="H188" s="22">
        <v>20170430</v>
      </c>
      <c r="I188" s="22" t="s">
        <v>223</v>
      </c>
      <c r="J188" s="22"/>
      <c r="K188" s="22"/>
      <c r="L188" s="22" t="s">
        <v>34</v>
      </c>
      <c r="M188" s="22" t="s">
        <v>34</v>
      </c>
      <c r="N188" s="22" t="s">
        <v>35</v>
      </c>
      <c r="O188" s="22" t="s">
        <v>35</v>
      </c>
      <c r="P188" s="22" t="s">
        <v>35</v>
      </c>
      <c r="Q188" s="22" t="s">
        <v>35</v>
      </c>
      <c r="R188" s="22" t="s">
        <v>35</v>
      </c>
      <c r="S188" s="22" t="s">
        <v>34</v>
      </c>
      <c r="T188" s="22"/>
      <c r="U188" s="22"/>
      <c r="V188" s="22"/>
      <c r="W188" s="22"/>
      <c r="X188" s="22"/>
      <c r="Y188" s="22"/>
      <c r="Z188" s="22"/>
      <c r="AA188" s="22"/>
      <c r="AB188" s="22"/>
      <c r="AC188" s="22" t="s">
        <v>1895</v>
      </c>
      <c r="AD188" s="22">
        <v>20170413</v>
      </c>
      <c r="AE188" s="22">
        <v>187</v>
      </c>
      <c r="AF188" s="22"/>
      <c r="AG188" s="22" t="str">
        <f>IFERROR(VLOOKUP(TblFeedFile[[#This Row],[Leave Type ]],LkupPayType[],2,FALSE),"TBD")</f>
        <v>Paid</v>
      </c>
      <c r="AH188" s="22"/>
      <c r="AI188" s="25"/>
      <c r="AJ188" s="25"/>
      <c r="AK188" s="26"/>
    </row>
    <row r="189" spans="1:37" x14ac:dyDescent="0.25">
      <c r="A189" s="21" t="s">
        <v>29</v>
      </c>
      <c r="B189" s="22">
        <v>314304</v>
      </c>
      <c r="C189" s="22">
        <v>21781169</v>
      </c>
      <c r="D189" s="23">
        <v>541703238094</v>
      </c>
      <c r="E189" s="22" t="s">
        <v>107</v>
      </c>
      <c r="F189" s="22" t="s">
        <v>2202</v>
      </c>
      <c r="G189" s="22">
        <v>20170410</v>
      </c>
      <c r="H189" s="22">
        <v>20170528</v>
      </c>
      <c r="I189" s="22" t="s">
        <v>53</v>
      </c>
      <c r="J189" s="22"/>
      <c r="K189" s="22"/>
      <c r="L189" s="22" t="s">
        <v>34</v>
      </c>
      <c r="M189" s="22" t="s">
        <v>34</v>
      </c>
      <c r="N189" s="22" t="s">
        <v>35</v>
      </c>
      <c r="O189" s="22" t="s">
        <v>35</v>
      </c>
      <c r="P189" s="22" t="s">
        <v>35</v>
      </c>
      <c r="Q189" s="22" t="s">
        <v>35</v>
      </c>
      <c r="R189" s="22" t="s">
        <v>35</v>
      </c>
      <c r="S189" s="22" t="s">
        <v>34</v>
      </c>
      <c r="T189" s="22"/>
      <c r="U189" s="22"/>
      <c r="V189" s="22"/>
      <c r="W189" s="22"/>
      <c r="X189" s="22"/>
      <c r="Y189" s="22"/>
      <c r="Z189" s="22"/>
      <c r="AA189" s="22"/>
      <c r="AB189" s="22"/>
      <c r="AC189" s="22" t="s">
        <v>1922</v>
      </c>
      <c r="AD189" s="22">
        <v>20170413</v>
      </c>
      <c r="AE189" s="22">
        <v>188</v>
      </c>
      <c r="AF189" s="22"/>
      <c r="AG189" s="22" t="str">
        <f>IFERROR(VLOOKUP(TblFeedFile[[#This Row],[Leave Type ]],LkupPayType[],2,FALSE),"TBD")</f>
        <v>Paid</v>
      </c>
      <c r="AH189" s="22"/>
      <c r="AI189" s="25"/>
      <c r="AJ189" s="25"/>
      <c r="AK189" s="26"/>
    </row>
    <row r="190" spans="1:37" x14ac:dyDescent="0.25">
      <c r="A190" s="21" t="s">
        <v>37</v>
      </c>
      <c r="B190" s="22">
        <v>314304</v>
      </c>
      <c r="C190" s="22">
        <v>21781169</v>
      </c>
      <c r="D190" s="23">
        <v>541703238094</v>
      </c>
      <c r="E190" s="22" t="s">
        <v>107</v>
      </c>
      <c r="F190" s="22" t="s">
        <v>2202</v>
      </c>
      <c r="G190" s="22">
        <v>20170410</v>
      </c>
      <c r="H190" s="22">
        <v>20170521</v>
      </c>
      <c r="I190" s="22" t="s">
        <v>53</v>
      </c>
      <c r="J190" s="22"/>
      <c r="K190" s="22"/>
      <c r="L190" s="22" t="s">
        <v>34</v>
      </c>
      <c r="M190" s="22" t="s">
        <v>34</v>
      </c>
      <c r="N190" s="22" t="s">
        <v>35</v>
      </c>
      <c r="O190" s="22" t="s">
        <v>35</v>
      </c>
      <c r="P190" s="22" t="s">
        <v>35</v>
      </c>
      <c r="Q190" s="22" t="s">
        <v>35</v>
      </c>
      <c r="R190" s="22" t="s">
        <v>35</v>
      </c>
      <c r="S190" s="22" t="s">
        <v>34</v>
      </c>
      <c r="T190" s="22"/>
      <c r="U190" s="22"/>
      <c r="V190" s="22"/>
      <c r="W190" s="22"/>
      <c r="X190" s="22"/>
      <c r="Y190" s="22"/>
      <c r="Z190" s="22"/>
      <c r="AA190" s="22"/>
      <c r="AB190" s="22"/>
      <c r="AC190" s="22" t="s">
        <v>1922</v>
      </c>
      <c r="AD190" s="22">
        <v>20170413</v>
      </c>
      <c r="AE190" s="22">
        <v>189</v>
      </c>
      <c r="AF190" s="22"/>
      <c r="AG190" s="22" t="str">
        <f>IFERROR(VLOOKUP(TblFeedFile[[#This Row],[Leave Type ]],LkupPayType[],2,FALSE),"TBD")</f>
        <v>Paid</v>
      </c>
      <c r="AH190" s="22"/>
      <c r="AI190" s="25"/>
      <c r="AJ190" s="25"/>
      <c r="AK190" s="26"/>
    </row>
    <row r="191" spans="1:37" x14ac:dyDescent="0.25">
      <c r="A191" s="21" t="s">
        <v>37</v>
      </c>
      <c r="B191" s="22">
        <v>314307</v>
      </c>
      <c r="C191" s="22">
        <v>21845478</v>
      </c>
      <c r="D191" s="23">
        <v>511704068579</v>
      </c>
      <c r="E191" s="22" t="s">
        <v>348</v>
      </c>
      <c r="F191" s="22" t="s">
        <v>2203</v>
      </c>
      <c r="G191" s="22">
        <v>20170410</v>
      </c>
      <c r="H191" s="22">
        <v>20170608</v>
      </c>
      <c r="I191" s="22" t="s">
        <v>53</v>
      </c>
      <c r="J191" s="22"/>
      <c r="K191" s="22"/>
      <c r="L191" s="22" t="s">
        <v>34</v>
      </c>
      <c r="M191" s="22" t="s">
        <v>34</v>
      </c>
      <c r="N191" s="22" t="s">
        <v>35</v>
      </c>
      <c r="O191" s="22" t="s">
        <v>35</v>
      </c>
      <c r="P191" s="22" t="s">
        <v>35</v>
      </c>
      <c r="Q191" s="22" t="s">
        <v>35</v>
      </c>
      <c r="R191" s="22" t="s">
        <v>35</v>
      </c>
      <c r="S191" s="22" t="s">
        <v>34</v>
      </c>
      <c r="T191" s="22"/>
      <c r="U191" s="22"/>
      <c r="V191" s="22"/>
      <c r="W191" s="22"/>
      <c r="X191" s="22"/>
      <c r="Y191" s="22"/>
      <c r="Z191" s="22"/>
      <c r="AA191" s="22"/>
      <c r="AB191" s="22"/>
      <c r="AC191" s="22" t="s">
        <v>1922</v>
      </c>
      <c r="AD191" s="22">
        <v>20170413</v>
      </c>
      <c r="AE191" s="22">
        <v>190</v>
      </c>
      <c r="AF191" s="22"/>
      <c r="AG191" s="22" t="str">
        <f>IFERROR(VLOOKUP(TblFeedFile[[#This Row],[Leave Type ]],LkupPayType[],2,FALSE),"TBD")</f>
        <v>Paid</v>
      </c>
      <c r="AH191" s="22"/>
      <c r="AI191" s="25"/>
      <c r="AJ191" s="25"/>
      <c r="AK191" s="26"/>
    </row>
    <row r="192" spans="1:37" x14ac:dyDescent="0.25">
      <c r="A192" s="21" t="s">
        <v>29</v>
      </c>
      <c r="B192" s="22">
        <v>314304</v>
      </c>
      <c r="C192" s="22">
        <v>21882114</v>
      </c>
      <c r="D192" s="23" t="s">
        <v>516</v>
      </c>
      <c r="E192" s="22" t="s">
        <v>517</v>
      </c>
      <c r="F192" s="22" t="s">
        <v>518</v>
      </c>
      <c r="G192" s="22">
        <v>20170401</v>
      </c>
      <c r="H192" s="22">
        <v>20170404</v>
      </c>
      <c r="I192" s="22" t="s">
        <v>36</v>
      </c>
      <c r="J192" s="22"/>
      <c r="K192" s="22"/>
      <c r="L192" s="22" t="s">
        <v>34</v>
      </c>
      <c r="M192" s="22" t="s">
        <v>34</v>
      </c>
      <c r="N192" s="22" t="s">
        <v>35</v>
      </c>
      <c r="O192" s="22" t="s">
        <v>35</v>
      </c>
      <c r="P192" s="22" t="s">
        <v>35</v>
      </c>
      <c r="Q192" s="22" t="s">
        <v>35</v>
      </c>
      <c r="R192" s="22" t="s">
        <v>35</v>
      </c>
      <c r="S192" s="22" t="s">
        <v>34</v>
      </c>
      <c r="T192" s="22">
        <v>20170405</v>
      </c>
      <c r="U192" s="22"/>
      <c r="V192" s="22"/>
      <c r="W192" s="22"/>
      <c r="X192" s="22" t="s">
        <v>35</v>
      </c>
      <c r="Y192" s="22"/>
      <c r="Z192" s="22"/>
      <c r="AA192" s="22"/>
      <c r="AB192" s="22"/>
      <c r="AC192" s="22" t="s">
        <v>1900</v>
      </c>
      <c r="AD192" s="22">
        <v>20170413</v>
      </c>
      <c r="AE192" s="22">
        <v>191</v>
      </c>
      <c r="AF192" s="22"/>
      <c r="AG192" s="22" t="str">
        <f>IFERROR(VLOOKUP(TblFeedFile[[#This Row],[Leave Type ]],LkupPayType[],2,FALSE),"TBD")</f>
        <v>Unpaid</v>
      </c>
      <c r="AH192" s="22"/>
      <c r="AI192" s="25"/>
      <c r="AJ192" s="25"/>
      <c r="AK192" s="26"/>
    </row>
    <row r="193" spans="1:37" x14ac:dyDescent="0.25">
      <c r="A193" s="21" t="s">
        <v>29</v>
      </c>
      <c r="B193" s="22">
        <v>314304</v>
      </c>
      <c r="C193" s="22">
        <v>21882114</v>
      </c>
      <c r="D193" s="23">
        <v>571701178287</v>
      </c>
      <c r="E193" s="22" t="s">
        <v>517</v>
      </c>
      <c r="F193" s="22" t="s">
        <v>518</v>
      </c>
      <c r="G193" s="22">
        <v>20170309</v>
      </c>
      <c r="H193" s="22">
        <v>20170404</v>
      </c>
      <c r="I193" s="22" t="s">
        <v>1892</v>
      </c>
      <c r="J193" s="22"/>
      <c r="K193" s="22"/>
      <c r="L193" s="22" t="s">
        <v>34</v>
      </c>
      <c r="M193" s="22" t="s">
        <v>34</v>
      </c>
      <c r="N193" s="22" t="s">
        <v>35</v>
      </c>
      <c r="O193" s="22" t="s">
        <v>35</v>
      </c>
      <c r="P193" s="22" t="s">
        <v>35</v>
      </c>
      <c r="Q193" s="22" t="s">
        <v>35</v>
      </c>
      <c r="R193" s="22" t="s">
        <v>35</v>
      </c>
      <c r="S193" s="22" t="s">
        <v>34</v>
      </c>
      <c r="T193" s="22"/>
      <c r="U193" s="22"/>
      <c r="V193" s="22"/>
      <c r="W193" s="22"/>
      <c r="X193" s="22" t="s">
        <v>35</v>
      </c>
      <c r="Y193" s="22"/>
      <c r="Z193" s="22"/>
      <c r="AA193" s="22"/>
      <c r="AB193" s="22"/>
      <c r="AC193" s="22" t="s">
        <v>1951</v>
      </c>
      <c r="AD193" s="22">
        <v>20170413</v>
      </c>
      <c r="AE193" s="22">
        <v>192</v>
      </c>
      <c r="AF193" s="22"/>
      <c r="AG193" s="22" t="str">
        <f>IFERROR(VLOOKUP(TblFeedFile[[#This Row],[Leave Type ]],LkupPayType[],2,FALSE),"TBD")</f>
        <v>Paid</v>
      </c>
      <c r="AH193" s="22"/>
      <c r="AI193" s="25"/>
      <c r="AJ193" s="25"/>
      <c r="AK193" s="26"/>
    </row>
    <row r="194" spans="1:37" x14ac:dyDescent="0.25">
      <c r="A194" s="21" t="s">
        <v>37</v>
      </c>
      <c r="B194" s="22">
        <v>314304</v>
      </c>
      <c r="C194" s="22">
        <v>21882114</v>
      </c>
      <c r="D194" s="23">
        <v>571701178287</v>
      </c>
      <c r="E194" s="22" t="s">
        <v>517</v>
      </c>
      <c r="F194" s="22" t="s">
        <v>518</v>
      </c>
      <c r="G194" s="22">
        <v>20170309</v>
      </c>
      <c r="H194" s="22">
        <v>20170331</v>
      </c>
      <c r="I194" s="22" t="s">
        <v>1892</v>
      </c>
      <c r="J194" s="22"/>
      <c r="K194" s="22"/>
      <c r="L194" s="22" t="s">
        <v>34</v>
      </c>
      <c r="M194" s="22" t="s">
        <v>34</v>
      </c>
      <c r="N194" s="22" t="s">
        <v>35</v>
      </c>
      <c r="O194" s="22" t="s">
        <v>35</v>
      </c>
      <c r="P194" s="22" t="s">
        <v>35</v>
      </c>
      <c r="Q194" s="22" t="s">
        <v>35</v>
      </c>
      <c r="R194" s="22" t="s">
        <v>35</v>
      </c>
      <c r="S194" s="22" t="s">
        <v>34</v>
      </c>
      <c r="T194" s="22"/>
      <c r="U194" s="22"/>
      <c r="V194" s="22"/>
      <c r="W194" s="22"/>
      <c r="X194" s="22" t="s">
        <v>35</v>
      </c>
      <c r="Y194" s="22"/>
      <c r="Z194" s="22"/>
      <c r="AA194" s="22"/>
      <c r="AB194" s="22"/>
      <c r="AC194" s="22" t="s">
        <v>1951</v>
      </c>
      <c r="AD194" s="22">
        <v>20170413</v>
      </c>
      <c r="AE194" s="22">
        <v>193</v>
      </c>
      <c r="AF194" s="22"/>
      <c r="AG194" s="22" t="str">
        <f>IFERROR(VLOOKUP(TblFeedFile[[#This Row],[Leave Type ]],LkupPayType[],2,FALSE),"TBD")</f>
        <v>Paid</v>
      </c>
      <c r="AH194" s="22"/>
      <c r="AI194" s="25"/>
      <c r="AJ194" s="25"/>
      <c r="AK194" s="26"/>
    </row>
    <row r="195" spans="1:37" x14ac:dyDescent="0.25">
      <c r="A195" s="21" t="s">
        <v>37</v>
      </c>
      <c r="B195" s="22">
        <v>314304</v>
      </c>
      <c r="C195" s="22">
        <v>21882114</v>
      </c>
      <c r="D195" s="23" t="s">
        <v>516</v>
      </c>
      <c r="E195" s="22" t="s">
        <v>517</v>
      </c>
      <c r="F195" s="22" t="s">
        <v>518</v>
      </c>
      <c r="G195" s="22">
        <v>20170401</v>
      </c>
      <c r="H195" s="22">
        <v>20170331</v>
      </c>
      <c r="I195" s="22" t="s">
        <v>36</v>
      </c>
      <c r="J195" s="22"/>
      <c r="K195" s="22"/>
      <c r="L195" s="22" t="s">
        <v>34</v>
      </c>
      <c r="M195" s="22" t="s">
        <v>34</v>
      </c>
      <c r="N195" s="22" t="s">
        <v>35</v>
      </c>
      <c r="O195" s="22" t="s">
        <v>35</v>
      </c>
      <c r="P195" s="22" t="s">
        <v>35</v>
      </c>
      <c r="Q195" s="22" t="s">
        <v>35</v>
      </c>
      <c r="R195" s="22" t="s">
        <v>35</v>
      </c>
      <c r="S195" s="22" t="s">
        <v>34</v>
      </c>
      <c r="T195" s="22"/>
      <c r="U195" s="22"/>
      <c r="V195" s="22"/>
      <c r="W195" s="22"/>
      <c r="X195" s="22" t="s">
        <v>35</v>
      </c>
      <c r="Y195" s="22"/>
      <c r="Z195" s="22"/>
      <c r="AA195" s="22"/>
      <c r="AB195" s="22"/>
      <c r="AC195" s="22" t="s">
        <v>1905</v>
      </c>
      <c r="AD195" s="22">
        <v>20170413</v>
      </c>
      <c r="AE195" s="22">
        <v>194</v>
      </c>
      <c r="AF195" s="22"/>
      <c r="AG195" s="22" t="str">
        <f>IFERROR(VLOOKUP(TblFeedFile[[#This Row],[Leave Type ]],LkupPayType[],2,FALSE),"TBD")</f>
        <v>Unpaid</v>
      </c>
      <c r="AH195" s="22"/>
      <c r="AI195" s="25"/>
      <c r="AJ195" s="25"/>
      <c r="AK195" s="26"/>
    </row>
    <row r="196" spans="1:37" x14ac:dyDescent="0.25">
      <c r="A196" s="21" t="s">
        <v>37</v>
      </c>
      <c r="B196" s="22">
        <v>314304</v>
      </c>
      <c r="C196" s="22">
        <v>21882114</v>
      </c>
      <c r="D196" s="23" t="s">
        <v>516</v>
      </c>
      <c r="E196" s="22" t="s">
        <v>517</v>
      </c>
      <c r="F196" s="22" t="s">
        <v>518</v>
      </c>
      <c r="G196" s="22">
        <v>20170401</v>
      </c>
      <c r="H196" s="22">
        <v>20170401</v>
      </c>
      <c r="I196" s="22" t="s">
        <v>33</v>
      </c>
      <c r="J196" s="22"/>
      <c r="K196" s="22"/>
      <c r="L196" s="22" t="s">
        <v>34</v>
      </c>
      <c r="M196" s="22" t="s">
        <v>34</v>
      </c>
      <c r="N196" s="22" t="s">
        <v>35</v>
      </c>
      <c r="O196" s="22" t="s">
        <v>35</v>
      </c>
      <c r="P196" s="22" t="s">
        <v>35</v>
      </c>
      <c r="Q196" s="22" t="s">
        <v>35</v>
      </c>
      <c r="R196" s="22" t="s">
        <v>35</v>
      </c>
      <c r="S196" s="22" t="s">
        <v>34</v>
      </c>
      <c r="T196" s="22">
        <v>20170405</v>
      </c>
      <c r="U196" s="22"/>
      <c r="V196" s="22"/>
      <c r="W196" s="22"/>
      <c r="X196" s="22"/>
      <c r="Y196" s="22"/>
      <c r="Z196" s="22"/>
      <c r="AA196" s="22"/>
      <c r="AB196" s="22"/>
      <c r="AC196" s="22" t="s">
        <v>1943</v>
      </c>
      <c r="AD196" s="22">
        <v>20170413</v>
      </c>
      <c r="AE196" s="22">
        <v>195</v>
      </c>
      <c r="AF196" s="22"/>
      <c r="AG196" s="22" t="str">
        <f>IFERROR(VLOOKUP(TblFeedFile[[#This Row],[Leave Type ]],LkupPayType[],2,FALSE),"TBD")</f>
        <v>Closed</v>
      </c>
      <c r="AH196" s="22"/>
      <c r="AI196" s="25"/>
      <c r="AJ196" s="25"/>
      <c r="AK196" s="26" t="s">
        <v>35</v>
      </c>
    </row>
    <row r="197" spans="1:37" x14ac:dyDescent="0.25">
      <c r="A197" s="21" t="s">
        <v>29</v>
      </c>
      <c r="B197" s="22">
        <v>314301</v>
      </c>
      <c r="C197" s="22">
        <v>21888879</v>
      </c>
      <c r="D197" s="23" t="s">
        <v>2204</v>
      </c>
      <c r="E197" s="22" t="s">
        <v>2205</v>
      </c>
      <c r="F197" s="22" t="s">
        <v>2206</v>
      </c>
      <c r="G197" s="22">
        <v>20170109</v>
      </c>
      <c r="H197" s="22">
        <v>20170430</v>
      </c>
      <c r="I197" s="22" t="s">
        <v>49</v>
      </c>
      <c r="J197" s="22"/>
      <c r="K197" s="22"/>
      <c r="L197" s="22" t="s">
        <v>34</v>
      </c>
      <c r="M197" s="22" t="s">
        <v>34</v>
      </c>
      <c r="N197" s="22" t="s">
        <v>35</v>
      </c>
      <c r="O197" s="22" t="s">
        <v>35</v>
      </c>
      <c r="P197" s="22" t="s">
        <v>35</v>
      </c>
      <c r="Q197" s="22" t="s">
        <v>35</v>
      </c>
      <c r="R197" s="22" t="s">
        <v>35</v>
      </c>
      <c r="S197" s="22" t="s">
        <v>34</v>
      </c>
      <c r="T197" s="22"/>
      <c r="U197" s="22"/>
      <c r="V197" s="22"/>
      <c r="W197" s="22"/>
      <c r="X197" s="22"/>
      <c r="Y197" s="22"/>
      <c r="Z197" s="22"/>
      <c r="AA197" s="22"/>
      <c r="AB197" s="22"/>
      <c r="AC197" s="22" t="s">
        <v>1912</v>
      </c>
      <c r="AD197" s="22">
        <v>20170413</v>
      </c>
      <c r="AE197" s="22">
        <v>196</v>
      </c>
      <c r="AF197" s="22"/>
      <c r="AG197" s="22" t="str">
        <f>IFERROR(VLOOKUP(TblFeedFile[[#This Row],[Leave Type ]],LkupPayType[],2,FALSE),"TBD")</f>
        <v>Unpaid</v>
      </c>
      <c r="AH197" s="22"/>
      <c r="AI197" s="25"/>
      <c r="AJ197" s="25"/>
      <c r="AK197" s="26"/>
    </row>
    <row r="198" spans="1:37" x14ac:dyDescent="0.25">
      <c r="A198" s="21" t="s">
        <v>37</v>
      </c>
      <c r="B198" s="22">
        <v>314301</v>
      </c>
      <c r="C198" s="22">
        <v>21888879</v>
      </c>
      <c r="D198" s="23" t="s">
        <v>2204</v>
      </c>
      <c r="E198" s="22" t="s">
        <v>2205</v>
      </c>
      <c r="F198" s="22" t="s">
        <v>2206</v>
      </c>
      <c r="G198" s="22">
        <v>20170109</v>
      </c>
      <c r="H198" s="22">
        <v>20170709</v>
      </c>
      <c r="I198" s="22" t="s">
        <v>49</v>
      </c>
      <c r="J198" s="22"/>
      <c r="K198" s="22"/>
      <c r="L198" s="22" t="s">
        <v>34</v>
      </c>
      <c r="M198" s="22" t="s">
        <v>34</v>
      </c>
      <c r="N198" s="22" t="s">
        <v>35</v>
      </c>
      <c r="O198" s="22" t="s">
        <v>35</v>
      </c>
      <c r="P198" s="22" t="s">
        <v>35</v>
      </c>
      <c r="Q198" s="22" t="s">
        <v>35</v>
      </c>
      <c r="R198" s="22" t="s">
        <v>35</v>
      </c>
      <c r="S198" s="22" t="s">
        <v>34</v>
      </c>
      <c r="T198" s="22"/>
      <c r="U198" s="22"/>
      <c r="V198" s="22"/>
      <c r="W198" s="22"/>
      <c r="X198" s="22"/>
      <c r="Y198" s="22"/>
      <c r="Z198" s="22"/>
      <c r="AA198" s="22"/>
      <c r="AB198" s="22"/>
      <c r="AC198" s="22" t="s">
        <v>1912</v>
      </c>
      <c r="AD198" s="22">
        <v>20170413</v>
      </c>
      <c r="AE198" s="22">
        <v>197</v>
      </c>
      <c r="AF198" s="22"/>
      <c r="AG198" s="22" t="str">
        <f>IFERROR(VLOOKUP(TblFeedFile[[#This Row],[Leave Type ]],LkupPayType[],2,FALSE),"TBD")</f>
        <v>Unpaid</v>
      </c>
      <c r="AH198" s="22"/>
      <c r="AI198" s="25"/>
      <c r="AJ198" s="25"/>
      <c r="AK198" s="26"/>
    </row>
    <row r="199" spans="1:37" x14ac:dyDescent="0.25">
      <c r="A199" s="21" t="s">
        <v>37</v>
      </c>
      <c r="B199" s="22">
        <v>314304</v>
      </c>
      <c r="C199" s="22">
        <v>21948475</v>
      </c>
      <c r="D199" s="23">
        <v>571704138677</v>
      </c>
      <c r="E199" s="22" t="s">
        <v>51</v>
      </c>
      <c r="F199" s="22" t="s">
        <v>2207</v>
      </c>
      <c r="G199" s="22">
        <v>20170406</v>
      </c>
      <c r="H199" s="22">
        <v>20170901</v>
      </c>
      <c r="I199" s="22" t="s">
        <v>53</v>
      </c>
      <c r="J199" s="22"/>
      <c r="K199" s="22"/>
      <c r="L199" s="22" t="s">
        <v>34</v>
      </c>
      <c r="M199" s="22" t="s">
        <v>34</v>
      </c>
      <c r="N199" s="22" t="s">
        <v>35</v>
      </c>
      <c r="O199" s="22" t="s">
        <v>35</v>
      </c>
      <c r="P199" s="22" t="s">
        <v>35</v>
      </c>
      <c r="Q199" s="22" t="s">
        <v>35</v>
      </c>
      <c r="R199" s="22" t="s">
        <v>35</v>
      </c>
      <c r="S199" s="22" t="s">
        <v>34</v>
      </c>
      <c r="T199" s="22"/>
      <c r="U199" s="22"/>
      <c r="V199" s="22"/>
      <c r="W199" s="22"/>
      <c r="X199" s="22"/>
      <c r="Y199" s="22"/>
      <c r="Z199" s="22"/>
      <c r="AA199" s="22"/>
      <c r="AB199" s="22"/>
      <c r="AC199" s="22" t="s">
        <v>1912</v>
      </c>
      <c r="AD199" s="22">
        <v>20170413</v>
      </c>
      <c r="AE199" s="22">
        <v>198</v>
      </c>
      <c r="AF199" s="22"/>
      <c r="AG199" s="22" t="str">
        <f>IFERROR(VLOOKUP(TblFeedFile[[#This Row],[Leave Type ]],LkupPayType[],2,FALSE),"TBD")</f>
        <v>Paid</v>
      </c>
      <c r="AH199" s="22"/>
      <c r="AI199" s="25"/>
      <c r="AJ199" s="25"/>
      <c r="AK199" s="26"/>
    </row>
    <row r="200" spans="1:37" x14ac:dyDescent="0.25">
      <c r="A200" s="21" t="s">
        <v>37</v>
      </c>
      <c r="B200" s="22">
        <v>314304</v>
      </c>
      <c r="C200" s="22">
        <v>21958706</v>
      </c>
      <c r="D200" s="23" t="s">
        <v>2208</v>
      </c>
      <c r="E200" s="22" t="s">
        <v>1778</v>
      </c>
      <c r="F200" s="22" t="s">
        <v>2209</v>
      </c>
      <c r="G200" s="22">
        <v>20170222</v>
      </c>
      <c r="H200" s="22">
        <v>20170416</v>
      </c>
      <c r="I200" s="22" t="s">
        <v>36</v>
      </c>
      <c r="J200" s="22"/>
      <c r="K200" s="22"/>
      <c r="L200" s="22" t="s">
        <v>34</v>
      </c>
      <c r="M200" s="22" t="s">
        <v>34</v>
      </c>
      <c r="N200" s="22" t="s">
        <v>35</v>
      </c>
      <c r="O200" s="22" t="s">
        <v>35</v>
      </c>
      <c r="P200" s="22" t="s">
        <v>35</v>
      </c>
      <c r="Q200" s="22" t="s">
        <v>35</v>
      </c>
      <c r="R200" s="22" t="s">
        <v>35</v>
      </c>
      <c r="S200" s="22" t="s">
        <v>34</v>
      </c>
      <c r="T200" s="22">
        <v>20170417</v>
      </c>
      <c r="U200" s="22"/>
      <c r="V200" s="22"/>
      <c r="W200" s="22"/>
      <c r="X200" s="22"/>
      <c r="Y200" s="22"/>
      <c r="Z200" s="22"/>
      <c r="AA200" s="22"/>
      <c r="AB200" s="22"/>
      <c r="AC200" s="22" t="s">
        <v>1897</v>
      </c>
      <c r="AD200" s="22">
        <v>20170413</v>
      </c>
      <c r="AE200" s="22">
        <v>199</v>
      </c>
      <c r="AF200" s="22"/>
      <c r="AG200" s="22" t="str">
        <f>IFERROR(VLOOKUP(TblFeedFile[[#This Row],[Leave Type ]],LkupPayType[],2,FALSE),"TBD")</f>
        <v>Unpaid</v>
      </c>
      <c r="AH200" s="22"/>
      <c r="AI200" s="25"/>
      <c r="AJ200" s="25"/>
      <c r="AK200" s="26" t="s">
        <v>35</v>
      </c>
    </row>
    <row r="201" spans="1:37" x14ac:dyDescent="0.25">
      <c r="A201" s="21" t="s">
        <v>29</v>
      </c>
      <c r="B201" s="22">
        <v>314304</v>
      </c>
      <c r="C201" s="22">
        <v>21970151</v>
      </c>
      <c r="D201" s="23">
        <v>561703298906</v>
      </c>
      <c r="E201" s="22" t="s">
        <v>2210</v>
      </c>
      <c r="F201" s="22" t="s">
        <v>2211</v>
      </c>
      <c r="G201" s="22">
        <v>20170405</v>
      </c>
      <c r="H201" s="22">
        <v>20170428</v>
      </c>
      <c r="I201" s="22" t="s">
        <v>40</v>
      </c>
      <c r="J201" s="22"/>
      <c r="K201" s="22"/>
      <c r="L201" s="22" t="s">
        <v>34</v>
      </c>
      <c r="M201" s="22" t="s">
        <v>34</v>
      </c>
      <c r="N201" s="22" t="s">
        <v>35</v>
      </c>
      <c r="O201" s="22" t="s">
        <v>35</v>
      </c>
      <c r="P201" s="22" t="s">
        <v>35</v>
      </c>
      <c r="Q201" s="22" t="s">
        <v>35</v>
      </c>
      <c r="R201" s="22" t="s">
        <v>35</v>
      </c>
      <c r="S201" s="22" t="s">
        <v>34</v>
      </c>
      <c r="T201" s="22"/>
      <c r="U201" s="22"/>
      <c r="V201" s="22"/>
      <c r="W201" s="22"/>
      <c r="X201" s="22"/>
      <c r="Y201" s="22"/>
      <c r="Z201" s="22"/>
      <c r="AA201" s="22"/>
      <c r="AB201" s="22"/>
      <c r="AC201" s="22" t="s">
        <v>1912</v>
      </c>
      <c r="AD201" s="22">
        <v>20170413</v>
      </c>
      <c r="AE201" s="22">
        <v>200</v>
      </c>
      <c r="AF201" s="22"/>
      <c r="AG201" s="22" t="str">
        <f>IFERROR(VLOOKUP(TblFeedFile[[#This Row],[Leave Type ]],LkupPayType[],2,FALSE),"TBD")</f>
        <v>Paid</v>
      </c>
      <c r="AH201" s="22"/>
      <c r="AI201" s="25"/>
      <c r="AJ201" s="25"/>
      <c r="AK201" s="26"/>
    </row>
    <row r="202" spans="1:37" x14ac:dyDescent="0.25">
      <c r="A202" s="21" t="s">
        <v>29</v>
      </c>
      <c r="B202" s="22">
        <v>314304</v>
      </c>
      <c r="C202" s="22">
        <v>21970151</v>
      </c>
      <c r="D202" s="23" t="s">
        <v>2212</v>
      </c>
      <c r="E202" s="22" t="s">
        <v>2210</v>
      </c>
      <c r="F202" s="22" t="s">
        <v>2211</v>
      </c>
      <c r="G202" s="22">
        <v>20170330</v>
      </c>
      <c r="H202" s="22">
        <v>20170330</v>
      </c>
      <c r="I202" s="22" t="s">
        <v>33</v>
      </c>
      <c r="J202" s="22"/>
      <c r="K202" s="22"/>
      <c r="L202" s="22" t="s">
        <v>34</v>
      </c>
      <c r="M202" s="22" t="s">
        <v>34</v>
      </c>
      <c r="N202" s="22" t="s">
        <v>35</v>
      </c>
      <c r="O202" s="22" t="s">
        <v>35</v>
      </c>
      <c r="P202" s="22" t="s">
        <v>35</v>
      </c>
      <c r="Q202" s="22" t="s">
        <v>35</v>
      </c>
      <c r="R202" s="22" t="s">
        <v>35</v>
      </c>
      <c r="S202" s="22" t="s">
        <v>34</v>
      </c>
      <c r="T202" s="22"/>
      <c r="U202" s="22"/>
      <c r="V202" s="22"/>
      <c r="W202" s="22"/>
      <c r="X202" s="22"/>
      <c r="Y202" s="22"/>
      <c r="Z202" s="22"/>
      <c r="AA202" s="22"/>
      <c r="AB202" s="22"/>
      <c r="AC202" s="22" t="s">
        <v>1917</v>
      </c>
      <c r="AD202" s="22">
        <v>20170413</v>
      </c>
      <c r="AE202" s="22">
        <v>201</v>
      </c>
      <c r="AF202" s="22"/>
      <c r="AG202" s="22" t="str">
        <f>IFERROR(VLOOKUP(TblFeedFile[[#This Row],[Leave Type ]],LkupPayType[],2,FALSE),"TBD")</f>
        <v>Closed</v>
      </c>
      <c r="AH202" s="22"/>
      <c r="AI202" s="25"/>
      <c r="AJ202" s="25"/>
      <c r="AK202" s="26"/>
    </row>
    <row r="203" spans="1:37" x14ac:dyDescent="0.25">
      <c r="A203" s="21" t="s">
        <v>37</v>
      </c>
      <c r="B203" s="22">
        <v>314304</v>
      </c>
      <c r="C203" s="22">
        <v>21970151</v>
      </c>
      <c r="D203" s="23">
        <v>561703298906</v>
      </c>
      <c r="E203" s="22" t="s">
        <v>2210</v>
      </c>
      <c r="F203" s="22" t="s">
        <v>2211</v>
      </c>
      <c r="G203" s="22">
        <v>20170405</v>
      </c>
      <c r="H203" s="22">
        <v>20170604</v>
      </c>
      <c r="I203" s="22" t="s">
        <v>40</v>
      </c>
      <c r="J203" s="22"/>
      <c r="K203" s="22"/>
      <c r="L203" s="22" t="s">
        <v>34</v>
      </c>
      <c r="M203" s="22" t="s">
        <v>34</v>
      </c>
      <c r="N203" s="22" t="s">
        <v>35</v>
      </c>
      <c r="O203" s="22" t="s">
        <v>35</v>
      </c>
      <c r="P203" s="22" t="s">
        <v>35</v>
      </c>
      <c r="Q203" s="22" t="s">
        <v>35</v>
      </c>
      <c r="R203" s="22" t="s">
        <v>35</v>
      </c>
      <c r="S203" s="22" t="s">
        <v>34</v>
      </c>
      <c r="T203" s="22"/>
      <c r="U203" s="22"/>
      <c r="V203" s="22"/>
      <c r="W203" s="22"/>
      <c r="X203" s="22"/>
      <c r="Y203" s="22"/>
      <c r="Z203" s="22"/>
      <c r="AA203" s="22"/>
      <c r="AB203" s="22"/>
      <c r="AC203" s="22" t="s">
        <v>1912</v>
      </c>
      <c r="AD203" s="22">
        <v>20170413</v>
      </c>
      <c r="AE203" s="22">
        <v>202</v>
      </c>
      <c r="AF203" s="22"/>
      <c r="AG203" s="22" t="str">
        <f>IFERROR(VLOOKUP(TblFeedFile[[#This Row],[Leave Type ]],LkupPayType[],2,FALSE),"TBD")</f>
        <v>Paid</v>
      </c>
      <c r="AH203" s="22"/>
      <c r="AI203" s="25" t="s">
        <v>35</v>
      </c>
      <c r="AJ203" s="25"/>
      <c r="AK203" s="26"/>
    </row>
    <row r="204" spans="1:37" x14ac:dyDescent="0.25">
      <c r="A204" s="21" t="s">
        <v>37</v>
      </c>
      <c r="B204" s="22">
        <v>314304</v>
      </c>
      <c r="C204" s="22">
        <v>21986762</v>
      </c>
      <c r="D204" s="23">
        <v>571704068457</v>
      </c>
      <c r="E204" s="22" t="s">
        <v>934</v>
      </c>
      <c r="F204" s="22" t="s">
        <v>2213</v>
      </c>
      <c r="G204" s="22">
        <v>20170403</v>
      </c>
      <c r="H204" s="22">
        <v>20170906</v>
      </c>
      <c r="I204" s="22" t="s">
        <v>53</v>
      </c>
      <c r="J204" s="22"/>
      <c r="K204" s="22"/>
      <c r="L204" s="22" t="s">
        <v>34</v>
      </c>
      <c r="M204" s="22" t="s">
        <v>34</v>
      </c>
      <c r="N204" s="22" t="s">
        <v>35</v>
      </c>
      <c r="O204" s="22" t="s">
        <v>35</v>
      </c>
      <c r="P204" s="22" t="s">
        <v>35</v>
      </c>
      <c r="Q204" s="22" t="s">
        <v>35</v>
      </c>
      <c r="R204" s="22" t="s">
        <v>35</v>
      </c>
      <c r="S204" s="22" t="s">
        <v>34</v>
      </c>
      <c r="T204" s="22"/>
      <c r="U204" s="22"/>
      <c r="V204" s="22"/>
      <c r="W204" s="22"/>
      <c r="X204" s="22"/>
      <c r="Y204" s="22"/>
      <c r="Z204" s="22"/>
      <c r="AA204" s="22"/>
      <c r="AB204" s="22"/>
      <c r="AC204" s="22" t="s">
        <v>1912</v>
      </c>
      <c r="AD204" s="22">
        <v>20170413</v>
      </c>
      <c r="AE204" s="22">
        <v>203</v>
      </c>
      <c r="AF204" s="22"/>
      <c r="AG204" s="22" t="str">
        <f>IFERROR(VLOOKUP(TblFeedFile[[#This Row],[Leave Type ]],LkupPayType[],2,FALSE),"TBD")</f>
        <v>Paid</v>
      </c>
      <c r="AH204" s="22"/>
      <c r="AI204" s="25"/>
      <c r="AJ204" s="25"/>
      <c r="AK204" s="26"/>
    </row>
    <row r="205" spans="1:37" x14ac:dyDescent="0.25">
      <c r="A205" s="21" t="s">
        <v>37</v>
      </c>
      <c r="B205" s="22">
        <v>314304</v>
      </c>
      <c r="C205" s="22">
        <v>21986762</v>
      </c>
      <c r="D205" s="23">
        <v>571704068457</v>
      </c>
      <c r="E205" s="22" t="s">
        <v>934</v>
      </c>
      <c r="F205" s="22" t="s">
        <v>2213</v>
      </c>
      <c r="G205" s="22">
        <v>20170410</v>
      </c>
      <c r="H205" s="22">
        <v>20170906</v>
      </c>
      <c r="I205" s="22" t="s">
        <v>40</v>
      </c>
      <c r="J205" s="22"/>
      <c r="K205" s="22"/>
      <c r="L205" s="22" t="s">
        <v>34</v>
      </c>
      <c r="M205" s="22" t="s">
        <v>34</v>
      </c>
      <c r="N205" s="22" t="s">
        <v>35</v>
      </c>
      <c r="O205" s="22" t="s">
        <v>35</v>
      </c>
      <c r="P205" s="22" t="s">
        <v>35</v>
      </c>
      <c r="Q205" s="22" t="s">
        <v>35</v>
      </c>
      <c r="R205" s="22" t="s">
        <v>35</v>
      </c>
      <c r="S205" s="22" t="s">
        <v>34</v>
      </c>
      <c r="T205" s="22"/>
      <c r="U205" s="22"/>
      <c r="V205" s="22"/>
      <c r="W205" s="22"/>
      <c r="X205" s="22"/>
      <c r="Y205" s="22"/>
      <c r="Z205" s="22"/>
      <c r="AA205" s="22"/>
      <c r="AB205" s="22"/>
      <c r="AC205" s="22" t="s">
        <v>1908</v>
      </c>
      <c r="AD205" s="22">
        <v>20170413</v>
      </c>
      <c r="AE205" s="22">
        <v>204</v>
      </c>
      <c r="AF205" s="22"/>
      <c r="AG205" s="22" t="str">
        <f>IFERROR(VLOOKUP(TblFeedFile[[#This Row],[Leave Type ]],LkupPayType[],2,FALSE),"TBD")</f>
        <v>Paid</v>
      </c>
      <c r="AH205" s="22"/>
      <c r="AI205" s="25"/>
      <c r="AJ205" s="25"/>
      <c r="AK205" s="26"/>
    </row>
    <row r="206" spans="1:37" x14ac:dyDescent="0.25">
      <c r="A206" s="21" t="s">
        <v>29</v>
      </c>
      <c r="B206" s="22">
        <v>314304</v>
      </c>
      <c r="C206" s="22">
        <v>21987339</v>
      </c>
      <c r="D206" s="23" t="s">
        <v>2214</v>
      </c>
      <c r="E206" s="22" t="s">
        <v>1048</v>
      </c>
      <c r="F206" s="22" t="s">
        <v>504</v>
      </c>
      <c r="G206" s="22">
        <v>20170329</v>
      </c>
      <c r="H206" s="22">
        <v>20170426</v>
      </c>
      <c r="I206" s="22" t="s">
        <v>49</v>
      </c>
      <c r="J206" s="22"/>
      <c r="K206" s="22"/>
      <c r="L206" s="22" t="s">
        <v>34</v>
      </c>
      <c r="M206" s="22" t="s">
        <v>34</v>
      </c>
      <c r="N206" s="22" t="s">
        <v>35</v>
      </c>
      <c r="O206" s="22" t="s">
        <v>35</v>
      </c>
      <c r="P206" s="22" t="s">
        <v>35</v>
      </c>
      <c r="Q206" s="22" t="s">
        <v>35</v>
      </c>
      <c r="R206" s="22" t="s">
        <v>35</v>
      </c>
      <c r="S206" s="22" t="s">
        <v>34</v>
      </c>
      <c r="T206" s="22"/>
      <c r="U206" s="22"/>
      <c r="V206" s="22"/>
      <c r="W206" s="22"/>
      <c r="X206" s="22"/>
      <c r="Y206" s="22"/>
      <c r="Z206" s="22"/>
      <c r="AA206" s="22"/>
      <c r="AB206" s="22"/>
      <c r="AC206" s="22" t="s">
        <v>1936</v>
      </c>
      <c r="AD206" s="22">
        <v>20170413</v>
      </c>
      <c r="AE206" s="22">
        <v>205</v>
      </c>
      <c r="AF206" s="22"/>
      <c r="AG206" s="22" t="str">
        <f>IFERROR(VLOOKUP(TblFeedFile[[#This Row],[Leave Type ]],LkupPayType[],2,FALSE),"TBD")</f>
        <v>Unpaid</v>
      </c>
      <c r="AH206" s="22"/>
      <c r="AI206" s="25"/>
      <c r="AJ206" s="25"/>
      <c r="AK206" s="26"/>
    </row>
    <row r="207" spans="1:37" x14ac:dyDescent="0.25">
      <c r="A207" s="21" t="s">
        <v>37</v>
      </c>
      <c r="B207" s="22">
        <v>314304</v>
      </c>
      <c r="C207" s="22">
        <v>21987339</v>
      </c>
      <c r="D207" s="23" t="s">
        <v>2214</v>
      </c>
      <c r="E207" s="22" t="s">
        <v>1048</v>
      </c>
      <c r="F207" s="22" t="s">
        <v>504</v>
      </c>
      <c r="G207" s="22">
        <v>20170329</v>
      </c>
      <c r="H207" s="22">
        <v>20170508</v>
      </c>
      <c r="I207" s="22" t="s">
        <v>49</v>
      </c>
      <c r="J207" s="22"/>
      <c r="K207" s="22"/>
      <c r="L207" s="22" t="s">
        <v>34</v>
      </c>
      <c r="M207" s="22" t="s">
        <v>34</v>
      </c>
      <c r="N207" s="22" t="s">
        <v>35</v>
      </c>
      <c r="O207" s="22" t="s">
        <v>35</v>
      </c>
      <c r="P207" s="22" t="s">
        <v>35</v>
      </c>
      <c r="Q207" s="22" t="s">
        <v>35</v>
      </c>
      <c r="R207" s="22" t="s">
        <v>35</v>
      </c>
      <c r="S207" s="22" t="s">
        <v>34</v>
      </c>
      <c r="T207" s="22"/>
      <c r="U207" s="22"/>
      <c r="V207" s="22"/>
      <c r="W207" s="22"/>
      <c r="X207" s="22"/>
      <c r="Y207" s="22"/>
      <c r="Z207" s="22"/>
      <c r="AA207" s="22"/>
      <c r="AB207" s="22"/>
      <c r="AC207" s="22" t="s">
        <v>1936</v>
      </c>
      <c r="AD207" s="22">
        <v>20170413</v>
      </c>
      <c r="AE207" s="22">
        <v>206</v>
      </c>
      <c r="AF207" s="22"/>
      <c r="AG207" s="22" t="str">
        <f>IFERROR(VLOOKUP(TblFeedFile[[#This Row],[Leave Type ]],LkupPayType[],2,FALSE),"TBD")</f>
        <v>Unpaid</v>
      </c>
      <c r="AH207" s="22"/>
      <c r="AI207" s="25"/>
      <c r="AJ207" s="25"/>
      <c r="AK207" s="26"/>
    </row>
    <row r="208" spans="1:37" x14ac:dyDescent="0.25">
      <c r="A208" s="21" t="s">
        <v>29</v>
      </c>
      <c r="B208" s="22">
        <v>314304</v>
      </c>
      <c r="C208" s="22">
        <v>22002095</v>
      </c>
      <c r="D208" s="23">
        <v>541703158514</v>
      </c>
      <c r="E208" s="22" t="s">
        <v>2215</v>
      </c>
      <c r="F208" s="22" t="s">
        <v>2216</v>
      </c>
      <c r="G208" s="22">
        <v>20170316</v>
      </c>
      <c r="H208" s="22">
        <v>20170316</v>
      </c>
      <c r="I208" s="22" t="s">
        <v>43</v>
      </c>
      <c r="J208" s="22"/>
      <c r="K208" s="22"/>
      <c r="L208" s="22" t="s">
        <v>34</v>
      </c>
      <c r="M208" s="22" t="s">
        <v>34</v>
      </c>
      <c r="N208" s="22" t="s">
        <v>35</v>
      </c>
      <c r="O208" s="22" t="s">
        <v>35</v>
      </c>
      <c r="P208" s="22" t="s">
        <v>35</v>
      </c>
      <c r="Q208" s="22" t="s">
        <v>35</v>
      </c>
      <c r="R208" s="22" t="s">
        <v>35</v>
      </c>
      <c r="S208" s="22" t="s">
        <v>34</v>
      </c>
      <c r="T208" s="22"/>
      <c r="U208" s="22"/>
      <c r="V208" s="22"/>
      <c r="W208" s="22"/>
      <c r="X208" s="22"/>
      <c r="Y208" s="22"/>
      <c r="Z208" s="22"/>
      <c r="AA208" s="22"/>
      <c r="AB208" s="22"/>
      <c r="AC208" s="22" t="s">
        <v>1905</v>
      </c>
      <c r="AD208" s="22">
        <v>20170413</v>
      </c>
      <c r="AE208" s="22">
        <v>207</v>
      </c>
      <c r="AF208" s="22"/>
      <c r="AG208" s="22" t="str">
        <f>IFERROR(VLOOKUP(TblFeedFile[[#This Row],[Leave Type ]],LkupPayType[],2,FALSE),"TBD")</f>
        <v>Denied</v>
      </c>
      <c r="AH208" s="22"/>
      <c r="AI208" s="25"/>
      <c r="AJ208" s="25"/>
      <c r="AK208" s="26"/>
    </row>
    <row r="209" spans="1:37" x14ac:dyDescent="0.25">
      <c r="A209" s="21" t="s">
        <v>37</v>
      </c>
      <c r="B209" s="22">
        <v>314304</v>
      </c>
      <c r="C209" s="22">
        <v>22002095</v>
      </c>
      <c r="D209" s="23" t="s">
        <v>2217</v>
      </c>
      <c r="E209" s="22" t="s">
        <v>2215</v>
      </c>
      <c r="F209" s="22" t="s">
        <v>2216</v>
      </c>
      <c r="G209" s="22">
        <v>20170316</v>
      </c>
      <c r="H209" s="22">
        <v>20170316</v>
      </c>
      <c r="I209" s="22" t="s">
        <v>33</v>
      </c>
      <c r="J209" s="22"/>
      <c r="K209" s="22"/>
      <c r="L209" s="22" t="s">
        <v>34</v>
      </c>
      <c r="M209" s="22" t="s">
        <v>34</v>
      </c>
      <c r="N209" s="22" t="s">
        <v>35</v>
      </c>
      <c r="O209" s="22" t="s">
        <v>35</v>
      </c>
      <c r="P209" s="22" t="s">
        <v>35</v>
      </c>
      <c r="Q209" s="22" t="s">
        <v>35</v>
      </c>
      <c r="R209" s="22" t="s">
        <v>35</v>
      </c>
      <c r="S209" s="22" t="s">
        <v>34</v>
      </c>
      <c r="T209" s="22"/>
      <c r="U209" s="22"/>
      <c r="V209" s="22"/>
      <c r="W209" s="22"/>
      <c r="X209" s="22"/>
      <c r="Y209" s="22"/>
      <c r="Z209" s="22"/>
      <c r="AA209" s="22"/>
      <c r="AB209" s="22"/>
      <c r="AC209" s="22" t="s">
        <v>1905</v>
      </c>
      <c r="AD209" s="22">
        <v>20170413</v>
      </c>
      <c r="AE209" s="22">
        <v>208</v>
      </c>
      <c r="AF209" s="22"/>
      <c r="AG209" s="22" t="str">
        <f>IFERROR(VLOOKUP(TblFeedFile[[#This Row],[Leave Type ]],LkupPayType[],2,FALSE),"TBD")</f>
        <v>Closed</v>
      </c>
      <c r="AH209" s="22"/>
      <c r="AI209" s="25"/>
      <c r="AJ209" s="25"/>
      <c r="AK209" s="26"/>
    </row>
    <row r="210" spans="1:37" x14ac:dyDescent="0.25">
      <c r="A210" s="21" t="s">
        <v>37</v>
      </c>
      <c r="B210" s="22">
        <v>314304</v>
      </c>
      <c r="C210" s="22">
        <v>22002095</v>
      </c>
      <c r="D210" s="23">
        <v>541703158514</v>
      </c>
      <c r="E210" s="22" t="s">
        <v>2215</v>
      </c>
      <c r="F210" s="22" t="s">
        <v>2216</v>
      </c>
      <c r="G210" s="22">
        <v>20170316</v>
      </c>
      <c r="H210" s="22">
        <v>20170914</v>
      </c>
      <c r="I210" s="22" t="s">
        <v>53</v>
      </c>
      <c r="J210" s="22"/>
      <c r="K210" s="22"/>
      <c r="L210" s="22" t="s">
        <v>34</v>
      </c>
      <c r="M210" s="22" t="s">
        <v>34</v>
      </c>
      <c r="N210" s="22" t="s">
        <v>35</v>
      </c>
      <c r="O210" s="22" t="s">
        <v>35</v>
      </c>
      <c r="P210" s="22" t="s">
        <v>35</v>
      </c>
      <c r="Q210" s="22" t="s">
        <v>35</v>
      </c>
      <c r="R210" s="22" t="s">
        <v>35</v>
      </c>
      <c r="S210" s="22" t="s">
        <v>34</v>
      </c>
      <c r="T210" s="22"/>
      <c r="U210" s="22"/>
      <c r="V210" s="22"/>
      <c r="W210" s="22"/>
      <c r="X210" s="22"/>
      <c r="Y210" s="22"/>
      <c r="Z210" s="22"/>
      <c r="AA210" s="22"/>
      <c r="AB210" s="22"/>
      <c r="AC210" s="22" t="s">
        <v>1896</v>
      </c>
      <c r="AD210" s="22">
        <v>20170413</v>
      </c>
      <c r="AE210" s="22">
        <v>209</v>
      </c>
      <c r="AF210" s="22"/>
      <c r="AG210" s="22" t="str">
        <f>IFERROR(VLOOKUP(TblFeedFile[[#This Row],[Leave Type ]],LkupPayType[],2,FALSE),"TBD")</f>
        <v>Paid</v>
      </c>
      <c r="AH210" s="22"/>
      <c r="AI210" s="25"/>
      <c r="AJ210" s="25"/>
      <c r="AK210" s="26"/>
    </row>
    <row r="211" spans="1:37" x14ac:dyDescent="0.25">
      <c r="A211" s="21" t="s">
        <v>37</v>
      </c>
      <c r="B211" s="22">
        <v>314304</v>
      </c>
      <c r="C211" s="22">
        <v>22002095</v>
      </c>
      <c r="D211" s="23" t="s">
        <v>2217</v>
      </c>
      <c r="E211" s="22" t="s">
        <v>2215</v>
      </c>
      <c r="F211" s="22" t="s">
        <v>2216</v>
      </c>
      <c r="G211" s="22">
        <v>20170323</v>
      </c>
      <c r="H211" s="22">
        <v>20170914</v>
      </c>
      <c r="I211" s="22" t="s">
        <v>36</v>
      </c>
      <c r="J211" s="22"/>
      <c r="K211" s="22"/>
      <c r="L211" s="22" t="s">
        <v>34</v>
      </c>
      <c r="M211" s="22" t="s">
        <v>34</v>
      </c>
      <c r="N211" s="22" t="s">
        <v>35</v>
      </c>
      <c r="O211" s="22" t="s">
        <v>35</v>
      </c>
      <c r="P211" s="22" t="s">
        <v>35</v>
      </c>
      <c r="Q211" s="22" t="s">
        <v>35</v>
      </c>
      <c r="R211" s="22" t="s">
        <v>35</v>
      </c>
      <c r="S211" s="22" t="s">
        <v>34</v>
      </c>
      <c r="T211" s="22"/>
      <c r="U211" s="22"/>
      <c r="V211" s="22"/>
      <c r="W211" s="22"/>
      <c r="X211" s="22"/>
      <c r="Y211" s="22"/>
      <c r="Z211" s="22"/>
      <c r="AA211" s="22"/>
      <c r="AB211" s="22"/>
      <c r="AC211" s="22" t="s">
        <v>1921</v>
      </c>
      <c r="AD211" s="22">
        <v>20170413</v>
      </c>
      <c r="AE211" s="22">
        <v>210</v>
      </c>
      <c r="AF211" s="22"/>
      <c r="AG211" s="22" t="str">
        <f>IFERROR(VLOOKUP(TblFeedFile[[#This Row],[Leave Type ]],LkupPayType[],2,FALSE),"TBD")</f>
        <v>Unpaid</v>
      </c>
      <c r="AH211" s="22"/>
      <c r="AI211" s="25"/>
      <c r="AJ211" s="25"/>
      <c r="AK211" s="26"/>
    </row>
    <row r="212" spans="1:37" x14ac:dyDescent="0.25">
      <c r="A212" s="21" t="s">
        <v>37</v>
      </c>
      <c r="B212" s="22">
        <v>314304</v>
      </c>
      <c r="C212" s="22">
        <v>22067374</v>
      </c>
      <c r="D212" s="23">
        <v>521704035452</v>
      </c>
      <c r="E212" s="22" t="s">
        <v>2218</v>
      </c>
      <c r="F212" s="22" t="s">
        <v>2219</v>
      </c>
      <c r="G212" s="22">
        <v>20170404</v>
      </c>
      <c r="H212" s="22">
        <v>20170504</v>
      </c>
      <c r="I212" s="22" t="s">
        <v>53</v>
      </c>
      <c r="J212" s="22"/>
      <c r="K212" s="22"/>
      <c r="L212" s="22" t="s">
        <v>34</v>
      </c>
      <c r="M212" s="22" t="s">
        <v>34</v>
      </c>
      <c r="N212" s="22" t="s">
        <v>35</v>
      </c>
      <c r="O212" s="22" t="s">
        <v>35</v>
      </c>
      <c r="P212" s="22" t="s">
        <v>35</v>
      </c>
      <c r="Q212" s="22" t="s">
        <v>35</v>
      </c>
      <c r="R212" s="22" t="s">
        <v>35</v>
      </c>
      <c r="S212" s="22" t="s">
        <v>34</v>
      </c>
      <c r="T212" s="22"/>
      <c r="U212" s="22"/>
      <c r="V212" s="22"/>
      <c r="W212" s="22"/>
      <c r="X212" s="22"/>
      <c r="Y212" s="22"/>
      <c r="Z212" s="22"/>
      <c r="AA212" s="22"/>
      <c r="AB212" s="22"/>
      <c r="AC212" s="22" t="s">
        <v>1902</v>
      </c>
      <c r="AD212" s="22">
        <v>20170413</v>
      </c>
      <c r="AE212" s="22">
        <v>211</v>
      </c>
      <c r="AF212" s="22"/>
      <c r="AG212" s="22" t="str">
        <f>IFERROR(VLOOKUP(TblFeedFile[[#This Row],[Leave Type ]],LkupPayType[],2,FALSE),"TBD")</f>
        <v>Paid</v>
      </c>
      <c r="AH212" s="22"/>
      <c r="AI212" s="25"/>
      <c r="AJ212" s="25"/>
      <c r="AK212" s="26"/>
    </row>
    <row r="213" spans="1:37" x14ac:dyDescent="0.25">
      <c r="A213" s="21" t="s">
        <v>37</v>
      </c>
      <c r="B213" s="22">
        <v>314304</v>
      </c>
      <c r="C213" s="22">
        <v>22067374</v>
      </c>
      <c r="D213" s="23">
        <v>521704035452</v>
      </c>
      <c r="E213" s="22" t="s">
        <v>2218</v>
      </c>
      <c r="F213" s="22" t="s">
        <v>2219</v>
      </c>
      <c r="G213" s="22">
        <v>20170411</v>
      </c>
      <c r="H213" s="22">
        <v>20170504</v>
      </c>
      <c r="I213" s="22" t="s">
        <v>40</v>
      </c>
      <c r="J213" s="22"/>
      <c r="K213" s="22"/>
      <c r="L213" s="22" t="s">
        <v>34</v>
      </c>
      <c r="M213" s="22" t="s">
        <v>34</v>
      </c>
      <c r="N213" s="22" t="s">
        <v>35</v>
      </c>
      <c r="O213" s="22" t="s">
        <v>35</v>
      </c>
      <c r="P213" s="22" t="s">
        <v>35</v>
      </c>
      <c r="Q213" s="22" t="s">
        <v>35</v>
      </c>
      <c r="R213" s="22" t="s">
        <v>35</v>
      </c>
      <c r="S213" s="22" t="s">
        <v>34</v>
      </c>
      <c r="T213" s="22"/>
      <c r="U213" s="22"/>
      <c r="V213" s="22"/>
      <c r="W213" s="22"/>
      <c r="X213" s="22"/>
      <c r="Y213" s="22"/>
      <c r="Z213" s="22"/>
      <c r="AA213" s="22"/>
      <c r="AB213" s="22"/>
      <c r="AC213" s="22" t="s">
        <v>1916</v>
      </c>
      <c r="AD213" s="22">
        <v>20170413</v>
      </c>
      <c r="AE213" s="22">
        <v>212</v>
      </c>
      <c r="AF213" s="22"/>
      <c r="AG213" s="22" t="str">
        <f>IFERROR(VLOOKUP(TblFeedFile[[#This Row],[Leave Type ]],LkupPayType[],2,FALSE),"TBD")</f>
        <v>Paid</v>
      </c>
      <c r="AH213" s="22"/>
      <c r="AI213" s="25"/>
      <c r="AJ213" s="25"/>
      <c r="AK213" s="26"/>
    </row>
    <row r="214" spans="1:37" x14ac:dyDescent="0.25">
      <c r="A214" s="21" t="s">
        <v>37</v>
      </c>
      <c r="B214" s="22">
        <v>314304</v>
      </c>
      <c r="C214" s="22">
        <v>22067374</v>
      </c>
      <c r="D214" s="23">
        <v>541704038804</v>
      </c>
      <c r="E214" s="22" t="s">
        <v>2218</v>
      </c>
      <c r="F214" s="22" t="s">
        <v>2219</v>
      </c>
      <c r="G214" s="22">
        <v>20170411</v>
      </c>
      <c r="H214" s="22">
        <v>20170504</v>
      </c>
      <c r="I214" s="22" t="s">
        <v>40</v>
      </c>
      <c r="J214" s="22"/>
      <c r="K214" s="22"/>
      <c r="L214" s="22" t="s">
        <v>34</v>
      </c>
      <c r="M214" s="22" t="s">
        <v>34</v>
      </c>
      <c r="N214" s="22" t="s">
        <v>35</v>
      </c>
      <c r="O214" s="22" t="s">
        <v>35</v>
      </c>
      <c r="P214" s="22" t="s">
        <v>35</v>
      </c>
      <c r="Q214" s="22" t="s">
        <v>35</v>
      </c>
      <c r="R214" s="22" t="s">
        <v>35</v>
      </c>
      <c r="S214" s="22" t="s">
        <v>34</v>
      </c>
      <c r="T214" s="22"/>
      <c r="U214" s="22"/>
      <c r="V214" s="22"/>
      <c r="W214" s="22"/>
      <c r="X214" s="22"/>
      <c r="Y214" s="22"/>
      <c r="Z214" s="22"/>
      <c r="AA214" s="22"/>
      <c r="AB214" s="22"/>
      <c r="AC214" s="22" t="s">
        <v>1916</v>
      </c>
      <c r="AD214" s="22">
        <v>20170413</v>
      </c>
      <c r="AE214" s="22">
        <v>213</v>
      </c>
      <c r="AF214" s="22"/>
      <c r="AG214" s="22" t="str">
        <f>IFERROR(VLOOKUP(TblFeedFile[[#This Row],[Leave Type ]],LkupPayType[],2,FALSE),"TBD")</f>
        <v>Paid</v>
      </c>
      <c r="AH214" s="22"/>
      <c r="AI214" s="25"/>
      <c r="AJ214" s="25"/>
      <c r="AK214" s="26"/>
    </row>
    <row r="215" spans="1:37" x14ac:dyDescent="0.25">
      <c r="A215" s="21" t="s">
        <v>37</v>
      </c>
      <c r="B215" s="22">
        <v>314304</v>
      </c>
      <c r="C215" s="22">
        <v>22070881</v>
      </c>
      <c r="D215" s="23" t="s">
        <v>2220</v>
      </c>
      <c r="E215" s="22" t="s">
        <v>556</v>
      </c>
      <c r="F215" s="22" t="s">
        <v>2221</v>
      </c>
      <c r="G215" s="22">
        <v>20161227</v>
      </c>
      <c r="H215" s="22">
        <v>20170416</v>
      </c>
      <c r="I215" s="22" t="s">
        <v>223</v>
      </c>
      <c r="J215" s="22"/>
      <c r="K215" s="22"/>
      <c r="L215" s="22" t="s">
        <v>34</v>
      </c>
      <c r="M215" s="22" t="s">
        <v>34</v>
      </c>
      <c r="N215" s="22" t="s">
        <v>35</v>
      </c>
      <c r="O215" s="22" t="s">
        <v>35</v>
      </c>
      <c r="P215" s="22" t="s">
        <v>35</v>
      </c>
      <c r="Q215" s="22" t="s">
        <v>35</v>
      </c>
      <c r="R215" s="22" t="s">
        <v>35</v>
      </c>
      <c r="S215" s="22" t="s">
        <v>34</v>
      </c>
      <c r="T215" s="22">
        <v>20170417</v>
      </c>
      <c r="U215" s="22"/>
      <c r="V215" s="22"/>
      <c r="W215" s="22"/>
      <c r="X215" s="22"/>
      <c r="Y215" s="22"/>
      <c r="Z215" s="22"/>
      <c r="AA215" s="22"/>
      <c r="AB215" s="22"/>
      <c r="AC215" s="22" t="s">
        <v>2222</v>
      </c>
      <c r="AD215" s="22">
        <v>20170413</v>
      </c>
      <c r="AE215" s="22">
        <v>214</v>
      </c>
      <c r="AF215" s="22"/>
      <c r="AG215" s="22" t="str">
        <f>IFERROR(VLOOKUP(TblFeedFile[[#This Row],[Leave Type ]],LkupPayType[],2,FALSE),"TBD")</f>
        <v>Paid</v>
      </c>
      <c r="AH215" s="22"/>
      <c r="AI215" s="25"/>
      <c r="AJ215" s="25"/>
      <c r="AK215" s="26" t="s">
        <v>35</v>
      </c>
    </row>
    <row r="216" spans="1:37" x14ac:dyDescent="0.25">
      <c r="A216" s="21" t="s">
        <v>37</v>
      </c>
      <c r="B216" s="22">
        <v>314304</v>
      </c>
      <c r="C216" s="22">
        <v>22071511</v>
      </c>
      <c r="D216" s="23">
        <v>561703238046</v>
      </c>
      <c r="E216" s="22" t="s">
        <v>2223</v>
      </c>
      <c r="F216" s="22" t="s">
        <v>2224</v>
      </c>
      <c r="G216" s="22">
        <v>20170410</v>
      </c>
      <c r="H216" s="22">
        <v>20170809</v>
      </c>
      <c r="I216" s="22" t="s">
        <v>53</v>
      </c>
      <c r="J216" s="22"/>
      <c r="K216" s="22"/>
      <c r="L216" s="22" t="s">
        <v>34</v>
      </c>
      <c r="M216" s="22" t="s">
        <v>34</v>
      </c>
      <c r="N216" s="22" t="s">
        <v>35</v>
      </c>
      <c r="O216" s="22" t="s">
        <v>35</v>
      </c>
      <c r="P216" s="22" t="s">
        <v>35</v>
      </c>
      <c r="Q216" s="22" t="s">
        <v>35</v>
      </c>
      <c r="R216" s="22" t="s">
        <v>35</v>
      </c>
      <c r="S216" s="22" t="s">
        <v>34</v>
      </c>
      <c r="T216" s="22"/>
      <c r="U216" s="22"/>
      <c r="V216" s="22"/>
      <c r="W216" s="22"/>
      <c r="X216" s="22"/>
      <c r="Y216" s="22"/>
      <c r="Z216" s="22"/>
      <c r="AA216" s="22"/>
      <c r="AB216" s="22"/>
      <c r="AC216" s="22" t="s">
        <v>1923</v>
      </c>
      <c r="AD216" s="22">
        <v>20170413</v>
      </c>
      <c r="AE216" s="22">
        <v>215</v>
      </c>
      <c r="AF216" s="22"/>
      <c r="AG216" s="22" t="str">
        <f>IFERROR(VLOOKUP(TblFeedFile[[#This Row],[Leave Type ]],LkupPayType[],2,FALSE),"TBD")</f>
        <v>Paid</v>
      </c>
      <c r="AH216" s="22"/>
      <c r="AI216" s="25"/>
      <c r="AJ216" s="25"/>
      <c r="AK216" s="26"/>
    </row>
    <row r="217" spans="1:37" x14ac:dyDescent="0.25">
      <c r="A217" s="21" t="s">
        <v>29</v>
      </c>
      <c r="B217" s="22">
        <v>314304</v>
      </c>
      <c r="C217" s="22">
        <v>22096637</v>
      </c>
      <c r="D217" s="23" t="s">
        <v>2225</v>
      </c>
      <c r="E217" s="22" t="s">
        <v>1134</v>
      </c>
      <c r="F217" s="22" t="s">
        <v>2226</v>
      </c>
      <c r="G217" s="22">
        <v>20170401</v>
      </c>
      <c r="H217" s="22">
        <v>20170401</v>
      </c>
      <c r="I217" s="22" t="s">
        <v>33</v>
      </c>
      <c r="J217" s="22"/>
      <c r="K217" s="22"/>
      <c r="L217" s="22" t="s">
        <v>34</v>
      </c>
      <c r="M217" s="22" t="s">
        <v>34</v>
      </c>
      <c r="N217" s="22" t="s">
        <v>35</v>
      </c>
      <c r="O217" s="22" t="s">
        <v>35</v>
      </c>
      <c r="P217" s="22" t="s">
        <v>35</v>
      </c>
      <c r="Q217" s="22" t="s">
        <v>35</v>
      </c>
      <c r="R217" s="22" t="s">
        <v>35</v>
      </c>
      <c r="S217" s="22" t="s">
        <v>34</v>
      </c>
      <c r="T217" s="22"/>
      <c r="U217" s="22"/>
      <c r="V217" s="22"/>
      <c r="W217" s="22"/>
      <c r="X217" s="22"/>
      <c r="Y217" s="22"/>
      <c r="Z217" s="22"/>
      <c r="AA217" s="22"/>
      <c r="AB217" s="22"/>
      <c r="AC217" s="22" t="s">
        <v>2227</v>
      </c>
      <c r="AD217" s="22">
        <v>20170413</v>
      </c>
      <c r="AE217" s="22">
        <v>216</v>
      </c>
      <c r="AF217" s="22"/>
      <c r="AG217" s="22" t="str">
        <f>IFERROR(VLOOKUP(TblFeedFile[[#This Row],[Leave Type ]],LkupPayType[],2,FALSE),"TBD")</f>
        <v>Closed</v>
      </c>
      <c r="AH217" s="22"/>
      <c r="AI217" s="25"/>
      <c r="AJ217" s="25"/>
      <c r="AK217" s="26"/>
    </row>
    <row r="218" spans="1:37" x14ac:dyDescent="0.25">
      <c r="A218" s="21" t="s">
        <v>29</v>
      </c>
      <c r="B218" s="22">
        <v>314304</v>
      </c>
      <c r="C218" s="22">
        <v>22096637</v>
      </c>
      <c r="D218" s="23" t="s">
        <v>2225</v>
      </c>
      <c r="E218" s="22" t="s">
        <v>1134</v>
      </c>
      <c r="F218" s="22" t="s">
        <v>2226</v>
      </c>
      <c r="G218" s="22">
        <v>20170314</v>
      </c>
      <c r="H218" s="22">
        <v>20170331</v>
      </c>
      <c r="I218" s="22" t="s">
        <v>156</v>
      </c>
      <c r="J218" s="22"/>
      <c r="K218" s="22"/>
      <c r="L218" s="22" t="s">
        <v>34</v>
      </c>
      <c r="M218" s="22" t="s">
        <v>34</v>
      </c>
      <c r="N218" s="22" t="s">
        <v>35</v>
      </c>
      <c r="O218" s="22" t="s">
        <v>35</v>
      </c>
      <c r="P218" s="22" t="s">
        <v>35</v>
      </c>
      <c r="Q218" s="22" t="s">
        <v>35</v>
      </c>
      <c r="R218" s="22" t="s">
        <v>35</v>
      </c>
      <c r="S218" s="22" t="s">
        <v>34</v>
      </c>
      <c r="T218" s="22"/>
      <c r="U218" s="22"/>
      <c r="V218" s="22"/>
      <c r="W218" s="22"/>
      <c r="X218" s="22"/>
      <c r="Y218" s="22"/>
      <c r="Z218" s="22"/>
      <c r="AA218" s="22"/>
      <c r="AB218" s="22"/>
      <c r="AC218" s="22" t="s">
        <v>1972</v>
      </c>
      <c r="AD218" s="22">
        <v>20170413</v>
      </c>
      <c r="AE218" s="22">
        <v>217</v>
      </c>
      <c r="AF218" s="22"/>
      <c r="AG218" s="22" t="str">
        <f>IFERROR(VLOOKUP(TblFeedFile[[#This Row],[Leave Type ]],LkupPayType[],2,FALSE),"TBD")</f>
        <v>Unpaid</v>
      </c>
      <c r="AH218" s="22"/>
      <c r="AI218" s="25"/>
      <c r="AJ218" s="25"/>
      <c r="AK218" s="26"/>
    </row>
    <row r="219" spans="1:37" x14ac:dyDescent="0.25">
      <c r="A219" s="21" t="s">
        <v>29</v>
      </c>
      <c r="B219" s="22">
        <v>314304</v>
      </c>
      <c r="C219" s="22">
        <v>22096637</v>
      </c>
      <c r="D219" s="23" t="s">
        <v>2225</v>
      </c>
      <c r="E219" s="22" t="s">
        <v>1134</v>
      </c>
      <c r="F219" s="22" t="s">
        <v>2226</v>
      </c>
      <c r="G219" s="22">
        <v>20170103</v>
      </c>
      <c r="H219" s="22">
        <v>20170331</v>
      </c>
      <c r="I219" s="22" t="s">
        <v>36</v>
      </c>
      <c r="J219" s="22"/>
      <c r="K219" s="22"/>
      <c r="L219" s="22" t="s">
        <v>34</v>
      </c>
      <c r="M219" s="22" t="s">
        <v>34</v>
      </c>
      <c r="N219" s="22" t="s">
        <v>35</v>
      </c>
      <c r="O219" s="22" t="s">
        <v>35</v>
      </c>
      <c r="P219" s="22" t="s">
        <v>35</v>
      </c>
      <c r="Q219" s="22" t="s">
        <v>35</v>
      </c>
      <c r="R219" s="22" t="s">
        <v>35</v>
      </c>
      <c r="S219" s="22" t="s">
        <v>34</v>
      </c>
      <c r="T219" s="22"/>
      <c r="U219" s="22"/>
      <c r="V219" s="22"/>
      <c r="W219" s="22"/>
      <c r="X219" s="22"/>
      <c r="Y219" s="22"/>
      <c r="Z219" s="22"/>
      <c r="AA219" s="22"/>
      <c r="AB219" s="22"/>
      <c r="AC219" s="22" t="s">
        <v>1956</v>
      </c>
      <c r="AD219" s="22">
        <v>20170413</v>
      </c>
      <c r="AE219" s="22">
        <v>218</v>
      </c>
      <c r="AF219" s="22"/>
      <c r="AG219" s="22" t="str">
        <f>IFERROR(VLOOKUP(TblFeedFile[[#This Row],[Leave Type ]],LkupPayType[],2,FALSE),"TBD")</f>
        <v>Unpaid</v>
      </c>
      <c r="AH219" s="22"/>
      <c r="AI219" s="25"/>
      <c r="AJ219" s="25"/>
      <c r="AK219" s="26"/>
    </row>
    <row r="220" spans="1:37" x14ac:dyDescent="0.25">
      <c r="A220" s="21" t="s">
        <v>37</v>
      </c>
      <c r="B220" s="22">
        <v>314304</v>
      </c>
      <c r="C220" s="22">
        <v>22096637</v>
      </c>
      <c r="D220" s="23" t="s">
        <v>2225</v>
      </c>
      <c r="E220" s="22" t="s">
        <v>1134</v>
      </c>
      <c r="F220" s="22" t="s">
        <v>2226</v>
      </c>
      <c r="G220" s="22">
        <v>20170103</v>
      </c>
      <c r="H220" s="22">
        <v>20170310</v>
      </c>
      <c r="I220" s="22" t="s">
        <v>36</v>
      </c>
      <c r="J220" s="22"/>
      <c r="K220" s="22"/>
      <c r="L220" s="22" t="s">
        <v>34</v>
      </c>
      <c r="M220" s="22" t="s">
        <v>34</v>
      </c>
      <c r="N220" s="22" t="s">
        <v>35</v>
      </c>
      <c r="O220" s="22" t="s">
        <v>35</v>
      </c>
      <c r="P220" s="22" t="s">
        <v>35</v>
      </c>
      <c r="Q220" s="22" t="s">
        <v>35</v>
      </c>
      <c r="R220" s="22" t="s">
        <v>35</v>
      </c>
      <c r="S220" s="22" t="s">
        <v>34</v>
      </c>
      <c r="T220" s="22"/>
      <c r="U220" s="22"/>
      <c r="V220" s="22"/>
      <c r="W220" s="22"/>
      <c r="X220" s="22"/>
      <c r="Y220" s="22"/>
      <c r="Z220" s="22"/>
      <c r="AA220" s="22"/>
      <c r="AB220" s="22"/>
      <c r="AC220" s="22" t="s">
        <v>1956</v>
      </c>
      <c r="AD220" s="22">
        <v>20170413</v>
      </c>
      <c r="AE220" s="22">
        <v>219</v>
      </c>
      <c r="AF220" s="22"/>
      <c r="AG220" s="22" t="str">
        <f>IFERROR(VLOOKUP(TblFeedFile[[#This Row],[Leave Type ]],LkupPayType[],2,FALSE),"TBD")</f>
        <v>Unpaid</v>
      </c>
      <c r="AH220" s="22"/>
      <c r="AI220" s="25" t="s">
        <v>35</v>
      </c>
      <c r="AJ220" s="25"/>
      <c r="AK220" s="26"/>
    </row>
    <row r="221" spans="1:37" x14ac:dyDescent="0.25">
      <c r="A221" s="21" t="s">
        <v>37</v>
      </c>
      <c r="B221" s="22">
        <v>314304</v>
      </c>
      <c r="C221" s="22">
        <v>22096637</v>
      </c>
      <c r="D221" s="23" t="s">
        <v>2225</v>
      </c>
      <c r="E221" s="22" t="s">
        <v>1134</v>
      </c>
      <c r="F221" s="22" t="s">
        <v>2226</v>
      </c>
      <c r="G221" s="22">
        <v>20170311</v>
      </c>
      <c r="H221" s="22">
        <v>20170311</v>
      </c>
      <c r="I221" s="22" t="s">
        <v>33</v>
      </c>
      <c r="J221" s="22"/>
      <c r="K221" s="22"/>
      <c r="L221" s="22" t="s">
        <v>34</v>
      </c>
      <c r="M221" s="22" t="s">
        <v>34</v>
      </c>
      <c r="N221" s="22" t="s">
        <v>35</v>
      </c>
      <c r="O221" s="22" t="s">
        <v>35</v>
      </c>
      <c r="P221" s="22" t="s">
        <v>35</v>
      </c>
      <c r="Q221" s="22" t="s">
        <v>35</v>
      </c>
      <c r="R221" s="22" t="s">
        <v>35</v>
      </c>
      <c r="S221" s="22" t="s">
        <v>34</v>
      </c>
      <c r="T221" s="22"/>
      <c r="U221" s="22"/>
      <c r="V221" s="22"/>
      <c r="W221" s="22"/>
      <c r="X221" s="22"/>
      <c r="Y221" s="22"/>
      <c r="Z221" s="22"/>
      <c r="AA221" s="22"/>
      <c r="AB221" s="22"/>
      <c r="AC221" s="22" t="s">
        <v>2227</v>
      </c>
      <c r="AD221" s="22">
        <v>20170413</v>
      </c>
      <c r="AE221" s="22">
        <v>220</v>
      </c>
      <c r="AF221" s="22"/>
      <c r="AG221" s="22" t="str">
        <f>IFERROR(VLOOKUP(TblFeedFile[[#This Row],[Leave Type ]],LkupPayType[],2,FALSE),"TBD")</f>
        <v>Closed</v>
      </c>
      <c r="AH221" s="22"/>
      <c r="AI221" s="25"/>
      <c r="AJ221" s="25"/>
      <c r="AK221" s="26"/>
    </row>
    <row r="222" spans="1:37" x14ac:dyDescent="0.25">
      <c r="A222" s="21" t="s">
        <v>29</v>
      </c>
      <c r="B222" s="22">
        <v>314304</v>
      </c>
      <c r="C222" s="22">
        <v>22127682</v>
      </c>
      <c r="D222" s="23" t="s">
        <v>2228</v>
      </c>
      <c r="E222" s="22" t="s">
        <v>169</v>
      </c>
      <c r="F222" s="22" t="s">
        <v>786</v>
      </c>
      <c r="G222" s="22">
        <v>20170410</v>
      </c>
      <c r="H222" s="22">
        <v>20170410</v>
      </c>
      <c r="I222" s="22" t="s">
        <v>33</v>
      </c>
      <c r="J222" s="22"/>
      <c r="K222" s="22"/>
      <c r="L222" s="22" t="s">
        <v>34</v>
      </c>
      <c r="M222" s="22" t="s">
        <v>34</v>
      </c>
      <c r="N222" s="22" t="s">
        <v>35</v>
      </c>
      <c r="O222" s="22" t="s">
        <v>35</v>
      </c>
      <c r="P222" s="22" t="s">
        <v>35</v>
      </c>
      <c r="Q222" s="22" t="s">
        <v>35</v>
      </c>
      <c r="R222" s="22" t="s">
        <v>35</v>
      </c>
      <c r="S222" s="22" t="s">
        <v>34</v>
      </c>
      <c r="T222" s="22"/>
      <c r="U222" s="22"/>
      <c r="V222" s="22"/>
      <c r="W222" s="22"/>
      <c r="X222" s="22"/>
      <c r="Y222" s="22"/>
      <c r="Z222" s="22"/>
      <c r="AA222" s="22"/>
      <c r="AB222" s="22"/>
      <c r="AC222" s="22" t="s">
        <v>1949</v>
      </c>
      <c r="AD222" s="22">
        <v>20170413</v>
      </c>
      <c r="AE222" s="22">
        <v>221</v>
      </c>
      <c r="AF222" s="22"/>
      <c r="AG222" s="22" t="str">
        <f>IFERROR(VLOOKUP(TblFeedFile[[#This Row],[Leave Type ]],LkupPayType[],2,FALSE),"TBD")</f>
        <v>Closed</v>
      </c>
      <c r="AH222" s="22"/>
      <c r="AI222" s="25"/>
      <c r="AJ222" s="25"/>
      <c r="AK222" s="26"/>
    </row>
    <row r="223" spans="1:37" x14ac:dyDescent="0.25">
      <c r="A223" s="21" t="s">
        <v>37</v>
      </c>
      <c r="B223" s="22">
        <v>314304</v>
      </c>
      <c r="C223" s="22">
        <v>22127682</v>
      </c>
      <c r="D223" s="23" t="s">
        <v>2228</v>
      </c>
      <c r="E223" s="22" t="s">
        <v>169</v>
      </c>
      <c r="F223" s="22" t="s">
        <v>786</v>
      </c>
      <c r="G223" s="22">
        <v>20170317</v>
      </c>
      <c r="H223" s="22">
        <v>20170409</v>
      </c>
      <c r="I223" s="22" t="s">
        <v>36</v>
      </c>
      <c r="J223" s="22"/>
      <c r="K223" s="22"/>
      <c r="L223" s="22" t="s">
        <v>34</v>
      </c>
      <c r="M223" s="22" t="s">
        <v>34</v>
      </c>
      <c r="N223" s="22" t="s">
        <v>35</v>
      </c>
      <c r="O223" s="22" t="s">
        <v>35</v>
      </c>
      <c r="P223" s="22" t="s">
        <v>35</v>
      </c>
      <c r="Q223" s="22" t="s">
        <v>35</v>
      </c>
      <c r="R223" s="22" t="s">
        <v>35</v>
      </c>
      <c r="S223" s="22" t="s">
        <v>34</v>
      </c>
      <c r="T223" s="22">
        <v>20170410</v>
      </c>
      <c r="U223" s="22"/>
      <c r="V223" s="22"/>
      <c r="W223" s="22"/>
      <c r="X223" s="22" t="s">
        <v>35</v>
      </c>
      <c r="Y223" s="22"/>
      <c r="Z223" s="22"/>
      <c r="AA223" s="22"/>
      <c r="AB223" s="22"/>
      <c r="AC223" s="22" t="s">
        <v>1901</v>
      </c>
      <c r="AD223" s="22">
        <v>20170413</v>
      </c>
      <c r="AE223" s="22">
        <v>222</v>
      </c>
      <c r="AF223" s="22"/>
      <c r="AG223" s="22" t="str">
        <f>IFERROR(VLOOKUP(TblFeedFile[[#This Row],[Leave Type ]],LkupPayType[],2,FALSE),"TBD")</f>
        <v>Unpaid</v>
      </c>
      <c r="AH223" s="22"/>
      <c r="AI223" s="25" t="s">
        <v>35</v>
      </c>
      <c r="AJ223" s="25"/>
      <c r="AK223" s="26" t="s">
        <v>35</v>
      </c>
    </row>
    <row r="224" spans="1:37" x14ac:dyDescent="0.25">
      <c r="A224" s="21" t="s">
        <v>29</v>
      </c>
      <c r="B224" s="22">
        <v>314304</v>
      </c>
      <c r="C224" s="22">
        <v>22182367</v>
      </c>
      <c r="D224" s="23" t="s">
        <v>2229</v>
      </c>
      <c r="E224" s="22" t="s">
        <v>323</v>
      </c>
      <c r="F224" s="22" t="s">
        <v>2230</v>
      </c>
      <c r="G224" s="22">
        <v>20170401</v>
      </c>
      <c r="H224" s="22">
        <v>20170401</v>
      </c>
      <c r="I224" s="22" t="s">
        <v>33</v>
      </c>
      <c r="J224" s="22"/>
      <c r="K224" s="22"/>
      <c r="L224" s="22" t="s">
        <v>34</v>
      </c>
      <c r="M224" s="22" t="s">
        <v>34</v>
      </c>
      <c r="N224" s="22" t="s">
        <v>35</v>
      </c>
      <c r="O224" s="22" t="s">
        <v>35</v>
      </c>
      <c r="P224" s="22" t="s">
        <v>35</v>
      </c>
      <c r="Q224" s="22" t="s">
        <v>35</v>
      </c>
      <c r="R224" s="22" t="s">
        <v>35</v>
      </c>
      <c r="S224" s="22" t="s">
        <v>34</v>
      </c>
      <c r="T224" s="22"/>
      <c r="U224" s="22"/>
      <c r="V224" s="22"/>
      <c r="W224" s="22"/>
      <c r="X224" s="22"/>
      <c r="Y224" s="22"/>
      <c r="Z224" s="22"/>
      <c r="AA224" s="22"/>
      <c r="AB224" s="22"/>
      <c r="AC224" s="22" t="s">
        <v>2188</v>
      </c>
      <c r="AD224" s="22">
        <v>20170413</v>
      </c>
      <c r="AE224" s="22">
        <v>223</v>
      </c>
      <c r="AF224" s="22"/>
      <c r="AG224" s="22" t="str">
        <f>IFERROR(VLOOKUP(TblFeedFile[[#This Row],[Leave Type ]],LkupPayType[],2,FALSE),"TBD")</f>
        <v>Closed</v>
      </c>
      <c r="AH224" s="22"/>
      <c r="AI224" s="25"/>
      <c r="AJ224" s="25"/>
      <c r="AK224" s="26"/>
    </row>
    <row r="225" spans="1:37" x14ac:dyDescent="0.25">
      <c r="A225" s="21" t="s">
        <v>29</v>
      </c>
      <c r="B225" s="22">
        <v>314304</v>
      </c>
      <c r="C225" s="22">
        <v>22182367</v>
      </c>
      <c r="D225" s="23" t="s">
        <v>2229</v>
      </c>
      <c r="E225" s="22" t="s">
        <v>323</v>
      </c>
      <c r="F225" s="22" t="s">
        <v>2230</v>
      </c>
      <c r="G225" s="22">
        <v>20160902</v>
      </c>
      <c r="H225" s="22">
        <v>20170331</v>
      </c>
      <c r="I225" s="22" t="s">
        <v>156</v>
      </c>
      <c r="J225" s="22"/>
      <c r="K225" s="22"/>
      <c r="L225" s="22" t="s">
        <v>34</v>
      </c>
      <c r="M225" s="22" t="s">
        <v>34</v>
      </c>
      <c r="N225" s="22" t="s">
        <v>35</v>
      </c>
      <c r="O225" s="22" t="s">
        <v>35</v>
      </c>
      <c r="P225" s="22" t="s">
        <v>35</v>
      </c>
      <c r="Q225" s="22" t="s">
        <v>35</v>
      </c>
      <c r="R225" s="22" t="s">
        <v>35</v>
      </c>
      <c r="S225" s="22" t="s">
        <v>34</v>
      </c>
      <c r="T225" s="22"/>
      <c r="U225" s="22"/>
      <c r="V225" s="22"/>
      <c r="W225" s="22"/>
      <c r="X225" s="22"/>
      <c r="Y225" s="22"/>
      <c r="Z225" s="22"/>
      <c r="AA225" s="22"/>
      <c r="AB225" s="22"/>
      <c r="AC225" s="22" t="s">
        <v>2173</v>
      </c>
      <c r="AD225" s="22">
        <v>20170413</v>
      </c>
      <c r="AE225" s="22">
        <v>224</v>
      </c>
      <c r="AF225" s="22"/>
      <c r="AG225" s="22" t="str">
        <f>IFERROR(VLOOKUP(TblFeedFile[[#This Row],[Leave Type ]],LkupPayType[],2,FALSE),"TBD")</f>
        <v>Unpaid</v>
      </c>
      <c r="AH225" s="22"/>
      <c r="AI225" s="25"/>
      <c r="AJ225" s="25"/>
      <c r="AK225" s="26"/>
    </row>
    <row r="226" spans="1:37" x14ac:dyDescent="0.25">
      <c r="A226" s="21" t="s">
        <v>37</v>
      </c>
      <c r="B226" s="22">
        <v>314304</v>
      </c>
      <c r="C226" s="22">
        <v>22182367</v>
      </c>
      <c r="D226" s="23" t="s">
        <v>2229</v>
      </c>
      <c r="E226" s="22" t="s">
        <v>323</v>
      </c>
      <c r="F226" s="22" t="s">
        <v>2230</v>
      </c>
      <c r="G226" s="22">
        <v>20160902</v>
      </c>
      <c r="H226" s="22">
        <v>20170630</v>
      </c>
      <c r="I226" s="22" t="s">
        <v>156</v>
      </c>
      <c r="J226" s="22"/>
      <c r="K226" s="22"/>
      <c r="L226" s="22" t="s">
        <v>34</v>
      </c>
      <c r="M226" s="22" t="s">
        <v>34</v>
      </c>
      <c r="N226" s="22" t="s">
        <v>35</v>
      </c>
      <c r="O226" s="22" t="s">
        <v>35</v>
      </c>
      <c r="P226" s="22" t="s">
        <v>35</v>
      </c>
      <c r="Q226" s="22" t="s">
        <v>35</v>
      </c>
      <c r="R226" s="22" t="s">
        <v>35</v>
      </c>
      <c r="S226" s="22" t="s">
        <v>34</v>
      </c>
      <c r="T226" s="22"/>
      <c r="U226" s="22"/>
      <c r="V226" s="22"/>
      <c r="W226" s="22"/>
      <c r="X226" s="22"/>
      <c r="Y226" s="22"/>
      <c r="Z226" s="22"/>
      <c r="AA226" s="22"/>
      <c r="AB226" s="22"/>
      <c r="AC226" s="22" t="s">
        <v>2173</v>
      </c>
      <c r="AD226" s="22">
        <v>20170413</v>
      </c>
      <c r="AE226" s="22">
        <v>225</v>
      </c>
      <c r="AF226" s="22"/>
      <c r="AG226" s="22" t="str">
        <f>IFERROR(VLOOKUP(TblFeedFile[[#This Row],[Leave Type ]],LkupPayType[],2,FALSE),"TBD")</f>
        <v>Unpaid</v>
      </c>
      <c r="AH226" s="22"/>
      <c r="AI226" s="25" t="s">
        <v>35</v>
      </c>
      <c r="AJ226" s="25"/>
      <c r="AK226" s="26"/>
    </row>
    <row r="227" spans="1:37" x14ac:dyDescent="0.25">
      <c r="A227" s="21" t="s">
        <v>37</v>
      </c>
      <c r="B227" s="22">
        <v>314304</v>
      </c>
      <c r="C227" s="22">
        <v>22194180</v>
      </c>
      <c r="D227" s="23">
        <v>571704068487</v>
      </c>
      <c r="E227" s="22" t="s">
        <v>2231</v>
      </c>
      <c r="F227" s="22" t="s">
        <v>2232</v>
      </c>
      <c r="G227" s="22">
        <v>20170413</v>
      </c>
      <c r="H227" s="22">
        <v>20170817</v>
      </c>
      <c r="I227" s="22" t="s">
        <v>40</v>
      </c>
      <c r="J227" s="22"/>
      <c r="K227" s="22"/>
      <c r="L227" s="22" t="s">
        <v>34</v>
      </c>
      <c r="M227" s="22" t="s">
        <v>34</v>
      </c>
      <c r="N227" s="22" t="s">
        <v>35</v>
      </c>
      <c r="O227" s="22" t="s">
        <v>35</v>
      </c>
      <c r="P227" s="22" t="s">
        <v>35</v>
      </c>
      <c r="Q227" s="22" t="s">
        <v>35</v>
      </c>
      <c r="R227" s="22" t="s">
        <v>35</v>
      </c>
      <c r="S227" s="22" t="s">
        <v>34</v>
      </c>
      <c r="T227" s="22"/>
      <c r="U227" s="22"/>
      <c r="V227" s="22"/>
      <c r="W227" s="22"/>
      <c r="X227" s="22"/>
      <c r="Y227" s="22"/>
      <c r="Z227" s="22"/>
      <c r="AA227" s="22"/>
      <c r="AB227" s="22"/>
      <c r="AC227" s="22" t="s">
        <v>1923</v>
      </c>
      <c r="AD227" s="22">
        <v>20170413</v>
      </c>
      <c r="AE227" s="22">
        <v>226</v>
      </c>
      <c r="AF227" s="22"/>
      <c r="AG227" s="22" t="str">
        <f>IFERROR(VLOOKUP(TblFeedFile[[#This Row],[Leave Type ]],LkupPayType[],2,FALSE),"TBD")</f>
        <v>Paid</v>
      </c>
      <c r="AH227" s="22"/>
      <c r="AI227" s="25"/>
      <c r="AJ227" s="25"/>
      <c r="AK227" s="26"/>
    </row>
    <row r="228" spans="1:37" x14ac:dyDescent="0.25">
      <c r="A228" s="21" t="s">
        <v>29</v>
      </c>
      <c r="B228" s="22">
        <v>314304</v>
      </c>
      <c r="C228" s="22">
        <v>22209080</v>
      </c>
      <c r="D228" s="23" t="s">
        <v>2233</v>
      </c>
      <c r="E228" s="22" t="s">
        <v>1112</v>
      </c>
      <c r="F228" s="22" t="s">
        <v>2234</v>
      </c>
      <c r="G228" s="22">
        <v>20170320</v>
      </c>
      <c r="H228" s="22">
        <v>20170404</v>
      </c>
      <c r="I228" s="22" t="s">
        <v>36</v>
      </c>
      <c r="J228" s="22"/>
      <c r="K228" s="22"/>
      <c r="L228" s="22" t="s">
        <v>34</v>
      </c>
      <c r="M228" s="22" t="s">
        <v>34</v>
      </c>
      <c r="N228" s="22" t="s">
        <v>35</v>
      </c>
      <c r="O228" s="22" t="s">
        <v>35</v>
      </c>
      <c r="P228" s="22" t="s">
        <v>35</v>
      </c>
      <c r="Q228" s="22" t="s">
        <v>35</v>
      </c>
      <c r="R228" s="22" t="s">
        <v>35</v>
      </c>
      <c r="S228" s="22" t="s">
        <v>34</v>
      </c>
      <c r="T228" s="22">
        <v>20170405</v>
      </c>
      <c r="U228" s="22"/>
      <c r="V228" s="22"/>
      <c r="W228" s="22"/>
      <c r="X228" s="22"/>
      <c r="Y228" s="22"/>
      <c r="Z228" s="22"/>
      <c r="AA228" s="22"/>
      <c r="AB228" s="22"/>
      <c r="AC228" s="22" t="s">
        <v>1896</v>
      </c>
      <c r="AD228" s="22">
        <v>20170413</v>
      </c>
      <c r="AE228" s="22">
        <v>227</v>
      </c>
      <c r="AF228" s="22"/>
      <c r="AG228" s="22" t="str">
        <f>IFERROR(VLOOKUP(TblFeedFile[[#This Row],[Leave Type ]],LkupPayType[],2,FALSE),"TBD")</f>
        <v>Unpaid</v>
      </c>
      <c r="AH228" s="22"/>
      <c r="AI228" s="25"/>
      <c r="AJ228" s="25"/>
      <c r="AK228" s="26"/>
    </row>
    <row r="229" spans="1:37" x14ac:dyDescent="0.25">
      <c r="A229" s="21" t="s">
        <v>29</v>
      </c>
      <c r="B229" s="22">
        <v>314304</v>
      </c>
      <c r="C229" s="22">
        <v>22209080</v>
      </c>
      <c r="D229" s="23">
        <v>501702018990</v>
      </c>
      <c r="E229" s="22" t="s">
        <v>1112</v>
      </c>
      <c r="F229" s="22" t="s">
        <v>2234</v>
      </c>
      <c r="G229" s="22">
        <v>20170213</v>
      </c>
      <c r="H229" s="22">
        <v>20170404</v>
      </c>
      <c r="I229" s="22" t="s">
        <v>40</v>
      </c>
      <c r="J229" s="22"/>
      <c r="K229" s="22"/>
      <c r="L229" s="22" t="s">
        <v>34</v>
      </c>
      <c r="M229" s="22" t="s">
        <v>34</v>
      </c>
      <c r="N229" s="22" t="s">
        <v>35</v>
      </c>
      <c r="O229" s="22" t="s">
        <v>35</v>
      </c>
      <c r="P229" s="22" t="s">
        <v>35</v>
      </c>
      <c r="Q229" s="22" t="s">
        <v>35</v>
      </c>
      <c r="R229" s="22" t="s">
        <v>35</v>
      </c>
      <c r="S229" s="22" t="s">
        <v>34</v>
      </c>
      <c r="T229" s="22"/>
      <c r="U229" s="22"/>
      <c r="V229" s="22"/>
      <c r="W229" s="22"/>
      <c r="X229" s="22"/>
      <c r="Y229" s="22"/>
      <c r="Z229" s="22"/>
      <c r="AA229" s="22"/>
      <c r="AB229" s="22"/>
      <c r="AC229" s="22" t="s">
        <v>1945</v>
      </c>
      <c r="AD229" s="22">
        <v>20170413</v>
      </c>
      <c r="AE229" s="22">
        <v>228</v>
      </c>
      <c r="AF229" s="22"/>
      <c r="AG229" s="22" t="str">
        <f>IFERROR(VLOOKUP(TblFeedFile[[#This Row],[Leave Type ]],LkupPayType[],2,FALSE),"TBD")</f>
        <v>Paid</v>
      </c>
      <c r="AH229" s="22"/>
      <c r="AI229" s="25"/>
      <c r="AJ229" s="25"/>
      <c r="AK229" s="26"/>
    </row>
    <row r="230" spans="1:37" x14ac:dyDescent="0.25">
      <c r="A230" s="21" t="s">
        <v>37</v>
      </c>
      <c r="B230" s="22">
        <v>314304</v>
      </c>
      <c r="C230" s="22">
        <v>22209080</v>
      </c>
      <c r="D230" s="23">
        <v>501702018990</v>
      </c>
      <c r="E230" s="22" t="s">
        <v>1112</v>
      </c>
      <c r="F230" s="22" t="s">
        <v>2234</v>
      </c>
      <c r="G230" s="22">
        <v>20170213</v>
      </c>
      <c r="H230" s="22">
        <v>20170601</v>
      </c>
      <c r="I230" s="22" t="s">
        <v>40</v>
      </c>
      <c r="J230" s="22"/>
      <c r="K230" s="22"/>
      <c r="L230" s="22" t="s">
        <v>34</v>
      </c>
      <c r="M230" s="22" t="s">
        <v>34</v>
      </c>
      <c r="N230" s="22" t="s">
        <v>35</v>
      </c>
      <c r="O230" s="22" t="s">
        <v>35</v>
      </c>
      <c r="P230" s="22" t="s">
        <v>35</v>
      </c>
      <c r="Q230" s="22" t="s">
        <v>35</v>
      </c>
      <c r="R230" s="22" t="s">
        <v>35</v>
      </c>
      <c r="S230" s="22" t="s">
        <v>34</v>
      </c>
      <c r="T230" s="22"/>
      <c r="U230" s="22"/>
      <c r="V230" s="22"/>
      <c r="W230" s="22"/>
      <c r="X230" s="22"/>
      <c r="Y230" s="22"/>
      <c r="Z230" s="22"/>
      <c r="AA230" s="22"/>
      <c r="AB230" s="22"/>
      <c r="AC230" s="22" t="s">
        <v>1945</v>
      </c>
      <c r="AD230" s="22">
        <v>20170413</v>
      </c>
      <c r="AE230" s="22">
        <v>229</v>
      </c>
      <c r="AF230" s="22"/>
      <c r="AG230" s="22" t="str">
        <f>IFERROR(VLOOKUP(TblFeedFile[[#This Row],[Leave Type ]],LkupPayType[],2,FALSE),"TBD")</f>
        <v>Paid</v>
      </c>
      <c r="AH230" s="22"/>
      <c r="AI230" s="25"/>
      <c r="AJ230" s="25"/>
      <c r="AK230" s="26"/>
    </row>
    <row r="231" spans="1:37" x14ac:dyDescent="0.25">
      <c r="A231" s="21" t="s">
        <v>37</v>
      </c>
      <c r="B231" s="22">
        <v>314304</v>
      </c>
      <c r="C231" s="22">
        <v>22209080</v>
      </c>
      <c r="D231" s="23" t="s">
        <v>2233</v>
      </c>
      <c r="E231" s="22" t="s">
        <v>1112</v>
      </c>
      <c r="F231" s="22" t="s">
        <v>2234</v>
      </c>
      <c r="G231" s="22">
        <v>20170320</v>
      </c>
      <c r="H231" s="22">
        <v>20170601</v>
      </c>
      <c r="I231" s="22" t="s">
        <v>36</v>
      </c>
      <c r="J231" s="22"/>
      <c r="K231" s="22"/>
      <c r="L231" s="22" t="s">
        <v>34</v>
      </c>
      <c r="M231" s="22" t="s">
        <v>34</v>
      </c>
      <c r="N231" s="22" t="s">
        <v>35</v>
      </c>
      <c r="O231" s="22" t="s">
        <v>35</v>
      </c>
      <c r="P231" s="22" t="s">
        <v>35</v>
      </c>
      <c r="Q231" s="22" t="s">
        <v>35</v>
      </c>
      <c r="R231" s="22" t="s">
        <v>35</v>
      </c>
      <c r="S231" s="22" t="s">
        <v>34</v>
      </c>
      <c r="T231" s="22"/>
      <c r="U231" s="22"/>
      <c r="V231" s="22"/>
      <c r="W231" s="22"/>
      <c r="X231" s="22"/>
      <c r="Y231" s="22"/>
      <c r="Z231" s="22"/>
      <c r="AA231" s="22"/>
      <c r="AB231" s="22"/>
      <c r="AC231" s="22" t="s">
        <v>1897</v>
      </c>
      <c r="AD231" s="22">
        <v>20170413</v>
      </c>
      <c r="AE231" s="22">
        <v>230</v>
      </c>
      <c r="AF231" s="22"/>
      <c r="AG231" s="22" t="str">
        <f>IFERROR(VLOOKUP(TblFeedFile[[#This Row],[Leave Type ]],LkupPayType[],2,FALSE),"TBD")</f>
        <v>Unpaid</v>
      </c>
      <c r="AH231" s="22"/>
      <c r="AI231" s="25"/>
      <c r="AJ231" s="25"/>
      <c r="AK231" s="26"/>
    </row>
    <row r="232" spans="1:37" x14ac:dyDescent="0.25">
      <c r="A232" s="21" t="s">
        <v>37</v>
      </c>
      <c r="B232" s="22">
        <v>314304</v>
      </c>
      <c r="C232" s="22">
        <v>22217297</v>
      </c>
      <c r="D232" s="23" t="s">
        <v>2235</v>
      </c>
      <c r="E232" s="22" t="s">
        <v>2236</v>
      </c>
      <c r="F232" s="22" t="s">
        <v>2237</v>
      </c>
      <c r="G232" s="22">
        <v>20170413</v>
      </c>
      <c r="H232" s="22">
        <v>20170419</v>
      </c>
      <c r="I232" s="22" t="s">
        <v>36</v>
      </c>
      <c r="J232" s="22"/>
      <c r="K232" s="22"/>
      <c r="L232" s="22" t="s">
        <v>34</v>
      </c>
      <c r="M232" s="22" t="s">
        <v>34</v>
      </c>
      <c r="N232" s="22" t="s">
        <v>35</v>
      </c>
      <c r="O232" s="22" t="s">
        <v>35</v>
      </c>
      <c r="P232" s="22" t="s">
        <v>35</v>
      </c>
      <c r="Q232" s="22" t="s">
        <v>35</v>
      </c>
      <c r="R232" s="22" t="s">
        <v>35</v>
      </c>
      <c r="S232" s="22" t="s">
        <v>34</v>
      </c>
      <c r="T232" s="22"/>
      <c r="U232" s="22"/>
      <c r="V232" s="22"/>
      <c r="W232" s="22"/>
      <c r="X232" s="22"/>
      <c r="Y232" s="22"/>
      <c r="Z232" s="22"/>
      <c r="AA232" s="22"/>
      <c r="AB232" s="22"/>
      <c r="AC232" s="22" t="s">
        <v>1927</v>
      </c>
      <c r="AD232" s="22">
        <v>20170413</v>
      </c>
      <c r="AE232" s="22">
        <v>231</v>
      </c>
      <c r="AF232" s="22"/>
      <c r="AG232" s="22" t="str">
        <f>IFERROR(VLOOKUP(TblFeedFile[[#This Row],[Leave Type ]],LkupPayType[],2,FALSE),"TBD")</f>
        <v>Unpaid</v>
      </c>
      <c r="AH232" s="22"/>
      <c r="AI232" s="25"/>
      <c r="AJ232" s="25"/>
      <c r="AK232" s="26"/>
    </row>
    <row r="233" spans="1:37" x14ac:dyDescent="0.25">
      <c r="A233" s="21" t="s">
        <v>37</v>
      </c>
      <c r="B233" s="22">
        <v>314301</v>
      </c>
      <c r="C233" s="22">
        <v>22223055</v>
      </c>
      <c r="D233" s="23" t="s">
        <v>2238</v>
      </c>
      <c r="E233" s="22" t="s">
        <v>2239</v>
      </c>
      <c r="F233" s="22" t="s">
        <v>637</v>
      </c>
      <c r="G233" s="22">
        <v>20170413</v>
      </c>
      <c r="H233" s="22">
        <v>20170413</v>
      </c>
      <c r="I233" s="22" t="s">
        <v>33</v>
      </c>
      <c r="J233" s="22"/>
      <c r="K233" s="22"/>
      <c r="L233" s="22" t="s">
        <v>34</v>
      </c>
      <c r="M233" s="22" t="s">
        <v>34</v>
      </c>
      <c r="N233" s="22" t="s">
        <v>35</v>
      </c>
      <c r="O233" s="22" t="s">
        <v>35</v>
      </c>
      <c r="P233" s="22" t="s">
        <v>35</v>
      </c>
      <c r="Q233" s="22" t="s">
        <v>35</v>
      </c>
      <c r="R233" s="22" t="s">
        <v>35</v>
      </c>
      <c r="S233" s="22" t="s">
        <v>34</v>
      </c>
      <c r="T233" s="22"/>
      <c r="U233" s="22"/>
      <c r="V233" s="22"/>
      <c r="W233" s="22"/>
      <c r="X233" s="22"/>
      <c r="Y233" s="22"/>
      <c r="Z233" s="22"/>
      <c r="AA233" s="22"/>
      <c r="AB233" s="22"/>
      <c r="AC233" s="22" t="s">
        <v>2188</v>
      </c>
      <c r="AD233" s="22">
        <v>20170413</v>
      </c>
      <c r="AE233" s="22">
        <v>232</v>
      </c>
      <c r="AF233" s="22"/>
      <c r="AG233" s="22" t="str">
        <f>IFERROR(VLOOKUP(TblFeedFile[[#This Row],[Leave Type ]],LkupPayType[],2,FALSE),"TBD")</f>
        <v>Closed</v>
      </c>
      <c r="AH233" s="22"/>
      <c r="AI233" s="25"/>
      <c r="AJ233" s="25"/>
      <c r="AK233" s="26"/>
    </row>
    <row r="234" spans="1:37" x14ac:dyDescent="0.25">
      <c r="A234" s="21" t="s">
        <v>29</v>
      </c>
      <c r="B234" s="22">
        <v>314304</v>
      </c>
      <c r="C234" s="22">
        <v>22225795</v>
      </c>
      <c r="D234" s="23" t="s">
        <v>2240</v>
      </c>
      <c r="E234" s="22" t="s">
        <v>579</v>
      </c>
      <c r="F234" s="22" t="s">
        <v>580</v>
      </c>
      <c r="G234" s="22">
        <v>20170123</v>
      </c>
      <c r="H234" s="22">
        <v>20170421</v>
      </c>
      <c r="I234" s="22" t="s">
        <v>36</v>
      </c>
      <c r="J234" s="22"/>
      <c r="K234" s="22"/>
      <c r="L234" s="22" t="s">
        <v>34</v>
      </c>
      <c r="M234" s="22" t="s">
        <v>34</v>
      </c>
      <c r="N234" s="22" t="s">
        <v>35</v>
      </c>
      <c r="O234" s="22" t="s">
        <v>35</v>
      </c>
      <c r="P234" s="22" t="s">
        <v>35</v>
      </c>
      <c r="Q234" s="22" t="s">
        <v>35</v>
      </c>
      <c r="R234" s="22" t="s">
        <v>35</v>
      </c>
      <c r="S234" s="22" t="s">
        <v>34</v>
      </c>
      <c r="T234" s="22"/>
      <c r="U234" s="22"/>
      <c r="V234" s="22"/>
      <c r="W234" s="22"/>
      <c r="X234" s="22"/>
      <c r="Y234" s="22"/>
      <c r="Z234" s="22"/>
      <c r="AA234" s="22"/>
      <c r="AB234" s="22"/>
      <c r="AC234" s="22" t="s">
        <v>2105</v>
      </c>
      <c r="AD234" s="22">
        <v>20170413</v>
      </c>
      <c r="AE234" s="22">
        <v>233</v>
      </c>
      <c r="AF234" s="22"/>
      <c r="AG234" s="22" t="str">
        <f>IFERROR(VLOOKUP(TblFeedFile[[#This Row],[Leave Type ]],LkupPayType[],2,FALSE),"TBD")</f>
        <v>Unpaid</v>
      </c>
      <c r="AH234" s="22"/>
      <c r="AI234" s="25"/>
      <c r="AJ234" s="25"/>
      <c r="AK234" s="26"/>
    </row>
    <row r="235" spans="1:37" x14ac:dyDescent="0.25">
      <c r="A235" s="21" t="s">
        <v>37</v>
      </c>
      <c r="B235" s="22">
        <v>314304</v>
      </c>
      <c r="C235" s="22">
        <v>22225795</v>
      </c>
      <c r="D235" s="23" t="s">
        <v>2240</v>
      </c>
      <c r="E235" s="22" t="s">
        <v>579</v>
      </c>
      <c r="F235" s="22" t="s">
        <v>580</v>
      </c>
      <c r="G235" s="22">
        <v>20170123</v>
      </c>
      <c r="H235" s="22">
        <v>20170723</v>
      </c>
      <c r="I235" s="22" t="s">
        <v>36</v>
      </c>
      <c r="J235" s="22"/>
      <c r="K235" s="22"/>
      <c r="L235" s="22" t="s">
        <v>34</v>
      </c>
      <c r="M235" s="22" t="s">
        <v>34</v>
      </c>
      <c r="N235" s="22" t="s">
        <v>35</v>
      </c>
      <c r="O235" s="22" t="s">
        <v>35</v>
      </c>
      <c r="P235" s="22" t="s">
        <v>35</v>
      </c>
      <c r="Q235" s="22" t="s">
        <v>35</v>
      </c>
      <c r="R235" s="22" t="s">
        <v>35</v>
      </c>
      <c r="S235" s="22" t="s">
        <v>34</v>
      </c>
      <c r="T235" s="22"/>
      <c r="U235" s="22"/>
      <c r="V235" s="22"/>
      <c r="W235" s="22"/>
      <c r="X235" s="22"/>
      <c r="Y235" s="22"/>
      <c r="Z235" s="22"/>
      <c r="AA235" s="22"/>
      <c r="AB235" s="22"/>
      <c r="AC235" s="22" t="s">
        <v>2105</v>
      </c>
      <c r="AD235" s="22">
        <v>20170413</v>
      </c>
      <c r="AE235" s="22">
        <v>234</v>
      </c>
      <c r="AF235" s="22"/>
      <c r="AG235" s="22" t="str">
        <f>IFERROR(VLOOKUP(TblFeedFile[[#This Row],[Leave Type ]],LkupPayType[],2,FALSE),"TBD")</f>
        <v>Unpaid</v>
      </c>
      <c r="AH235" s="22"/>
      <c r="AI235" s="25"/>
      <c r="AJ235" s="25"/>
      <c r="AK235" s="26"/>
    </row>
    <row r="236" spans="1:37" x14ac:dyDescent="0.25">
      <c r="A236" s="21" t="s">
        <v>29</v>
      </c>
      <c r="B236" s="22">
        <v>314304</v>
      </c>
      <c r="C236" s="22">
        <v>22249336</v>
      </c>
      <c r="D236" s="23" t="s">
        <v>2241</v>
      </c>
      <c r="E236" s="22" t="s">
        <v>1031</v>
      </c>
      <c r="F236" s="22" t="s">
        <v>2242</v>
      </c>
      <c r="G236" s="22">
        <v>20170408</v>
      </c>
      <c r="H236" s="22">
        <v>20170408</v>
      </c>
      <c r="I236" s="22" t="s">
        <v>33</v>
      </c>
      <c r="J236" s="22"/>
      <c r="K236" s="22"/>
      <c r="L236" s="22" t="s">
        <v>34</v>
      </c>
      <c r="M236" s="22" t="s">
        <v>34</v>
      </c>
      <c r="N236" s="22" t="s">
        <v>35</v>
      </c>
      <c r="O236" s="22" t="s">
        <v>35</v>
      </c>
      <c r="P236" s="22" t="s">
        <v>35</v>
      </c>
      <c r="Q236" s="22" t="s">
        <v>35</v>
      </c>
      <c r="R236" s="22" t="s">
        <v>35</v>
      </c>
      <c r="S236" s="22" t="s">
        <v>34</v>
      </c>
      <c r="T236" s="22"/>
      <c r="U236" s="22"/>
      <c r="V236" s="22"/>
      <c r="W236" s="22"/>
      <c r="X236" s="22"/>
      <c r="Y236" s="22"/>
      <c r="Z236" s="22"/>
      <c r="AA236" s="22"/>
      <c r="AB236" s="22"/>
      <c r="AC236" s="22" t="s">
        <v>1920</v>
      </c>
      <c r="AD236" s="22">
        <v>20170413</v>
      </c>
      <c r="AE236" s="22">
        <v>235</v>
      </c>
      <c r="AF236" s="22"/>
      <c r="AG236" s="22" t="str">
        <f>IFERROR(VLOOKUP(TblFeedFile[[#This Row],[Leave Type ]],LkupPayType[],2,FALSE),"TBD")</f>
        <v>Closed</v>
      </c>
      <c r="AH236" s="22"/>
      <c r="AI236" s="25"/>
      <c r="AJ236" s="25"/>
      <c r="AK236" s="26"/>
    </row>
    <row r="237" spans="1:37" x14ac:dyDescent="0.25">
      <c r="A237" s="21" t="s">
        <v>37</v>
      </c>
      <c r="B237" s="22">
        <v>314304</v>
      </c>
      <c r="C237" s="22">
        <v>22249336</v>
      </c>
      <c r="D237" s="23" t="s">
        <v>2241</v>
      </c>
      <c r="E237" s="22" t="s">
        <v>1031</v>
      </c>
      <c r="F237" s="22" t="s">
        <v>2242</v>
      </c>
      <c r="G237" s="22">
        <v>20170213</v>
      </c>
      <c r="H237" s="22">
        <v>20170407</v>
      </c>
      <c r="I237" s="22" t="s">
        <v>223</v>
      </c>
      <c r="J237" s="22"/>
      <c r="K237" s="22"/>
      <c r="L237" s="22" t="s">
        <v>34</v>
      </c>
      <c r="M237" s="22" t="s">
        <v>34</v>
      </c>
      <c r="N237" s="22" t="s">
        <v>35</v>
      </c>
      <c r="O237" s="22" t="s">
        <v>35</v>
      </c>
      <c r="P237" s="22" t="s">
        <v>35</v>
      </c>
      <c r="Q237" s="22" t="s">
        <v>35</v>
      </c>
      <c r="R237" s="22" t="s">
        <v>35</v>
      </c>
      <c r="S237" s="22" t="s">
        <v>34</v>
      </c>
      <c r="T237" s="22">
        <v>20170410</v>
      </c>
      <c r="U237" s="22"/>
      <c r="V237" s="22"/>
      <c r="W237" s="22"/>
      <c r="X237" s="22"/>
      <c r="Y237" s="22"/>
      <c r="Z237" s="22"/>
      <c r="AA237" s="22"/>
      <c r="AB237" s="22"/>
      <c r="AC237" s="22" t="s">
        <v>1900</v>
      </c>
      <c r="AD237" s="22">
        <v>20170413</v>
      </c>
      <c r="AE237" s="22">
        <v>236</v>
      </c>
      <c r="AF237" s="22"/>
      <c r="AG237" s="22" t="str">
        <f>IFERROR(VLOOKUP(TblFeedFile[[#This Row],[Leave Type ]],LkupPayType[],2,FALSE),"TBD")</f>
        <v>Paid</v>
      </c>
      <c r="AH237" s="22"/>
      <c r="AI237" s="25" t="s">
        <v>35</v>
      </c>
      <c r="AJ237" s="25"/>
      <c r="AK237" s="26" t="s">
        <v>35</v>
      </c>
    </row>
    <row r="238" spans="1:37" x14ac:dyDescent="0.25">
      <c r="A238" s="21" t="s">
        <v>37</v>
      </c>
      <c r="B238" s="22">
        <v>314304</v>
      </c>
      <c r="C238" s="22">
        <v>22283386</v>
      </c>
      <c r="D238" s="23">
        <v>521704048982</v>
      </c>
      <c r="E238" s="22" t="s">
        <v>2243</v>
      </c>
      <c r="F238" s="22" t="s">
        <v>808</v>
      </c>
      <c r="G238" s="22">
        <v>20170411</v>
      </c>
      <c r="H238" s="22">
        <v>20170504</v>
      </c>
      <c r="I238" s="22" t="s">
        <v>40</v>
      </c>
      <c r="J238" s="22"/>
      <c r="K238" s="22"/>
      <c r="L238" s="22" t="s">
        <v>34</v>
      </c>
      <c r="M238" s="22" t="s">
        <v>34</v>
      </c>
      <c r="N238" s="22" t="s">
        <v>35</v>
      </c>
      <c r="O238" s="22" t="s">
        <v>35</v>
      </c>
      <c r="P238" s="22" t="s">
        <v>35</v>
      </c>
      <c r="Q238" s="22" t="s">
        <v>35</v>
      </c>
      <c r="R238" s="22" t="s">
        <v>35</v>
      </c>
      <c r="S238" s="22" t="s">
        <v>34</v>
      </c>
      <c r="T238" s="22"/>
      <c r="U238" s="22"/>
      <c r="V238" s="22"/>
      <c r="W238" s="22"/>
      <c r="X238" s="22"/>
      <c r="Y238" s="22"/>
      <c r="Z238" s="22"/>
      <c r="AA238" s="22"/>
      <c r="AB238" s="22"/>
      <c r="AC238" s="22" t="s">
        <v>1908</v>
      </c>
      <c r="AD238" s="22">
        <v>20170413</v>
      </c>
      <c r="AE238" s="22">
        <v>237</v>
      </c>
      <c r="AF238" s="22"/>
      <c r="AG238" s="22" t="str">
        <f>IFERROR(VLOOKUP(TblFeedFile[[#This Row],[Leave Type ]],LkupPayType[],2,FALSE),"TBD")</f>
        <v>Paid</v>
      </c>
      <c r="AH238" s="22"/>
      <c r="AI238" s="25"/>
      <c r="AJ238" s="25"/>
      <c r="AK238" s="26"/>
    </row>
    <row r="239" spans="1:37" x14ac:dyDescent="0.25">
      <c r="A239" s="21" t="s">
        <v>37</v>
      </c>
      <c r="B239" s="22">
        <v>314301</v>
      </c>
      <c r="C239" s="22">
        <v>22347606</v>
      </c>
      <c r="D239" s="23">
        <v>531703178983</v>
      </c>
      <c r="E239" s="22" t="s">
        <v>707</v>
      </c>
      <c r="F239" s="22" t="s">
        <v>2244</v>
      </c>
      <c r="G239" s="22">
        <v>20170412</v>
      </c>
      <c r="H239" s="22">
        <v>20170829</v>
      </c>
      <c r="I239" s="22" t="s">
        <v>53</v>
      </c>
      <c r="J239" s="22"/>
      <c r="K239" s="22"/>
      <c r="L239" s="22" t="s">
        <v>34</v>
      </c>
      <c r="M239" s="22" t="s">
        <v>34</v>
      </c>
      <c r="N239" s="22" t="s">
        <v>35</v>
      </c>
      <c r="O239" s="22" t="s">
        <v>35</v>
      </c>
      <c r="P239" s="22" t="s">
        <v>35</v>
      </c>
      <c r="Q239" s="22" t="s">
        <v>35</v>
      </c>
      <c r="R239" s="22" t="s">
        <v>35</v>
      </c>
      <c r="S239" s="22" t="s">
        <v>34</v>
      </c>
      <c r="T239" s="22"/>
      <c r="U239" s="22"/>
      <c r="V239" s="22"/>
      <c r="W239" s="22"/>
      <c r="X239" s="22"/>
      <c r="Y239" s="22"/>
      <c r="Z239" s="22"/>
      <c r="AA239" s="22"/>
      <c r="AB239" s="22"/>
      <c r="AC239" s="22" t="s">
        <v>1900</v>
      </c>
      <c r="AD239" s="22">
        <v>20170413</v>
      </c>
      <c r="AE239" s="22">
        <v>238</v>
      </c>
      <c r="AF239" s="22"/>
      <c r="AG239" s="22" t="str">
        <f>IFERROR(VLOOKUP(TblFeedFile[[#This Row],[Leave Type ]],LkupPayType[],2,FALSE),"TBD")</f>
        <v>Paid</v>
      </c>
      <c r="AH239" s="22"/>
      <c r="AI239" s="25"/>
      <c r="AJ239" s="25"/>
      <c r="AK239" s="26"/>
    </row>
    <row r="240" spans="1:37" x14ac:dyDescent="0.25">
      <c r="A240" s="21" t="s">
        <v>37</v>
      </c>
      <c r="B240" s="22">
        <v>314304</v>
      </c>
      <c r="C240" s="22">
        <v>22357733</v>
      </c>
      <c r="D240" s="23">
        <v>561703298106</v>
      </c>
      <c r="E240" s="22" t="s">
        <v>1977</v>
      </c>
      <c r="F240" s="22" t="s">
        <v>1978</v>
      </c>
      <c r="G240" s="22">
        <v>20170403</v>
      </c>
      <c r="H240" s="22">
        <v>20170428</v>
      </c>
      <c r="I240" s="22" t="s">
        <v>40</v>
      </c>
      <c r="J240" s="22"/>
      <c r="K240" s="22"/>
      <c r="L240" s="22" t="s">
        <v>35</v>
      </c>
      <c r="M240" s="22"/>
      <c r="N240" s="22"/>
      <c r="O240" s="22"/>
      <c r="P240" s="22"/>
      <c r="Q240" s="22"/>
      <c r="R240" s="22"/>
      <c r="S240" s="22"/>
      <c r="T240" s="22">
        <v>20170417</v>
      </c>
      <c r="U240" s="22"/>
      <c r="V240" s="22"/>
      <c r="W240" s="22"/>
      <c r="X240" s="22"/>
      <c r="Y240" s="22"/>
      <c r="Z240" s="22"/>
      <c r="AA240" s="22"/>
      <c r="AB240" s="22"/>
      <c r="AC240" s="22" t="s">
        <v>1914</v>
      </c>
      <c r="AD240" s="22">
        <v>20170413</v>
      </c>
      <c r="AE240" s="22">
        <v>239</v>
      </c>
      <c r="AF240" s="22"/>
      <c r="AG240" s="22" t="str">
        <f>IFERROR(VLOOKUP(TblFeedFile[[#This Row],[Leave Type ]],LkupPayType[],2,FALSE),"TBD")</f>
        <v>Paid</v>
      </c>
      <c r="AH240" s="22"/>
      <c r="AI240" s="25"/>
      <c r="AJ240" s="25"/>
      <c r="AK240" s="26" t="s">
        <v>35</v>
      </c>
    </row>
    <row r="241" spans="1:37" x14ac:dyDescent="0.25">
      <c r="A241" s="21" t="s">
        <v>29</v>
      </c>
      <c r="B241" s="22">
        <v>314301</v>
      </c>
      <c r="C241" s="22">
        <v>22367940</v>
      </c>
      <c r="D241" s="23" t="s">
        <v>2245</v>
      </c>
      <c r="E241" s="22" t="s">
        <v>2246</v>
      </c>
      <c r="F241" s="22" t="s">
        <v>2247</v>
      </c>
      <c r="G241" s="22">
        <v>20170325</v>
      </c>
      <c r="H241" s="22">
        <v>20170412</v>
      </c>
      <c r="I241" s="22" t="s">
        <v>78</v>
      </c>
      <c r="J241" s="22"/>
      <c r="K241" s="22" t="s">
        <v>79</v>
      </c>
      <c r="L241" s="22" t="s">
        <v>34</v>
      </c>
      <c r="M241" s="22" t="s">
        <v>34</v>
      </c>
      <c r="N241" s="22" t="s">
        <v>35</v>
      </c>
      <c r="O241" s="22" t="s">
        <v>35</v>
      </c>
      <c r="P241" s="22" t="s">
        <v>35</v>
      </c>
      <c r="Q241" s="22" t="s">
        <v>35</v>
      </c>
      <c r="R241" s="22" t="s">
        <v>35</v>
      </c>
      <c r="S241" s="22" t="s">
        <v>34</v>
      </c>
      <c r="T241" s="22"/>
      <c r="U241" s="22"/>
      <c r="V241" s="22"/>
      <c r="W241" s="22"/>
      <c r="X241" s="22"/>
      <c r="Y241" s="22"/>
      <c r="Z241" s="22"/>
      <c r="AA241" s="22"/>
      <c r="AB241" s="22"/>
      <c r="AC241" s="22" t="s">
        <v>1916</v>
      </c>
      <c r="AD241" s="22">
        <v>20170413</v>
      </c>
      <c r="AE241" s="22">
        <v>240</v>
      </c>
      <c r="AF241" s="22"/>
      <c r="AG241" s="22" t="str">
        <f>IFERROR(VLOOKUP(TblFeedFile[[#This Row],[Leave Type ]],LkupPayType[],2,FALSE),"TBD")</f>
        <v>Unpaid</v>
      </c>
      <c r="AH241" s="22"/>
      <c r="AI241" s="25"/>
      <c r="AJ241" s="25"/>
      <c r="AK241" s="26"/>
    </row>
    <row r="242" spans="1:37" x14ac:dyDescent="0.25">
      <c r="A242" s="21" t="s">
        <v>37</v>
      </c>
      <c r="B242" s="22">
        <v>314301</v>
      </c>
      <c r="C242" s="22">
        <v>22367940</v>
      </c>
      <c r="D242" s="23" t="s">
        <v>2245</v>
      </c>
      <c r="E242" s="22" t="s">
        <v>2246</v>
      </c>
      <c r="F242" s="22" t="s">
        <v>2247</v>
      </c>
      <c r="G242" s="22">
        <v>20170413</v>
      </c>
      <c r="H242" s="22">
        <v>20170413</v>
      </c>
      <c r="I242" s="22" t="s">
        <v>33</v>
      </c>
      <c r="J242" s="22"/>
      <c r="K242" s="22"/>
      <c r="L242" s="22" t="s">
        <v>34</v>
      </c>
      <c r="M242" s="22" t="s">
        <v>34</v>
      </c>
      <c r="N242" s="22" t="s">
        <v>35</v>
      </c>
      <c r="O242" s="22" t="s">
        <v>35</v>
      </c>
      <c r="P242" s="22" t="s">
        <v>35</v>
      </c>
      <c r="Q242" s="22" t="s">
        <v>35</v>
      </c>
      <c r="R242" s="22" t="s">
        <v>35</v>
      </c>
      <c r="S242" s="22" t="s">
        <v>34</v>
      </c>
      <c r="T242" s="22"/>
      <c r="U242" s="22"/>
      <c r="V242" s="22"/>
      <c r="W242" s="22"/>
      <c r="X242" s="22"/>
      <c r="Y242" s="22"/>
      <c r="Z242" s="22"/>
      <c r="AA242" s="22"/>
      <c r="AB242" s="22"/>
      <c r="AC242" s="22" t="s">
        <v>1929</v>
      </c>
      <c r="AD242" s="22">
        <v>20170413</v>
      </c>
      <c r="AE242" s="22">
        <v>241</v>
      </c>
      <c r="AF242" s="22"/>
      <c r="AG242" s="22" t="str">
        <f>IFERROR(VLOOKUP(TblFeedFile[[#This Row],[Leave Type ]],LkupPayType[],2,FALSE),"TBD")</f>
        <v>Closed</v>
      </c>
      <c r="AH242" s="22"/>
      <c r="AI242" s="25"/>
      <c r="AJ242" s="25"/>
      <c r="AK242" s="26"/>
    </row>
    <row r="243" spans="1:37" x14ac:dyDescent="0.25">
      <c r="A243" s="21" t="s">
        <v>29</v>
      </c>
      <c r="B243" s="22">
        <v>314304</v>
      </c>
      <c r="C243" s="22">
        <v>22384280</v>
      </c>
      <c r="D243" s="23" t="s">
        <v>2248</v>
      </c>
      <c r="E243" s="22" t="s">
        <v>2249</v>
      </c>
      <c r="F243" s="22" t="s">
        <v>1973</v>
      </c>
      <c r="G243" s="22">
        <v>20170213</v>
      </c>
      <c r="H243" s="22">
        <v>20170312</v>
      </c>
      <c r="I243" s="22" t="s">
        <v>49</v>
      </c>
      <c r="J243" s="22"/>
      <c r="K243" s="22"/>
      <c r="L243" s="22" t="s">
        <v>34</v>
      </c>
      <c r="M243" s="22" t="s">
        <v>34</v>
      </c>
      <c r="N243" s="22" t="s">
        <v>35</v>
      </c>
      <c r="O243" s="22" t="s">
        <v>35</v>
      </c>
      <c r="P243" s="22" t="s">
        <v>35</v>
      </c>
      <c r="Q243" s="22" t="s">
        <v>35</v>
      </c>
      <c r="R243" s="22" t="s">
        <v>35</v>
      </c>
      <c r="S243" s="22" t="s">
        <v>34</v>
      </c>
      <c r="T243" s="22">
        <v>20170412</v>
      </c>
      <c r="U243" s="22"/>
      <c r="V243" s="22"/>
      <c r="W243" s="22"/>
      <c r="X243" s="22"/>
      <c r="Y243" s="22"/>
      <c r="Z243" s="22"/>
      <c r="AA243" s="22"/>
      <c r="AB243" s="22"/>
      <c r="AC243" s="22" t="s">
        <v>1916</v>
      </c>
      <c r="AD243" s="22">
        <v>20170413</v>
      </c>
      <c r="AE243" s="22">
        <v>242</v>
      </c>
      <c r="AF243" s="22"/>
      <c r="AG243" s="22" t="str">
        <f>IFERROR(VLOOKUP(TblFeedFile[[#This Row],[Leave Type ]],LkupPayType[],2,FALSE),"TBD")</f>
        <v>Unpaid</v>
      </c>
      <c r="AH243" s="22"/>
      <c r="AI243" s="25"/>
      <c r="AJ243" s="25"/>
      <c r="AK243" s="26"/>
    </row>
    <row r="244" spans="1:37" x14ac:dyDescent="0.25">
      <c r="A244" s="21" t="s">
        <v>37</v>
      </c>
      <c r="B244" s="22">
        <v>314304</v>
      </c>
      <c r="C244" s="22">
        <v>22384280</v>
      </c>
      <c r="D244" s="23" t="s">
        <v>2248</v>
      </c>
      <c r="E244" s="22" t="s">
        <v>2249</v>
      </c>
      <c r="F244" s="22" t="s">
        <v>1973</v>
      </c>
      <c r="G244" s="22">
        <v>20170213</v>
      </c>
      <c r="H244" s="22">
        <v>20170330</v>
      </c>
      <c r="I244" s="22" t="s">
        <v>49</v>
      </c>
      <c r="J244" s="22"/>
      <c r="K244" s="22"/>
      <c r="L244" s="22" t="s">
        <v>34</v>
      </c>
      <c r="M244" s="22" t="s">
        <v>34</v>
      </c>
      <c r="N244" s="22" t="s">
        <v>35</v>
      </c>
      <c r="O244" s="22" t="s">
        <v>35</v>
      </c>
      <c r="P244" s="22" t="s">
        <v>35</v>
      </c>
      <c r="Q244" s="22" t="s">
        <v>35</v>
      </c>
      <c r="R244" s="22" t="s">
        <v>35</v>
      </c>
      <c r="S244" s="22" t="s">
        <v>34</v>
      </c>
      <c r="T244" s="22">
        <v>20170331</v>
      </c>
      <c r="U244" s="22"/>
      <c r="V244" s="22"/>
      <c r="W244" s="22"/>
      <c r="X244" s="22"/>
      <c r="Y244" s="22"/>
      <c r="Z244" s="22"/>
      <c r="AA244" s="22"/>
      <c r="AB244" s="22"/>
      <c r="AC244" s="22" t="s">
        <v>1916</v>
      </c>
      <c r="AD244" s="22">
        <v>20170413</v>
      </c>
      <c r="AE244" s="22">
        <v>243</v>
      </c>
      <c r="AF244" s="22"/>
      <c r="AG244" s="22" t="str">
        <f>IFERROR(VLOOKUP(TblFeedFile[[#This Row],[Leave Type ]],LkupPayType[],2,FALSE),"TBD")</f>
        <v>Unpaid</v>
      </c>
      <c r="AH244" s="22"/>
      <c r="AI244" s="25"/>
      <c r="AJ244" s="25"/>
      <c r="AK244" s="26" t="s">
        <v>35</v>
      </c>
    </row>
    <row r="245" spans="1:37" x14ac:dyDescent="0.25">
      <c r="A245" s="21" t="s">
        <v>37</v>
      </c>
      <c r="B245" s="22">
        <v>314304</v>
      </c>
      <c r="C245" s="22">
        <v>22394541</v>
      </c>
      <c r="D245" s="23" t="s">
        <v>2250</v>
      </c>
      <c r="E245" s="22" t="s">
        <v>1953</v>
      </c>
      <c r="F245" s="22" t="s">
        <v>1522</v>
      </c>
      <c r="G245" s="22">
        <v>20170406</v>
      </c>
      <c r="H245" s="22">
        <v>20170406</v>
      </c>
      <c r="I245" s="22" t="s">
        <v>43</v>
      </c>
      <c r="J245" s="22"/>
      <c r="K245" s="22"/>
      <c r="L245" s="22" t="s">
        <v>34</v>
      </c>
      <c r="M245" s="22" t="s">
        <v>34</v>
      </c>
      <c r="N245" s="22" t="s">
        <v>35</v>
      </c>
      <c r="O245" s="22" t="s">
        <v>35</v>
      </c>
      <c r="P245" s="22" t="s">
        <v>35</v>
      </c>
      <c r="Q245" s="22" t="s">
        <v>35</v>
      </c>
      <c r="R245" s="22" t="s">
        <v>35</v>
      </c>
      <c r="S245" s="22" t="s">
        <v>34</v>
      </c>
      <c r="T245" s="22"/>
      <c r="U245" s="22"/>
      <c r="V245" s="22"/>
      <c r="W245" s="22"/>
      <c r="X245" s="22"/>
      <c r="Y245" s="22"/>
      <c r="Z245" s="22"/>
      <c r="AA245" s="22"/>
      <c r="AB245" s="22"/>
      <c r="AC245" s="22" t="s">
        <v>1944</v>
      </c>
      <c r="AD245" s="22">
        <v>20170413</v>
      </c>
      <c r="AE245" s="22">
        <v>244</v>
      </c>
      <c r="AF245" s="22"/>
      <c r="AG245" s="22" t="str">
        <f>IFERROR(VLOOKUP(TblFeedFile[[#This Row],[Leave Type ]],LkupPayType[],2,FALSE),"TBD")</f>
        <v>Denied</v>
      </c>
      <c r="AH245" s="22"/>
      <c r="AI245" s="25"/>
      <c r="AJ245" s="25"/>
      <c r="AK245" s="26"/>
    </row>
    <row r="246" spans="1:37" x14ac:dyDescent="0.25">
      <c r="A246" s="21" t="s">
        <v>29</v>
      </c>
      <c r="B246" s="22">
        <v>314304</v>
      </c>
      <c r="C246" s="22">
        <v>22414853</v>
      </c>
      <c r="D246" s="23" t="s">
        <v>2251</v>
      </c>
      <c r="E246" s="22" t="s">
        <v>2252</v>
      </c>
      <c r="F246" s="22" t="s">
        <v>2043</v>
      </c>
      <c r="G246" s="22">
        <v>20161230</v>
      </c>
      <c r="H246" s="22">
        <v>20161229</v>
      </c>
      <c r="I246" s="22" t="s">
        <v>36</v>
      </c>
      <c r="J246" s="22"/>
      <c r="K246" s="22"/>
      <c r="L246" s="22" t="s">
        <v>34</v>
      </c>
      <c r="M246" s="22" t="s">
        <v>34</v>
      </c>
      <c r="N246" s="22" t="s">
        <v>35</v>
      </c>
      <c r="O246" s="22" t="s">
        <v>35</v>
      </c>
      <c r="P246" s="22" t="s">
        <v>35</v>
      </c>
      <c r="Q246" s="22" t="s">
        <v>35</v>
      </c>
      <c r="R246" s="22" t="s">
        <v>35</v>
      </c>
      <c r="S246" s="22" t="s">
        <v>34</v>
      </c>
      <c r="T246" s="22">
        <v>20161230</v>
      </c>
      <c r="U246" s="22"/>
      <c r="V246" s="22"/>
      <c r="W246" s="22"/>
      <c r="X246" s="22"/>
      <c r="Y246" s="22"/>
      <c r="Z246" s="22"/>
      <c r="AA246" s="22"/>
      <c r="AB246" s="22"/>
      <c r="AC246" s="22" t="s">
        <v>2173</v>
      </c>
      <c r="AD246" s="22">
        <v>20170413</v>
      </c>
      <c r="AE246" s="22">
        <v>245</v>
      </c>
      <c r="AF246" s="22"/>
      <c r="AG246" s="22" t="str">
        <f>IFERROR(VLOOKUP(TblFeedFile[[#This Row],[Leave Type ]],LkupPayType[],2,FALSE),"TBD")</f>
        <v>Unpaid</v>
      </c>
      <c r="AH246" s="22"/>
      <c r="AI246" s="25"/>
      <c r="AJ246" s="25"/>
      <c r="AK246" s="26"/>
    </row>
    <row r="247" spans="1:37" x14ac:dyDescent="0.25">
      <c r="A247" s="21" t="s">
        <v>37</v>
      </c>
      <c r="B247" s="22">
        <v>314304</v>
      </c>
      <c r="C247" s="22">
        <v>22414853</v>
      </c>
      <c r="D247" s="23" t="s">
        <v>2251</v>
      </c>
      <c r="E247" s="22" t="s">
        <v>2252</v>
      </c>
      <c r="F247" s="22" t="s">
        <v>2043</v>
      </c>
      <c r="G247" s="22">
        <v>20161230</v>
      </c>
      <c r="H247" s="22">
        <v>20170131</v>
      </c>
      <c r="I247" s="22" t="s">
        <v>36</v>
      </c>
      <c r="J247" s="22"/>
      <c r="K247" s="22"/>
      <c r="L247" s="22" t="s">
        <v>34</v>
      </c>
      <c r="M247" s="22" t="s">
        <v>34</v>
      </c>
      <c r="N247" s="22" t="s">
        <v>35</v>
      </c>
      <c r="O247" s="22" t="s">
        <v>35</v>
      </c>
      <c r="P247" s="22" t="s">
        <v>35</v>
      </c>
      <c r="Q247" s="22" t="s">
        <v>35</v>
      </c>
      <c r="R247" s="22" t="s">
        <v>35</v>
      </c>
      <c r="S247" s="22" t="s">
        <v>34</v>
      </c>
      <c r="T247" s="22"/>
      <c r="U247" s="22"/>
      <c r="V247" s="22"/>
      <c r="W247" s="22"/>
      <c r="X247" s="22"/>
      <c r="Y247" s="22"/>
      <c r="Z247" s="22"/>
      <c r="AA247" s="22"/>
      <c r="AB247" s="22"/>
      <c r="AC247" s="22" t="s">
        <v>2188</v>
      </c>
      <c r="AD247" s="22">
        <v>20170413</v>
      </c>
      <c r="AE247" s="22">
        <v>246</v>
      </c>
      <c r="AF247" s="22"/>
      <c r="AG247" s="22" t="str">
        <f>IFERROR(VLOOKUP(TblFeedFile[[#This Row],[Leave Type ]],LkupPayType[],2,FALSE),"TBD")</f>
        <v>Unpaid</v>
      </c>
      <c r="AH247" s="22"/>
      <c r="AI247" s="25"/>
      <c r="AJ247" s="25"/>
      <c r="AK247" s="26"/>
    </row>
    <row r="248" spans="1:37" x14ac:dyDescent="0.25">
      <c r="A248" s="21" t="s">
        <v>37</v>
      </c>
      <c r="B248" s="22">
        <v>314304</v>
      </c>
      <c r="C248" s="22">
        <v>22414853</v>
      </c>
      <c r="D248" s="23" t="s">
        <v>2251</v>
      </c>
      <c r="E248" s="22" t="s">
        <v>2252</v>
      </c>
      <c r="F248" s="22" t="s">
        <v>2043</v>
      </c>
      <c r="G248" s="22">
        <v>20170201</v>
      </c>
      <c r="H248" s="22">
        <v>20170201</v>
      </c>
      <c r="I248" s="22" t="s">
        <v>33</v>
      </c>
      <c r="J248" s="22"/>
      <c r="K248" s="22"/>
      <c r="L248" s="22" t="s">
        <v>34</v>
      </c>
      <c r="M248" s="22" t="s">
        <v>34</v>
      </c>
      <c r="N248" s="22" t="s">
        <v>35</v>
      </c>
      <c r="O248" s="22" t="s">
        <v>35</v>
      </c>
      <c r="P248" s="22" t="s">
        <v>35</v>
      </c>
      <c r="Q248" s="22" t="s">
        <v>35</v>
      </c>
      <c r="R248" s="22" t="s">
        <v>35</v>
      </c>
      <c r="S248" s="22" t="s">
        <v>34</v>
      </c>
      <c r="T248" s="22"/>
      <c r="U248" s="22"/>
      <c r="V248" s="22"/>
      <c r="W248" s="22"/>
      <c r="X248" s="22"/>
      <c r="Y248" s="22"/>
      <c r="Z248" s="22"/>
      <c r="AA248" s="22"/>
      <c r="AB248" s="22"/>
      <c r="AC248" s="22" t="s">
        <v>2189</v>
      </c>
      <c r="AD248" s="22">
        <v>20170413</v>
      </c>
      <c r="AE248" s="22">
        <v>247</v>
      </c>
      <c r="AF248" s="22"/>
      <c r="AG248" s="22" t="str">
        <f>IFERROR(VLOOKUP(TblFeedFile[[#This Row],[Leave Type ]],LkupPayType[],2,FALSE),"TBD")</f>
        <v>Closed</v>
      </c>
      <c r="AH248" s="22"/>
      <c r="AI248" s="25"/>
      <c r="AJ248" s="25"/>
      <c r="AK248" s="26"/>
    </row>
    <row r="249" spans="1:37" x14ac:dyDescent="0.25">
      <c r="A249" s="21" t="s">
        <v>37</v>
      </c>
      <c r="B249" s="22">
        <v>314301</v>
      </c>
      <c r="C249" s="22">
        <v>22428724</v>
      </c>
      <c r="D249" s="23">
        <v>571703018017</v>
      </c>
      <c r="E249" s="22" t="s">
        <v>382</v>
      </c>
      <c r="F249" s="22" t="s">
        <v>2253</v>
      </c>
      <c r="G249" s="22">
        <v>20170309</v>
      </c>
      <c r="H249" s="22">
        <v>20170414</v>
      </c>
      <c r="I249" s="22" t="s">
        <v>40</v>
      </c>
      <c r="J249" s="22"/>
      <c r="K249" s="22"/>
      <c r="L249" s="22" t="s">
        <v>34</v>
      </c>
      <c r="M249" s="22" t="s">
        <v>34</v>
      </c>
      <c r="N249" s="22" t="s">
        <v>35</v>
      </c>
      <c r="O249" s="22" t="s">
        <v>35</v>
      </c>
      <c r="P249" s="22" t="s">
        <v>35</v>
      </c>
      <c r="Q249" s="22" t="s">
        <v>35</v>
      </c>
      <c r="R249" s="22" t="s">
        <v>35</v>
      </c>
      <c r="S249" s="22" t="s">
        <v>34</v>
      </c>
      <c r="T249" s="22">
        <v>20170415</v>
      </c>
      <c r="U249" s="22"/>
      <c r="V249" s="22"/>
      <c r="W249" s="22"/>
      <c r="X249" s="22"/>
      <c r="Y249" s="22"/>
      <c r="Z249" s="22"/>
      <c r="AA249" s="22"/>
      <c r="AB249" s="22"/>
      <c r="AC249" s="22" t="s">
        <v>1951</v>
      </c>
      <c r="AD249" s="22">
        <v>20170413</v>
      </c>
      <c r="AE249" s="22">
        <v>248</v>
      </c>
      <c r="AF249" s="22"/>
      <c r="AG249" s="22" t="str">
        <f>IFERROR(VLOOKUP(TblFeedFile[[#This Row],[Leave Type ]],LkupPayType[],2,FALSE),"TBD")</f>
        <v>Paid</v>
      </c>
      <c r="AH249" s="22"/>
      <c r="AI249" s="25"/>
      <c r="AJ249" s="25"/>
      <c r="AK249" s="26" t="s">
        <v>35</v>
      </c>
    </row>
    <row r="250" spans="1:37" x14ac:dyDescent="0.25">
      <c r="A250" s="21" t="s">
        <v>29</v>
      </c>
      <c r="B250" s="22">
        <v>314304</v>
      </c>
      <c r="C250" s="22">
        <v>22480775</v>
      </c>
      <c r="D250" s="23" t="s">
        <v>2254</v>
      </c>
      <c r="E250" s="22" t="s">
        <v>138</v>
      </c>
      <c r="F250" s="22" t="s">
        <v>2255</v>
      </c>
      <c r="G250" s="22">
        <v>20170410</v>
      </c>
      <c r="H250" s="22">
        <v>20170410</v>
      </c>
      <c r="I250" s="22" t="s">
        <v>33</v>
      </c>
      <c r="J250" s="22"/>
      <c r="K250" s="22"/>
      <c r="L250" s="22" t="s">
        <v>34</v>
      </c>
      <c r="M250" s="22" t="s">
        <v>34</v>
      </c>
      <c r="N250" s="22" t="s">
        <v>35</v>
      </c>
      <c r="O250" s="22" t="s">
        <v>35</v>
      </c>
      <c r="P250" s="22" t="s">
        <v>35</v>
      </c>
      <c r="Q250" s="22" t="s">
        <v>35</v>
      </c>
      <c r="R250" s="22" t="s">
        <v>35</v>
      </c>
      <c r="S250" s="22" t="s">
        <v>34</v>
      </c>
      <c r="T250" s="22"/>
      <c r="U250" s="22"/>
      <c r="V250" s="22"/>
      <c r="W250" s="22"/>
      <c r="X250" s="22"/>
      <c r="Y250" s="22"/>
      <c r="Z250" s="22"/>
      <c r="AA250" s="22"/>
      <c r="AB250" s="22"/>
      <c r="AC250" s="22" t="s">
        <v>1905</v>
      </c>
      <c r="AD250" s="22">
        <v>20170413</v>
      </c>
      <c r="AE250" s="22">
        <v>249</v>
      </c>
      <c r="AF250" s="22"/>
      <c r="AG250" s="22" t="str">
        <f>IFERROR(VLOOKUP(TblFeedFile[[#This Row],[Leave Type ]],LkupPayType[],2,FALSE),"TBD")</f>
        <v>Closed</v>
      </c>
      <c r="AH250" s="22"/>
      <c r="AI250" s="25"/>
      <c r="AJ250" s="25"/>
      <c r="AK250" s="26"/>
    </row>
    <row r="251" spans="1:37" x14ac:dyDescent="0.25">
      <c r="A251" s="21" t="s">
        <v>29</v>
      </c>
      <c r="B251" s="22">
        <v>314304</v>
      </c>
      <c r="C251" s="22">
        <v>22480775</v>
      </c>
      <c r="D251" s="23">
        <v>541702138864</v>
      </c>
      <c r="E251" s="22" t="s">
        <v>138</v>
      </c>
      <c r="F251" s="22" t="s">
        <v>2255</v>
      </c>
      <c r="G251" s="22">
        <v>20170227</v>
      </c>
      <c r="H251" s="22">
        <v>20170409</v>
      </c>
      <c r="I251" s="22" t="s">
        <v>40</v>
      </c>
      <c r="J251" s="22"/>
      <c r="K251" s="22"/>
      <c r="L251" s="22" t="s">
        <v>34</v>
      </c>
      <c r="M251" s="22" t="s">
        <v>34</v>
      </c>
      <c r="N251" s="22" t="s">
        <v>35</v>
      </c>
      <c r="O251" s="22" t="s">
        <v>35</v>
      </c>
      <c r="P251" s="22" t="s">
        <v>35</v>
      </c>
      <c r="Q251" s="22" t="s">
        <v>35</v>
      </c>
      <c r="R251" s="22" t="s">
        <v>35</v>
      </c>
      <c r="S251" s="22" t="s">
        <v>34</v>
      </c>
      <c r="T251" s="22"/>
      <c r="U251" s="22"/>
      <c r="V251" s="22"/>
      <c r="W251" s="22"/>
      <c r="X251" s="22"/>
      <c r="Y251" s="22"/>
      <c r="Z251" s="22"/>
      <c r="AA251" s="22"/>
      <c r="AB251" s="22"/>
      <c r="AC251" s="22" t="s">
        <v>1913</v>
      </c>
      <c r="AD251" s="22">
        <v>20170413</v>
      </c>
      <c r="AE251" s="22">
        <v>250</v>
      </c>
      <c r="AF251" s="22"/>
      <c r="AG251" s="22" t="str">
        <f>IFERROR(VLOOKUP(TblFeedFile[[#This Row],[Leave Type ]],LkupPayType[],2,FALSE),"TBD")</f>
        <v>Paid</v>
      </c>
      <c r="AH251" s="22"/>
      <c r="AI251" s="25"/>
      <c r="AJ251" s="25"/>
      <c r="AK251" s="26"/>
    </row>
    <row r="252" spans="1:37" x14ac:dyDescent="0.25">
      <c r="A252" s="21" t="s">
        <v>37</v>
      </c>
      <c r="B252" s="22">
        <v>314304</v>
      </c>
      <c r="C252" s="22">
        <v>22480775</v>
      </c>
      <c r="D252" s="23">
        <v>541702138864</v>
      </c>
      <c r="E252" s="22" t="s">
        <v>138</v>
      </c>
      <c r="F252" s="22" t="s">
        <v>2255</v>
      </c>
      <c r="G252" s="22">
        <v>20170227</v>
      </c>
      <c r="H252" s="22">
        <v>20170423</v>
      </c>
      <c r="I252" s="22" t="s">
        <v>40</v>
      </c>
      <c r="J252" s="22"/>
      <c r="K252" s="22"/>
      <c r="L252" s="22" t="s">
        <v>34</v>
      </c>
      <c r="M252" s="22" t="s">
        <v>34</v>
      </c>
      <c r="N252" s="22" t="s">
        <v>35</v>
      </c>
      <c r="O252" s="22" t="s">
        <v>35</v>
      </c>
      <c r="P252" s="22" t="s">
        <v>35</v>
      </c>
      <c r="Q252" s="22" t="s">
        <v>35</v>
      </c>
      <c r="R252" s="22" t="s">
        <v>35</v>
      </c>
      <c r="S252" s="22" t="s">
        <v>34</v>
      </c>
      <c r="T252" s="22"/>
      <c r="U252" s="22"/>
      <c r="V252" s="22"/>
      <c r="W252" s="22"/>
      <c r="X252" s="22"/>
      <c r="Y252" s="22"/>
      <c r="Z252" s="22"/>
      <c r="AA252" s="22"/>
      <c r="AB252" s="22"/>
      <c r="AC252" s="22" t="s">
        <v>1913</v>
      </c>
      <c r="AD252" s="22">
        <v>20170413</v>
      </c>
      <c r="AE252" s="22">
        <v>251</v>
      </c>
      <c r="AF252" s="22"/>
      <c r="AG252" s="22" t="str">
        <f>IFERROR(VLOOKUP(TblFeedFile[[#This Row],[Leave Type ]],LkupPayType[],2,FALSE),"TBD")</f>
        <v>Paid</v>
      </c>
      <c r="AH252" s="22"/>
      <c r="AI252" s="25" t="s">
        <v>35</v>
      </c>
      <c r="AJ252" s="25"/>
      <c r="AK252" s="26"/>
    </row>
    <row r="253" spans="1:37" x14ac:dyDescent="0.25">
      <c r="A253" s="21" t="s">
        <v>29</v>
      </c>
      <c r="B253" s="22">
        <v>314301</v>
      </c>
      <c r="C253" s="22">
        <v>22509365</v>
      </c>
      <c r="D253" s="23">
        <v>551702218365</v>
      </c>
      <c r="E253" s="22" t="s">
        <v>2089</v>
      </c>
      <c r="F253" s="22" t="s">
        <v>2256</v>
      </c>
      <c r="G253" s="22">
        <v>20170222</v>
      </c>
      <c r="H253" s="22">
        <v>20170406</v>
      </c>
      <c r="I253" s="22" t="s">
        <v>40</v>
      </c>
      <c r="J253" s="22"/>
      <c r="K253" s="22"/>
      <c r="L253" s="22" t="s">
        <v>34</v>
      </c>
      <c r="M253" s="22" t="s">
        <v>34</v>
      </c>
      <c r="N253" s="22" t="s">
        <v>35</v>
      </c>
      <c r="O253" s="22" t="s">
        <v>35</v>
      </c>
      <c r="P253" s="22" t="s">
        <v>35</v>
      </c>
      <c r="Q253" s="22" t="s">
        <v>35</v>
      </c>
      <c r="R253" s="22" t="s">
        <v>35</v>
      </c>
      <c r="S253" s="22" t="s">
        <v>34</v>
      </c>
      <c r="T253" s="22">
        <v>20170407</v>
      </c>
      <c r="U253" s="22"/>
      <c r="V253" s="22"/>
      <c r="W253" s="22"/>
      <c r="X253" s="22"/>
      <c r="Y253" s="22"/>
      <c r="Z253" s="22"/>
      <c r="AA253" s="22"/>
      <c r="AB253" s="22"/>
      <c r="AC253" s="22" t="s">
        <v>1945</v>
      </c>
      <c r="AD253" s="22">
        <v>20170413</v>
      </c>
      <c r="AE253" s="22">
        <v>252</v>
      </c>
      <c r="AF253" s="22"/>
      <c r="AG253" s="22" t="str">
        <f>IFERROR(VLOOKUP(TblFeedFile[[#This Row],[Leave Type ]],LkupPayType[],2,FALSE),"TBD")</f>
        <v>Paid</v>
      </c>
      <c r="AH253" s="22"/>
      <c r="AI253" s="25"/>
      <c r="AJ253" s="25"/>
      <c r="AK253" s="26"/>
    </row>
    <row r="254" spans="1:37" x14ac:dyDescent="0.25">
      <c r="A254" s="21" t="s">
        <v>37</v>
      </c>
      <c r="B254" s="22">
        <v>314301</v>
      </c>
      <c r="C254" s="22">
        <v>22509365</v>
      </c>
      <c r="D254" s="23">
        <v>551702218365</v>
      </c>
      <c r="E254" s="22" t="s">
        <v>2089</v>
      </c>
      <c r="F254" s="22" t="s">
        <v>2256</v>
      </c>
      <c r="G254" s="22">
        <v>20170222</v>
      </c>
      <c r="H254" s="22">
        <v>20170423</v>
      </c>
      <c r="I254" s="22" t="s">
        <v>40</v>
      </c>
      <c r="J254" s="22"/>
      <c r="K254" s="22"/>
      <c r="L254" s="22" t="s">
        <v>34</v>
      </c>
      <c r="M254" s="22" t="s">
        <v>34</v>
      </c>
      <c r="N254" s="22" t="s">
        <v>35</v>
      </c>
      <c r="O254" s="22" t="s">
        <v>35</v>
      </c>
      <c r="P254" s="22" t="s">
        <v>35</v>
      </c>
      <c r="Q254" s="22" t="s">
        <v>35</v>
      </c>
      <c r="R254" s="22" t="s">
        <v>35</v>
      </c>
      <c r="S254" s="22" t="s">
        <v>34</v>
      </c>
      <c r="T254" s="22"/>
      <c r="U254" s="22"/>
      <c r="V254" s="22"/>
      <c r="W254" s="22"/>
      <c r="X254" s="22"/>
      <c r="Y254" s="22"/>
      <c r="Z254" s="22"/>
      <c r="AA254" s="22"/>
      <c r="AB254" s="22"/>
      <c r="AC254" s="22" t="s">
        <v>1902</v>
      </c>
      <c r="AD254" s="22">
        <v>20170413</v>
      </c>
      <c r="AE254" s="22">
        <v>253</v>
      </c>
      <c r="AF254" s="22"/>
      <c r="AG254" s="22" t="str">
        <f>IFERROR(VLOOKUP(TblFeedFile[[#This Row],[Leave Type ]],LkupPayType[],2,FALSE),"TBD")</f>
        <v>Paid</v>
      </c>
      <c r="AH254" s="22"/>
      <c r="AI254" s="25"/>
      <c r="AJ254" s="25"/>
      <c r="AK254" s="26"/>
    </row>
    <row r="255" spans="1:37" x14ac:dyDescent="0.25">
      <c r="A255" s="21" t="s">
        <v>29</v>
      </c>
      <c r="B255" s="22">
        <v>314304</v>
      </c>
      <c r="C255" s="22">
        <v>22566677</v>
      </c>
      <c r="D255" s="23" t="s">
        <v>2257</v>
      </c>
      <c r="E255" s="22" t="s">
        <v>107</v>
      </c>
      <c r="F255" s="22" t="s">
        <v>2258</v>
      </c>
      <c r="G255" s="22">
        <v>20170220</v>
      </c>
      <c r="H255" s="22">
        <v>20170220</v>
      </c>
      <c r="I255" s="22" t="s">
        <v>33</v>
      </c>
      <c r="J255" s="22"/>
      <c r="K255" s="22"/>
      <c r="L255" s="22" t="s">
        <v>34</v>
      </c>
      <c r="M255" s="22" t="s">
        <v>34</v>
      </c>
      <c r="N255" s="22" t="s">
        <v>35</v>
      </c>
      <c r="O255" s="22" t="s">
        <v>35</v>
      </c>
      <c r="P255" s="22" t="s">
        <v>35</v>
      </c>
      <c r="Q255" s="22" t="s">
        <v>35</v>
      </c>
      <c r="R255" s="22" t="s">
        <v>35</v>
      </c>
      <c r="S255" s="22" t="s">
        <v>34</v>
      </c>
      <c r="T255" s="22"/>
      <c r="U255" s="22"/>
      <c r="V255" s="22"/>
      <c r="W255" s="22"/>
      <c r="X255" s="22"/>
      <c r="Y255" s="22"/>
      <c r="Z255" s="22"/>
      <c r="AA255" s="22"/>
      <c r="AB255" s="22"/>
      <c r="AC255" s="22" t="s">
        <v>1920</v>
      </c>
      <c r="AD255" s="22">
        <v>20170413</v>
      </c>
      <c r="AE255" s="22">
        <v>254</v>
      </c>
      <c r="AF255" s="22"/>
      <c r="AG255" s="22" t="str">
        <f>IFERROR(VLOOKUP(TblFeedFile[[#This Row],[Leave Type ]],LkupPayType[],2,FALSE),"TBD")</f>
        <v>Closed</v>
      </c>
      <c r="AH255" s="22"/>
      <c r="AI255" s="25"/>
      <c r="AJ255" s="25"/>
      <c r="AK255" s="26"/>
    </row>
    <row r="256" spans="1:37" x14ac:dyDescent="0.25">
      <c r="A256" s="21" t="s">
        <v>29</v>
      </c>
      <c r="B256" s="22">
        <v>314304</v>
      </c>
      <c r="C256" s="22">
        <v>22589100</v>
      </c>
      <c r="D256" s="23" t="s">
        <v>2259</v>
      </c>
      <c r="E256" s="22" t="s">
        <v>2260</v>
      </c>
      <c r="F256" s="22" t="s">
        <v>2261</v>
      </c>
      <c r="G256" s="22">
        <v>20161214</v>
      </c>
      <c r="H256" s="22">
        <v>20170124</v>
      </c>
      <c r="I256" s="22" t="s">
        <v>156</v>
      </c>
      <c r="J256" s="22"/>
      <c r="K256" s="22"/>
      <c r="L256" s="22" t="s">
        <v>34</v>
      </c>
      <c r="M256" s="22" t="s">
        <v>34</v>
      </c>
      <c r="N256" s="22" t="s">
        <v>35</v>
      </c>
      <c r="O256" s="22" t="s">
        <v>35</v>
      </c>
      <c r="P256" s="22" t="s">
        <v>35</v>
      </c>
      <c r="Q256" s="22" t="s">
        <v>35</v>
      </c>
      <c r="R256" s="22" t="s">
        <v>35</v>
      </c>
      <c r="S256" s="22" t="s">
        <v>34</v>
      </c>
      <c r="T256" s="22"/>
      <c r="U256" s="22"/>
      <c r="V256" s="22"/>
      <c r="W256" s="22"/>
      <c r="X256" s="22"/>
      <c r="Y256" s="22"/>
      <c r="Z256" s="22"/>
      <c r="AA256" s="22"/>
      <c r="AB256" s="22"/>
      <c r="AC256" s="22" t="s">
        <v>1972</v>
      </c>
      <c r="AD256" s="22">
        <v>20170413</v>
      </c>
      <c r="AE256" s="22">
        <v>255</v>
      </c>
      <c r="AF256" s="22"/>
      <c r="AG256" s="22" t="str">
        <f>IFERROR(VLOOKUP(TblFeedFile[[#This Row],[Leave Type ]],LkupPayType[],2,FALSE),"TBD")</f>
        <v>Unpaid</v>
      </c>
      <c r="AH256" s="22"/>
      <c r="AI256" s="25"/>
      <c r="AJ256" s="25"/>
      <c r="AK256" s="26"/>
    </row>
    <row r="257" spans="1:37" x14ac:dyDescent="0.25">
      <c r="A257" s="21" t="s">
        <v>29</v>
      </c>
      <c r="B257" s="22">
        <v>314301</v>
      </c>
      <c r="C257" s="22">
        <v>22611655</v>
      </c>
      <c r="D257" s="23" t="s">
        <v>2262</v>
      </c>
      <c r="E257" s="22" t="s">
        <v>637</v>
      </c>
      <c r="F257" s="22" t="s">
        <v>657</v>
      </c>
      <c r="G257" s="22">
        <v>20170410</v>
      </c>
      <c r="H257" s="22">
        <v>20170410</v>
      </c>
      <c r="I257" s="22" t="s">
        <v>33</v>
      </c>
      <c r="J257" s="22"/>
      <c r="K257" s="22"/>
      <c r="L257" s="22" t="s">
        <v>34</v>
      </c>
      <c r="M257" s="22" t="s">
        <v>34</v>
      </c>
      <c r="N257" s="22" t="s">
        <v>35</v>
      </c>
      <c r="O257" s="22" t="s">
        <v>35</v>
      </c>
      <c r="P257" s="22" t="s">
        <v>35</v>
      </c>
      <c r="Q257" s="22" t="s">
        <v>35</v>
      </c>
      <c r="R257" s="22" t="s">
        <v>35</v>
      </c>
      <c r="S257" s="22" t="s">
        <v>34</v>
      </c>
      <c r="T257" s="22"/>
      <c r="U257" s="22"/>
      <c r="V257" s="22"/>
      <c r="W257" s="22"/>
      <c r="X257" s="22"/>
      <c r="Y257" s="22"/>
      <c r="Z257" s="22"/>
      <c r="AA257" s="22"/>
      <c r="AB257" s="22"/>
      <c r="AC257" s="22" t="s">
        <v>1917</v>
      </c>
      <c r="AD257" s="22">
        <v>20170413</v>
      </c>
      <c r="AE257" s="22">
        <v>256</v>
      </c>
      <c r="AF257" s="22"/>
      <c r="AG257" s="22" t="str">
        <f>IFERROR(VLOOKUP(TblFeedFile[[#This Row],[Leave Type ]],LkupPayType[],2,FALSE),"TBD")</f>
        <v>Closed</v>
      </c>
      <c r="AH257" s="22"/>
      <c r="AI257" s="25"/>
      <c r="AJ257" s="25"/>
      <c r="AK257" s="26"/>
    </row>
    <row r="258" spans="1:37" x14ac:dyDescent="0.25">
      <c r="A258" s="21" t="s">
        <v>37</v>
      </c>
      <c r="B258" s="22">
        <v>314301</v>
      </c>
      <c r="C258" s="22">
        <v>22611655</v>
      </c>
      <c r="D258" s="23" t="s">
        <v>2262</v>
      </c>
      <c r="E258" s="22" t="s">
        <v>637</v>
      </c>
      <c r="F258" s="22" t="s">
        <v>657</v>
      </c>
      <c r="G258" s="22">
        <v>20170213</v>
      </c>
      <c r="H258" s="22">
        <v>20170409</v>
      </c>
      <c r="I258" s="22" t="s">
        <v>185</v>
      </c>
      <c r="J258" s="22"/>
      <c r="K258" s="22"/>
      <c r="L258" s="22" t="s">
        <v>34</v>
      </c>
      <c r="M258" s="22" t="s">
        <v>34</v>
      </c>
      <c r="N258" s="22" t="s">
        <v>35</v>
      </c>
      <c r="O258" s="22" t="s">
        <v>35</v>
      </c>
      <c r="P258" s="22" t="s">
        <v>35</v>
      </c>
      <c r="Q258" s="22" t="s">
        <v>35</v>
      </c>
      <c r="R258" s="22" t="s">
        <v>35</v>
      </c>
      <c r="S258" s="22" t="s">
        <v>34</v>
      </c>
      <c r="T258" s="22">
        <v>20170410</v>
      </c>
      <c r="U258" s="22"/>
      <c r="V258" s="22"/>
      <c r="W258" s="22"/>
      <c r="X258" s="22"/>
      <c r="Y258" s="22"/>
      <c r="Z258" s="22"/>
      <c r="AA258" s="22"/>
      <c r="AB258" s="22"/>
      <c r="AC258" s="22" t="s">
        <v>1900</v>
      </c>
      <c r="AD258" s="22">
        <v>20170413</v>
      </c>
      <c r="AE258" s="22">
        <v>257</v>
      </c>
      <c r="AF258" s="22"/>
      <c r="AG258" s="22" t="str">
        <f>IFERROR(VLOOKUP(TblFeedFile[[#This Row],[Leave Type ]],LkupPayType[],2,FALSE),"TBD")</f>
        <v>Unpaid</v>
      </c>
      <c r="AH258" s="22"/>
      <c r="AI258" s="25" t="s">
        <v>35</v>
      </c>
      <c r="AJ258" s="25"/>
      <c r="AK258" s="26" t="s">
        <v>35</v>
      </c>
    </row>
    <row r="259" spans="1:37" x14ac:dyDescent="0.25">
      <c r="A259" s="21" t="s">
        <v>29</v>
      </c>
      <c r="B259" s="22">
        <v>314304</v>
      </c>
      <c r="C259" s="22">
        <v>22611975</v>
      </c>
      <c r="D259" s="23" t="s">
        <v>2263</v>
      </c>
      <c r="E259" s="22" t="s">
        <v>2264</v>
      </c>
      <c r="F259" s="22" t="s">
        <v>1058</v>
      </c>
      <c r="G259" s="22">
        <v>20170410</v>
      </c>
      <c r="H259" s="22">
        <v>20171204</v>
      </c>
      <c r="I259" s="22" t="s">
        <v>36</v>
      </c>
      <c r="J259" s="22"/>
      <c r="K259" s="22"/>
      <c r="L259" s="22" t="s">
        <v>35</v>
      </c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 t="s">
        <v>1917</v>
      </c>
      <c r="AD259" s="22">
        <v>20170413</v>
      </c>
      <c r="AE259" s="22">
        <v>258</v>
      </c>
      <c r="AF259" s="22"/>
      <c r="AG259" s="22" t="str">
        <f>IFERROR(VLOOKUP(TblFeedFile[[#This Row],[Leave Type ]],LkupPayType[],2,FALSE),"TBD")</f>
        <v>Unpaid</v>
      </c>
      <c r="AH259" s="22"/>
      <c r="AI259" s="25"/>
      <c r="AJ259" s="25"/>
      <c r="AK259" s="26"/>
    </row>
    <row r="260" spans="1:37" x14ac:dyDescent="0.25">
      <c r="A260" s="21" t="s">
        <v>37</v>
      </c>
      <c r="B260" s="22">
        <v>314304</v>
      </c>
      <c r="C260" s="22">
        <v>22611975</v>
      </c>
      <c r="D260" s="23" t="s">
        <v>2263</v>
      </c>
      <c r="E260" s="22" t="s">
        <v>2264</v>
      </c>
      <c r="F260" s="22" t="s">
        <v>1058</v>
      </c>
      <c r="G260" s="22">
        <v>20170410</v>
      </c>
      <c r="H260" s="22">
        <v>20171204</v>
      </c>
      <c r="I260" s="22" t="s">
        <v>78</v>
      </c>
      <c r="J260" s="22"/>
      <c r="K260" s="22" t="s">
        <v>79</v>
      </c>
      <c r="L260" s="22" t="s">
        <v>35</v>
      </c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 t="s">
        <v>1897</v>
      </c>
      <c r="AD260" s="22">
        <v>20170413</v>
      </c>
      <c r="AE260" s="22">
        <v>259</v>
      </c>
      <c r="AF260" s="22"/>
      <c r="AG260" s="22" t="str">
        <f>IFERROR(VLOOKUP(TblFeedFile[[#This Row],[Leave Type ]],LkupPayType[],2,FALSE),"TBD")</f>
        <v>Unpaid</v>
      </c>
      <c r="AH260" s="22"/>
      <c r="AI260" s="25"/>
      <c r="AJ260" s="25"/>
      <c r="AK260" s="26"/>
    </row>
    <row r="261" spans="1:37" x14ac:dyDescent="0.25">
      <c r="A261" s="21" t="s">
        <v>37</v>
      </c>
      <c r="B261" s="22">
        <v>314304</v>
      </c>
      <c r="C261" s="22">
        <v>22611975</v>
      </c>
      <c r="D261" s="23">
        <v>541703238074</v>
      </c>
      <c r="E261" s="22" t="s">
        <v>2264</v>
      </c>
      <c r="F261" s="22" t="s">
        <v>1058</v>
      </c>
      <c r="G261" s="22">
        <v>20170411</v>
      </c>
      <c r="H261" s="22">
        <v>20171204</v>
      </c>
      <c r="I261" s="22" t="s">
        <v>53</v>
      </c>
      <c r="J261" s="22"/>
      <c r="K261" s="22"/>
      <c r="L261" s="22" t="s">
        <v>35</v>
      </c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 t="s">
        <v>1943</v>
      </c>
      <c r="AD261" s="22">
        <v>20170413</v>
      </c>
      <c r="AE261" s="22">
        <v>260</v>
      </c>
      <c r="AF261" s="22"/>
      <c r="AG261" s="22" t="str">
        <f>IFERROR(VLOOKUP(TblFeedFile[[#This Row],[Leave Type ]],LkupPayType[],2,FALSE),"TBD")</f>
        <v>Paid</v>
      </c>
      <c r="AH261" s="22"/>
      <c r="AI261" s="25"/>
      <c r="AJ261" s="25"/>
      <c r="AK261" s="26"/>
    </row>
    <row r="262" spans="1:37" x14ac:dyDescent="0.25">
      <c r="A262" s="21" t="s">
        <v>37</v>
      </c>
      <c r="B262" s="22">
        <v>314301</v>
      </c>
      <c r="C262" s="22">
        <v>22651295</v>
      </c>
      <c r="D262" s="23" t="s">
        <v>1980</v>
      </c>
      <c r="E262" s="22" t="s">
        <v>1981</v>
      </c>
      <c r="F262" s="22" t="s">
        <v>1982</v>
      </c>
      <c r="G262" s="22">
        <v>20170221</v>
      </c>
      <c r="H262" s="22">
        <v>20170409</v>
      </c>
      <c r="I262" s="22" t="s">
        <v>223</v>
      </c>
      <c r="J262" s="22"/>
      <c r="K262" s="22"/>
      <c r="L262" s="22" t="s">
        <v>34</v>
      </c>
      <c r="M262" s="22" t="s">
        <v>34</v>
      </c>
      <c r="N262" s="22" t="s">
        <v>35</v>
      </c>
      <c r="O262" s="22" t="s">
        <v>35</v>
      </c>
      <c r="P262" s="22" t="s">
        <v>35</v>
      </c>
      <c r="Q262" s="22" t="s">
        <v>35</v>
      </c>
      <c r="R262" s="22" t="s">
        <v>35</v>
      </c>
      <c r="S262" s="22" t="s">
        <v>34</v>
      </c>
      <c r="T262" s="22">
        <v>20170410</v>
      </c>
      <c r="U262" s="22"/>
      <c r="V262" s="22"/>
      <c r="W262" s="22"/>
      <c r="X262" s="22"/>
      <c r="Y262" s="22"/>
      <c r="Z262" s="22"/>
      <c r="AA262" s="22"/>
      <c r="AB262" s="22"/>
      <c r="AC262" s="22" t="s">
        <v>1902</v>
      </c>
      <c r="AD262" s="22">
        <v>20170413</v>
      </c>
      <c r="AE262" s="22">
        <v>261</v>
      </c>
      <c r="AF262" s="22"/>
      <c r="AG262" s="22" t="str">
        <f>IFERROR(VLOOKUP(TblFeedFile[[#This Row],[Leave Type ]],LkupPayType[],2,FALSE),"TBD")</f>
        <v>Paid</v>
      </c>
      <c r="AH262" s="22"/>
      <c r="AI262" s="25"/>
      <c r="AJ262" s="25"/>
      <c r="AK262" s="26" t="s">
        <v>35</v>
      </c>
    </row>
    <row r="263" spans="1:37" x14ac:dyDescent="0.25">
      <c r="A263" s="21" t="s">
        <v>29</v>
      </c>
      <c r="B263" s="22">
        <v>314304</v>
      </c>
      <c r="C263" s="22">
        <v>22651406</v>
      </c>
      <c r="D263" s="23">
        <v>501702218520</v>
      </c>
      <c r="E263" s="22" t="s">
        <v>2265</v>
      </c>
      <c r="F263" s="22" t="s">
        <v>2266</v>
      </c>
      <c r="G263" s="22">
        <v>20170303</v>
      </c>
      <c r="H263" s="22">
        <v>20170330</v>
      </c>
      <c r="I263" s="22" t="s">
        <v>53</v>
      </c>
      <c r="J263" s="22"/>
      <c r="K263" s="22"/>
      <c r="L263" s="22" t="s">
        <v>34</v>
      </c>
      <c r="M263" s="22" t="s">
        <v>34</v>
      </c>
      <c r="N263" s="22" t="s">
        <v>35</v>
      </c>
      <c r="O263" s="22" t="s">
        <v>35</v>
      </c>
      <c r="P263" s="22" t="s">
        <v>35</v>
      </c>
      <c r="Q263" s="22" t="s">
        <v>35</v>
      </c>
      <c r="R263" s="22" t="s">
        <v>35</v>
      </c>
      <c r="S263" s="22" t="s">
        <v>34</v>
      </c>
      <c r="T263" s="22"/>
      <c r="U263" s="22"/>
      <c r="V263" s="22"/>
      <c r="W263" s="22"/>
      <c r="X263" s="22"/>
      <c r="Y263" s="22"/>
      <c r="Z263" s="22"/>
      <c r="AA263" s="22"/>
      <c r="AB263" s="22"/>
      <c r="AC263" s="22" t="s">
        <v>1897</v>
      </c>
      <c r="AD263" s="22">
        <v>20170413</v>
      </c>
      <c r="AE263" s="22">
        <v>262</v>
      </c>
      <c r="AF263" s="22"/>
      <c r="AG263" s="22" t="str">
        <f>IFERROR(VLOOKUP(TblFeedFile[[#This Row],[Leave Type ]],LkupPayType[],2,FALSE),"TBD")</f>
        <v>Paid</v>
      </c>
      <c r="AH263" s="22"/>
      <c r="AI263" s="25"/>
      <c r="AJ263" s="25"/>
      <c r="AK263" s="26"/>
    </row>
    <row r="264" spans="1:37" x14ac:dyDescent="0.25">
      <c r="A264" s="21" t="s">
        <v>29</v>
      </c>
      <c r="B264" s="22">
        <v>314304</v>
      </c>
      <c r="C264" s="22">
        <v>22651406</v>
      </c>
      <c r="D264" s="23">
        <v>501702218520</v>
      </c>
      <c r="E264" s="22" t="s">
        <v>2265</v>
      </c>
      <c r="F264" s="22" t="s">
        <v>2266</v>
      </c>
      <c r="G264" s="22">
        <v>20170302</v>
      </c>
      <c r="H264" s="22">
        <v>20170501</v>
      </c>
      <c r="I264" s="22" t="s">
        <v>53</v>
      </c>
      <c r="J264" s="22"/>
      <c r="K264" s="22"/>
      <c r="L264" s="22" t="s">
        <v>34</v>
      </c>
      <c r="M264" s="22" t="s">
        <v>34</v>
      </c>
      <c r="N264" s="22" t="s">
        <v>35</v>
      </c>
      <c r="O264" s="22" t="s">
        <v>35</v>
      </c>
      <c r="P264" s="22" t="s">
        <v>35</v>
      </c>
      <c r="Q264" s="22" t="s">
        <v>35</v>
      </c>
      <c r="R264" s="22" t="s">
        <v>35</v>
      </c>
      <c r="S264" s="22" t="s">
        <v>34</v>
      </c>
      <c r="T264" s="22"/>
      <c r="U264" s="22"/>
      <c r="V264" s="22"/>
      <c r="W264" s="22"/>
      <c r="X264" s="22"/>
      <c r="Y264" s="22"/>
      <c r="Z264" s="22"/>
      <c r="AA264" s="22"/>
      <c r="AB264" s="22"/>
      <c r="AC264" s="22" t="s">
        <v>1897</v>
      </c>
      <c r="AD264" s="22">
        <v>20170413</v>
      </c>
      <c r="AE264" s="22">
        <v>263</v>
      </c>
      <c r="AF264" s="22"/>
      <c r="AG264" s="22" t="str">
        <f>IFERROR(VLOOKUP(TblFeedFile[[#This Row],[Leave Type ]],LkupPayType[],2,FALSE),"TBD")</f>
        <v>Paid</v>
      </c>
      <c r="AH264" s="22"/>
      <c r="AI264" s="25"/>
      <c r="AJ264" s="25"/>
      <c r="AK264" s="26"/>
    </row>
    <row r="265" spans="1:37" x14ac:dyDescent="0.25">
      <c r="A265" s="21" t="s">
        <v>37</v>
      </c>
      <c r="B265" s="22">
        <v>314304</v>
      </c>
      <c r="C265" s="22">
        <v>22651406</v>
      </c>
      <c r="D265" s="23">
        <v>501702218520</v>
      </c>
      <c r="E265" s="22" t="s">
        <v>2265</v>
      </c>
      <c r="F265" s="22" t="s">
        <v>2266</v>
      </c>
      <c r="G265" s="22">
        <v>20170303</v>
      </c>
      <c r="H265" s="22">
        <v>20170430</v>
      </c>
      <c r="I265" s="22" t="s">
        <v>53</v>
      </c>
      <c r="J265" s="22"/>
      <c r="K265" s="22"/>
      <c r="L265" s="22" t="s">
        <v>34</v>
      </c>
      <c r="M265" s="22" t="s">
        <v>34</v>
      </c>
      <c r="N265" s="22" t="s">
        <v>35</v>
      </c>
      <c r="O265" s="22" t="s">
        <v>35</v>
      </c>
      <c r="P265" s="22" t="s">
        <v>35</v>
      </c>
      <c r="Q265" s="22" t="s">
        <v>35</v>
      </c>
      <c r="R265" s="22" t="s">
        <v>35</v>
      </c>
      <c r="S265" s="22" t="s">
        <v>34</v>
      </c>
      <c r="T265" s="22"/>
      <c r="U265" s="22"/>
      <c r="V265" s="22"/>
      <c r="W265" s="22"/>
      <c r="X265" s="22"/>
      <c r="Y265" s="22"/>
      <c r="Z265" s="22"/>
      <c r="AA265" s="22"/>
      <c r="AB265" s="22"/>
      <c r="AC265" s="22" t="s">
        <v>1897</v>
      </c>
      <c r="AD265" s="22">
        <v>20170413</v>
      </c>
      <c r="AE265" s="22">
        <v>264</v>
      </c>
      <c r="AF265" s="22"/>
      <c r="AG265" s="22" t="str">
        <f>IFERROR(VLOOKUP(TblFeedFile[[#This Row],[Leave Type ]],LkupPayType[],2,FALSE),"TBD")</f>
        <v>Paid</v>
      </c>
      <c r="AH265" s="22"/>
      <c r="AI265" s="25"/>
      <c r="AJ265" s="25"/>
      <c r="AK265" s="26"/>
    </row>
    <row r="266" spans="1:37" x14ac:dyDescent="0.25">
      <c r="A266" s="21" t="s">
        <v>37</v>
      </c>
      <c r="B266" s="22">
        <v>314304</v>
      </c>
      <c r="C266" s="22">
        <v>22651406</v>
      </c>
      <c r="D266" s="23">
        <v>501702218520</v>
      </c>
      <c r="E266" s="22" t="s">
        <v>2265</v>
      </c>
      <c r="F266" s="22" t="s">
        <v>2266</v>
      </c>
      <c r="G266" s="22">
        <v>20170310</v>
      </c>
      <c r="H266" s="22">
        <v>20170430</v>
      </c>
      <c r="I266" s="22" t="s">
        <v>40</v>
      </c>
      <c r="J266" s="22"/>
      <c r="K266" s="22"/>
      <c r="L266" s="22" t="s">
        <v>34</v>
      </c>
      <c r="M266" s="22" t="s">
        <v>34</v>
      </c>
      <c r="N266" s="22" t="s">
        <v>35</v>
      </c>
      <c r="O266" s="22" t="s">
        <v>35</v>
      </c>
      <c r="P266" s="22" t="s">
        <v>35</v>
      </c>
      <c r="Q266" s="22" t="s">
        <v>35</v>
      </c>
      <c r="R266" s="22" t="s">
        <v>35</v>
      </c>
      <c r="S266" s="22" t="s">
        <v>34</v>
      </c>
      <c r="T266" s="22"/>
      <c r="U266" s="22"/>
      <c r="V266" s="22"/>
      <c r="W266" s="22"/>
      <c r="X266" s="22"/>
      <c r="Y266" s="22"/>
      <c r="Z266" s="22"/>
      <c r="AA266" s="22"/>
      <c r="AB266" s="22"/>
      <c r="AC266" s="22" t="s">
        <v>1912</v>
      </c>
      <c r="AD266" s="22">
        <v>20170413</v>
      </c>
      <c r="AE266" s="22">
        <v>265</v>
      </c>
      <c r="AF266" s="22"/>
      <c r="AG266" s="22" t="str">
        <f>IFERROR(VLOOKUP(TblFeedFile[[#This Row],[Leave Type ]],LkupPayType[],2,FALSE),"TBD")</f>
        <v>Paid</v>
      </c>
      <c r="AH266" s="22"/>
      <c r="AI266" s="25"/>
      <c r="AJ266" s="25"/>
      <c r="AK266" s="26"/>
    </row>
    <row r="267" spans="1:37" x14ac:dyDescent="0.25">
      <c r="A267" s="21" t="s">
        <v>29</v>
      </c>
      <c r="B267" s="22">
        <v>314304</v>
      </c>
      <c r="C267" s="22">
        <v>22651728</v>
      </c>
      <c r="D267" s="23">
        <v>541701248604</v>
      </c>
      <c r="E267" s="22" t="s">
        <v>351</v>
      </c>
      <c r="F267" s="22" t="s">
        <v>663</v>
      </c>
      <c r="G267" s="22">
        <v>20170322</v>
      </c>
      <c r="H267" s="22">
        <v>20170402</v>
      </c>
      <c r="I267" s="22" t="s">
        <v>1892</v>
      </c>
      <c r="J267" s="22"/>
      <c r="K267" s="22"/>
      <c r="L267" s="22" t="s">
        <v>34</v>
      </c>
      <c r="M267" s="22" t="s">
        <v>34</v>
      </c>
      <c r="N267" s="22" t="s">
        <v>35</v>
      </c>
      <c r="O267" s="22" t="s">
        <v>35</v>
      </c>
      <c r="P267" s="22" t="s">
        <v>35</v>
      </c>
      <c r="Q267" s="22" t="s">
        <v>35</v>
      </c>
      <c r="R267" s="22" t="s">
        <v>35</v>
      </c>
      <c r="S267" s="22" t="s">
        <v>34</v>
      </c>
      <c r="T267" s="22"/>
      <c r="U267" s="22"/>
      <c r="V267" s="22"/>
      <c r="W267" s="22"/>
      <c r="X267" s="22"/>
      <c r="Y267" s="22"/>
      <c r="Z267" s="22"/>
      <c r="AA267" s="22"/>
      <c r="AB267" s="22"/>
      <c r="AC267" s="22" t="s">
        <v>1925</v>
      </c>
      <c r="AD267" s="22">
        <v>20170413</v>
      </c>
      <c r="AE267" s="22">
        <v>266</v>
      </c>
      <c r="AF267" s="22"/>
      <c r="AG267" s="22" t="str">
        <f>IFERROR(VLOOKUP(TblFeedFile[[#This Row],[Leave Type ]],LkupPayType[],2,FALSE),"TBD")</f>
        <v>Paid</v>
      </c>
      <c r="AH267" s="22"/>
      <c r="AI267" s="25"/>
      <c r="AJ267" s="25"/>
      <c r="AK267" s="26"/>
    </row>
    <row r="268" spans="1:37" x14ac:dyDescent="0.25">
      <c r="A268" s="21" t="s">
        <v>37</v>
      </c>
      <c r="B268" s="22">
        <v>314305</v>
      </c>
      <c r="C268" s="22">
        <v>22682917</v>
      </c>
      <c r="D268" s="23">
        <v>501701248460</v>
      </c>
      <c r="E268" s="22" t="s">
        <v>2199</v>
      </c>
      <c r="F268" s="22" t="s">
        <v>305</v>
      </c>
      <c r="G268" s="22">
        <v>20170220</v>
      </c>
      <c r="H268" s="22">
        <v>20170416</v>
      </c>
      <c r="I268" s="22" t="s">
        <v>40</v>
      </c>
      <c r="J268" s="22"/>
      <c r="K268" s="22"/>
      <c r="L268" s="22" t="s">
        <v>34</v>
      </c>
      <c r="M268" s="22" t="s">
        <v>34</v>
      </c>
      <c r="N268" s="22" t="s">
        <v>35</v>
      </c>
      <c r="O268" s="22" t="s">
        <v>35</v>
      </c>
      <c r="P268" s="22" t="s">
        <v>35</v>
      </c>
      <c r="Q268" s="22" t="s">
        <v>35</v>
      </c>
      <c r="R268" s="22" t="s">
        <v>35</v>
      </c>
      <c r="S268" s="22" t="s">
        <v>34</v>
      </c>
      <c r="T268" s="22">
        <v>20170417</v>
      </c>
      <c r="U268" s="22"/>
      <c r="V268" s="22"/>
      <c r="W268" s="22"/>
      <c r="X268" s="22"/>
      <c r="Y268" s="22"/>
      <c r="Z268" s="22"/>
      <c r="AA268" s="22"/>
      <c r="AB268" s="22"/>
      <c r="AC268" s="22" t="s">
        <v>1913</v>
      </c>
      <c r="AD268" s="22">
        <v>20170413</v>
      </c>
      <c r="AE268" s="22">
        <v>267</v>
      </c>
      <c r="AF268" s="22"/>
      <c r="AG268" s="22" t="str">
        <f>IFERROR(VLOOKUP(TblFeedFile[[#This Row],[Leave Type ]],LkupPayType[],2,FALSE),"TBD")</f>
        <v>Paid</v>
      </c>
      <c r="AH268" s="22"/>
      <c r="AI268" s="25"/>
      <c r="AJ268" s="25"/>
      <c r="AK268" s="26" t="s">
        <v>35</v>
      </c>
    </row>
    <row r="269" spans="1:37" x14ac:dyDescent="0.25">
      <c r="A269" s="21" t="s">
        <v>29</v>
      </c>
      <c r="B269" s="22">
        <v>314304</v>
      </c>
      <c r="C269" s="22">
        <v>22686964</v>
      </c>
      <c r="D269" s="23" t="s">
        <v>2267</v>
      </c>
      <c r="E269" s="22" t="s">
        <v>112</v>
      </c>
      <c r="F269" s="22" t="s">
        <v>2268</v>
      </c>
      <c r="G269" s="22">
        <v>20170320</v>
      </c>
      <c r="H269" s="22">
        <v>20170510</v>
      </c>
      <c r="I269" s="22" t="s">
        <v>36</v>
      </c>
      <c r="J269" s="22"/>
      <c r="K269" s="22"/>
      <c r="L269" s="22" t="s">
        <v>34</v>
      </c>
      <c r="M269" s="22" t="s">
        <v>34</v>
      </c>
      <c r="N269" s="22" t="s">
        <v>35</v>
      </c>
      <c r="O269" s="22" t="s">
        <v>35</v>
      </c>
      <c r="P269" s="22" t="s">
        <v>35</v>
      </c>
      <c r="Q269" s="22" t="s">
        <v>35</v>
      </c>
      <c r="R269" s="22" t="s">
        <v>35</v>
      </c>
      <c r="S269" s="22" t="s">
        <v>34</v>
      </c>
      <c r="T269" s="22"/>
      <c r="U269" s="22"/>
      <c r="V269" s="22"/>
      <c r="W269" s="22"/>
      <c r="X269" s="22"/>
      <c r="Y269" s="22"/>
      <c r="Z269" s="22"/>
      <c r="AA269" s="22"/>
      <c r="AB269" s="22"/>
      <c r="AC269" s="22" t="s">
        <v>1911</v>
      </c>
      <c r="AD269" s="22">
        <v>20170413</v>
      </c>
      <c r="AE269" s="22">
        <v>268</v>
      </c>
      <c r="AF269" s="22"/>
      <c r="AG269" s="22" t="str">
        <f>IFERROR(VLOOKUP(TblFeedFile[[#This Row],[Leave Type ]],LkupPayType[],2,FALSE),"TBD")</f>
        <v>Unpaid</v>
      </c>
      <c r="AH269" s="22"/>
      <c r="AI269" s="25"/>
      <c r="AJ269" s="25"/>
      <c r="AK269" s="26"/>
    </row>
    <row r="270" spans="1:37" x14ac:dyDescent="0.25">
      <c r="A270" s="21" t="s">
        <v>29</v>
      </c>
      <c r="B270" s="22">
        <v>314304</v>
      </c>
      <c r="C270" s="22">
        <v>22686964</v>
      </c>
      <c r="D270" s="23">
        <v>561702238026</v>
      </c>
      <c r="E270" s="22" t="s">
        <v>112</v>
      </c>
      <c r="F270" s="22" t="s">
        <v>2268</v>
      </c>
      <c r="G270" s="22">
        <v>20170313</v>
      </c>
      <c r="H270" s="22">
        <v>20170510</v>
      </c>
      <c r="I270" s="22" t="s">
        <v>53</v>
      </c>
      <c r="J270" s="22"/>
      <c r="K270" s="22"/>
      <c r="L270" s="22" t="s">
        <v>34</v>
      </c>
      <c r="M270" s="22" t="s">
        <v>34</v>
      </c>
      <c r="N270" s="22" t="s">
        <v>35</v>
      </c>
      <c r="O270" s="22" t="s">
        <v>35</v>
      </c>
      <c r="P270" s="22" t="s">
        <v>35</v>
      </c>
      <c r="Q270" s="22" t="s">
        <v>35</v>
      </c>
      <c r="R270" s="22" t="s">
        <v>35</v>
      </c>
      <c r="S270" s="22" t="s">
        <v>34</v>
      </c>
      <c r="T270" s="22"/>
      <c r="U270" s="22"/>
      <c r="V270" s="22"/>
      <c r="W270" s="22"/>
      <c r="X270" s="22"/>
      <c r="Y270" s="22"/>
      <c r="Z270" s="22"/>
      <c r="AA270" s="22"/>
      <c r="AB270" s="22"/>
      <c r="AC270" s="22" t="s">
        <v>1900</v>
      </c>
      <c r="AD270" s="22">
        <v>20170413</v>
      </c>
      <c r="AE270" s="22">
        <v>269</v>
      </c>
      <c r="AF270" s="22"/>
      <c r="AG270" s="22" t="str">
        <f>IFERROR(VLOOKUP(TblFeedFile[[#This Row],[Leave Type ]],LkupPayType[],2,FALSE),"TBD")</f>
        <v>Paid</v>
      </c>
      <c r="AH270" s="22"/>
      <c r="AI270" s="25"/>
      <c r="AJ270" s="25"/>
      <c r="AK270" s="26"/>
    </row>
    <row r="271" spans="1:37" x14ac:dyDescent="0.25">
      <c r="A271" s="21" t="s">
        <v>37</v>
      </c>
      <c r="B271" s="22">
        <v>314304</v>
      </c>
      <c r="C271" s="22">
        <v>22686964</v>
      </c>
      <c r="D271" s="23">
        <v>561702238026</v>
      </c>
      <c r="E271" s="22" t="s">
        <v>112</v>
      </c>
      <c r="F271" s="22" t="s">
        <v>2268</v>
      </c>
      <c r="G271" s="22">
        <v>20170313</v>
      </c>
      <c r="H271" s="22">
        <v>20170714</v>
      </c>
      <c r="I271" s="22" t="s">
        <v>53</v>
      </c>
      <c r="J271" s="22"/>
      <c r="K271" s="22"/>
      <c r="L271" s="22" t="s">
        <v>34</v>
      </c>
      <c r="M271" s="22" t="s">
        <v>34</v>
      </c>
      <c r="N271" s="22" t="s">
        <v>35</v>
      </c>
      <c r="O271" s="22" t="s">
        <v>35</v>
      </c>
      <c r="P271" s="22" t="s">
        <v>35</v>
      </c>
      <c r="Q271" s="22" t="s">
        <v>35</v>
      </c>
      <c r="R271" s="22" t="s">
        <v>35</v>
      </c>
      <c r="S271" s="22" t="s">
        <v>34</v>
      </c>
      <c r="T271" s="22"/>
      <c r="U271" s="22"/>
      <c r="V271" s="22"/>
      <c r="W271" s="22"/>
      <c r="X271" s="22"/>
      <c r="Y271" s="22"/>
      <c r="Z271" s="22"/>
      <c r="AA271" s="22"/>
      <c r="AB271" s="22"/>
      <c r="AC271" s="22" t="s">
        <v>1900</v>
      </c>
      <c r="AD271" s="22">
        <v>20170413</v>
      </c>
      <c r="AE271" s="22">
        <v>270</v>
      </c>
      <c r="AF271" s="22"/>
      <c r="AG271" s="22" t="str">
        <f>IFERROR(VLOOKUP(TblFeedFile[[#This Row],[Leave Type ]],LkupPayType[],2,FALSE),"TBD")</f>
        <v>Paid</v>
      </c>
      <c r="AH271" s="22"/>
      <c r="AI271" s="25"/>
      <c r="AJ271" s="25"/>
      <c r="AK271" s="26"/>
    </row>
    <row r="272" spans="1:37" x14ac:dyDescent="0.25">
      <c r="A272" s="21" t="s">
        <v>37</v>
      </c>
      <c r="B272" s="22">
        <v>314304</v>
      </c>
      <c r="C272" s="22">
        <v>22686964</v>
      </c>
      <c r="D272" s="23" t="s">
        <v>2267</v>
      </c>
      <c r="E272" s="22" t="s">
        <v>112</v>
      </c>
      <c r="F272" s="22" t="s">
        <v>2268</v>
      </c>
      <c r="G272" s="22">
        <v>20170320</v>
      </c>
      <c r="H272" s="22">
        <v>20170714</v>
      </c>
      <c r="I272" s="22" t="s">
        <v>36</v>
      </c>
      <c r="J272" s="22"/>
      <c r="K272" s="22"/>
      <c r="L272" s="22" t="s">
        <v>34</v>
      </c>
      <c r="M272" s="22" t="s">
        <v>34</v>
      </c>
      <c r="N272" s="22" t="s">
        <v>35</v>
      </c>
      <c r="O272" s="22" t="s">
        <v>35</v>
      </c>
      <c r="P272" s="22" t="s">
        <v>35</v>
      </c>
      <c r="Q272" s="22" t="s">
        <v>35</v>
      </c>
      <c r="R272" s="22" t="s">
        <v>35</v>
      </c>
      <c r="S272" s="22" t="s">
        <v>34</v>
      </c>
      <c r="T272" s="22"/>
      <c r="U272" s="22"/>
      <c r="V272" s="22"/>
      <c r="W272" s="22"/>
      <c r="X272" s="22"/>
      <c r="Y272" s="22"/>
      <c r="Z272" s="22"/>
      <c r="AA272" s="22"/>
      <c r="AB272" s="22"/>
      <c r="AC272" s="22" t="s">
        <v>1911</v>
      </c>
      <c r="AD272" s="22">
        <v>20170413</v>
      </c>
      <c r="AE272" s="22">
        <v>271</v>
      </c>
      <c r="AF272" s="22"/>
      <c r="AG272" s="22" t="str">
        <f>IFERROR(VLOOKUP(TblFeedFile[[#This Row],[Leave Type ]],LkupPayType[],2,FALSE),"TBD")</f>
        <v>Unpaid</v>
      </c>
      <c r="AH272" s="22"/>
      <c r="AI272" s="25"/>
      <c r="AJ272" s="25"/>
      <c r="AK272" s="26"/>
    </row>
    <row r="273" spans="1:37" x14ac:dyDescent="0.25">
      <c r="A273" s="21" t="s">
        <v>29</v>
      </c>
      <c r="B273" s="22">
        <v>314304</v>
      </c>
      <c r="C273" s="22">
        <v>22705243</v>
      </c>
      <c r="D273" s="23" t="s">
        <v>2269</v>
      </c>
      <c r="E273" s="22" t="s">
        <v>556</v>
      </c>
      <c r="F273" s="22" t="s">
        <v>1985</v>
      </c>
      <c r="G273" s="22">
        <v>20170307</v>
      </c>
      <c r="H273" s="22">
        <v>20170322</v>
      </c>
      <c r="I273" s="22" t="s">
        <v>78</v>
      </c>
      <c r="J273" s="22"/>
      <c r="K273" s="22" t="s">
        <v>79</v>
      </c>
      <c r="L273" s="22" t="s">
        <v>34</v>
      </c>
      <c r="M273" s="22" t="s">
        <v>34</v>
      </c>
      <c r="N273" s="22" t="s">
        <v>35</v>
      </c>
      <c r="O273" s="22" t="s">
        <v>35</v>
      </c>
      <c r="P273" s="22" t="s">
        <v>35</v>
      </c>
      <c r="Q273" s="22" t="s">
        <v>35</v>
      </c>
      <c r="R273" s="22" t="s">
        <v>35</v>
      </c>
      <c r="S273" s="22" t="s">
        <v>34</v>
      </c>
      <c r="T273" s="22">
        <v>20170323</v>
      </c>
      <c r="U273" s="22"/>
      <c r="V273" s="22"/>
      <c r="W273" s="22"/>
      <c r="X273" s="22"/>
      <c r="Y273" s="22"/>
      <c r="Z273" s="22"/>
      <c r="AA273" s="22"/>
      <c r="AB273" s="22"/>
      <c r="AC273" s="22" t="s">
        <v>1983</v>
      </c>
      <c r="AD273" s="22">
        <v>20170413</v>
      </c>
      <c r="AE273" s="22">
        <v>272</v>
      </c>
      <c r="AF273" s="22"/>
      <c r="AG273" s="22" t="str">
        <f>IFERROR(VLOOKUP(TblFeedFile[[#This Row],[Leave Type ]],LkupPayType[],2,FALSE),"TBD")</f>
        <v>Unpaid</v>
      </c>
      <c r="AH273" s="22"/>
      <c r="AI273" s="25"/>
      <c r="AJ273" s="25"/>
      <c r="AK273" s="26"/>
    </row>
    <row r="274" spans="1:37" x14ac:dyDescent="0.25">
      <c r="A274" s="21" t="s">
        <v>37</v>
      </c>
      <c r="B274" s="22">
        <v>314304</v>
      </c>
      <c r="C274" s="22">
        <v>22705243</v>
      </c>
      <c r="D274" s="23" t="s">
        <v>2269</v>
      </c>
      <c r="E274" s="22" t="s">
        <v>556</v>
      </c>
      <c r="F274" s="22" t="s">
        <v>1985</v>
      </c>
      <c r="G274" s="22">
        <v>20170307</v>
      </c>
      <c r="H274" s="22">
        <v>20170322</v>
      </c>
      <c r="I274" s="22" t="s">
        <v>36</v>
      </c>
      <c r="J274" s="22"/>
      <c r="K274" s="22"/>
      <c r="L274" s="22" t="s">
        <v>34</v>
      </c>
      <c r="M274" s="22" t="s">
        <v>34</v>
      </c>
      <c r="N274" s="22" t="s">
        <v>35</v>
      </c>
      <c r="O274" s="22" t="s">
        <v>35</v>
      </c>
      <c r="P274" s="22" t="s">
        <v>35</v>
      </c>
      <c r="Q274" s="22" t="s">
        <v>35</v>
      </c>
      <c r="R274" s="22" t="s">
        <v>35</v>
      </c>
      <c r="S274" s="22" t="s">
        <v>34</v>
      </c>
      <c r="T274" s="22">
        <v>20170323</v>
      </c>
      <c r="U274" s="22"/>
      <c r="V274" s="22"/>
      <c r="W274" s="22"/>
      <c r="X274" s="22"/>
      <c r="Y274" s="22"/>
      <c r="Z274" s="22"/>
      <c r="AA274" s="22"/>
      <c r="AB274" s="22"/>
      <c r="AC274" s="22" t="s">
        <v>1912</v>
      </c>
      <c r="AD274" s="22">
        <v>20170413</v>
      </c>
      <c r="AE274" s="22">
        <v>273</v>
      </c>
      <c r="AF274" s="22"/>
      <c r="AG274" s="22" t="str">
        <f>IFERROR(VLOOKUP(TblFeedFile[[#This Row],[Leave Type ]],LkupPayType[],2,FALSE),"TBD")</f>
        <v>Unpaid</v>
      </c>
      <c r="AH274" s="22"/>
      <c r="AI274" s="25"/>
      <c r="AJ274" s="25"/>
      <c r="AK274" s="26" t="s">
        <v>35</v>
      </c>
    </row>
    <row r="275" spans="1:37" x14ac:dyDescent="0.25">
      <c r="A275" s="21" t="s">
        <v>37</v>
      </c>
      <c r="B275" s="22">
        <v>314304</v>
      </c>
      <c r="C275" s="22">
        <v>22705243</v>
      </c>
      <c r="D275" s="23" t="s">
        <v>1984</v>
      </c>
      <c r="E275" s="22" t="s">
        <v>556</v>
      </c>
      <c r="F275" s="22" t="s">
        <v>1985</v>
      </c>
      <c r="G275" s="22">
        <v>20170413</v>
      </c>
      <c r="H275" s="22">
        <v>20170413</v>
      </c>
      <c r="I275" s="22" t="s">
        <v>33</v>
      </c>
      <c r="J275" s="22"/>
      <c r="K275" s="22"/>
      <c r="L275" s="22" t="s">
        <v>34</v>
      </c>
      <c r="M275" s="22" t="s">
        <v>34</v>
      </c>
      <c r="N275" s="22" t="s">
        <v>35</v>
      </c>
      <c r="O275" s="22" t="s">
        <v>35</v>
      </c>
      <c r="P275" s="22" t="s">
        <v>35</v>
      </c>
      <c r="Q275" s="22" t="s">
        <v>35</v>
      </c>
      <c r="R275" s="22" t="s">
        <v>35</v>
      </c>
      <c r="S275" s="22" t="s">
        <v>34</v>
      </c>
      <c r="T275" s="22"/>
      <c r="U275" s="22"/>
      <c r="V275" s="22"/>
      <c r="W275" s="22"/>
      <c r="X275" s="22"/>
      <c r="Y275" s="22"/>
      <c r="Z275" s="22"/>
      <c r="AA275" s="22"/>
      <c r="AB275" s="22"/>
      <c r="AC275" s="22" t="s">
        <v>1935</v>
      </c>
      <c r="AD275" s="22">
        <v>20170413</v>
      </c>
      <c r="AE275" s="22">
        <v>274</v>
      </c>
      <c r="AF275" s="22"/>
      <c r="AG275" s="22" t="str">
        <f>IFERROR(VLOOKUP(TblFeedFile[[#This Row],[Leave Type ]],LkupPayType[],2,FALSE),"TBD")</f>
        <v>Closed</v>
      </c>
      <c r="AH275" s="22"/>
      <c r="AI275" s="25"/>
      <c r="AJ275" s="25"/>
      <c r="AK275" s="26"/>
    </row>
    <row r="276" spans="1:37" x14ac:dyDescent="0.25">
      <c r="A276" s="21" t="s">
        <v>29</v>
      </c>
      <c r="B276" s="22">
        <v>314304</v>
      </c>
      <c r="C276" s="22">
        <v>22708367</v>
      </c>
      <c r="D276" s="23" t="s">
        <v>2270</v>
      </c>
      <c r="E276" s="22" t="s">
        <v>2271</v>
      </c>
      <c r="F276" s="22" t="s">
        <v>2272</v>
      </c>
      <c r="G276" s="22">
        <v>20170302</v>
      </c>
      <c r="H276" s="22">
        <v>20170302</v>
      </c>
      <c r="I276" s="22" t="s">
        <v>43</v>
      </c>
      <c r="J276" s="22"/>
      <c r="K276" s="22"/>
      <c r="L276" s="22" t="s">
        <v>34</v>
      </c>
      <c r="M276" s="22" t="s">
        <v>34</v>
      </c>
      <c r="N276" s="22" t="s">
        <v>35</v>
      </c>
      <c r="O276" s="22" t="s">
        <v>35</v>
      </c>
      <c r="P276" s="22" t="s">
        <v>35</v>
      </c>
      <c r="Q276" s="22" t="s">
        <v>35</v>
      </c>
      <c r="R276" s="22" t="s">
        <v>35</v>
      </c>
      <c r="S276" s="22" t="s">
        <v>34</v>
      </c>
      <c r="T276" s="22"/>
      <c r="U276" s="22"/>
      <c r="V276" s="22"/>
      <c r="W276" s="22"/>
      <c r="X276" s="22"/>
      <c r="Y276" s="22"/>
      <c r="Z276" s="22"/>
      <c r="AA276" s="22"/>
      <c r="AB276" s="22"/>
      <c r="AC276" s="22" t="s">
        <v>1935</v>
      </c>
      <c r="AD276" s="22">
        <v>20170413</v>
      </c>
      <c r="AE276" s="22">
        <v>275</v>
      </c>
      <c r="AF276" s="22"/>
      <c r="AG276" s="22" t="str">
        <f>IFERROR(VLOOKUP(TblFeedFile[[#This Row],[Leave Type ]],LkupPayType[],2,FALSE),"TBD")</f>
        <v>Denied</v>
      </c>
      <c r="AH276" s="22"/>
      <c r="AI276" s="25"/>
      <c r="AJ276" s="25"/>
      <c r="AK276" s="26"/>
    </row>
    <row r="277" spans="1:37" x14ac:dyDescent="0.25">
      <c r="A277" s="21" t="s">
        <v>37</v>
      </c>
      <c r="B277" s="22">
        <v>314304</v>
      </c>
      <c r="C277" s="22">
        <v>22708367</v>
      </c>
      <c r="D277" s="23" t="s">
        <v>2270</v>
      </c>
      <c r="E277" s="22" t="s">
        <v>2271</v>
      </c>
      <c r="F277" s="22" t="s">
        <v>2272</v>
      </c>
      <c r="G277" s="22">
        <v>20170303</v>
      </c>
      <c r="H277" s="22">
        <v>20170319</v>
      </c>
      <c r="I277" s="22" t="s">
        <v>49</v>
      </c>
      <c r="J277" s="22"/>
      <c r="K277" s="22"/>
      <c r="L277" s="22" t="s">
        <v>34</v>
      </c>
      <c r="M277" s="22" t="s">
        <v>34</v>
      </c>
      <c r="N277" s="22" t="s">
        <v>35</v>
      </c>
      <c r="O277" s="22" t="s">
        <v>35</v>
      </c>
      <c r="P277" s="22" t="s">
        <v>35</v>
      </c>
      <c r="Q277" s="22" t="s">
        <v>35</v>
      </c>
      <c r="R277" s="22" t="s">
        <v>35</v>
      </c>
      <c r="S277" s="22" t="s">
        <v>34</v>
      </c>
      <c r="T277" s="22">
        <v>20170320</v>
      </c>
      <c r="U277" s="22"/>
      <c r="V277" s="22"/>
      <c r="W277" s="22"/>
      <c r="X277" s="22"/>
      <c r="Y277" s="22"/>
      <c r="Z277" s="22"/>
      <c r="AA277" s="22"/>
      <c r="AB277" s="22"/>
      <c r="AC277" s="22" t="s">
        <v>1916</v>
      </c>
      <c r="AD277" s="22">
        <v>20170413</v>
      </c>
      <c r="AE277" s="22">
        <v>276</v>
      </c>
      <c r="AF277" s="22"/>
      <c r="AG277" s="22" t="str">
        <f>IFERROR(VLOOKUP(TblFeedFile[[#This Row],[Leave Type ]],LkupPayType[],2,FALSE),"TBD")</f>
        <v>Unpaid</v>
      </c>
      <c r="AH277" s="22"/>
      <c r="AI277" s="25"/>
      <c r="AJ277" s="25"/>
      <c r="AK277" s="26" t="s">
        <v>35</v>
      </c>
    </row>
    <row r="278" spans="1:37" x14ac:dyDescent="0.25">
      <c r="A278" s="21" t="s">
        <v>29</v>
      </c>
      <c r="B278" s="22">
        <v>314301</v>
      </c>
      <c r="C278" s="22">
        <v>22758653</v>
      </c>
      <c r="D278" s="23">
        <v>521701258672</v>
      </c>
      <c r="E278" s="22" t="s">
        <v>544</v>
      </c>
      <c r="F278" s="22" t="s">
        <v>2273</v>
      </c>
      <c r="G278" s="22">
        <v>20170327</v>
      </c>
      <c r="H278" s="22">
        <v>20170421</v>
      </c>
      <c r="I278" s="22" t="s">
        <v>1892</v>
      </c>
      <c r="J278" s="22"/>
      <c r="K278" s="22"/>
      <c r="L278" s="22" t="s">
        <v>34</v>
      </c>
      <c r="M278" s="22" t="s">
        <v>34</v>
      </c>
      <c r="N278" s="22" t="s">
        <v>35</v>
      </c>
      <c r="O278" s="22" t="s">
        <v>35</v>
      </c>
      <c r="P278" s="22" t="s">
        <v>35</v>
      </c>
      <c r="Q278" s="22" t="s">
        <v>35</v>
      </c>
      <c r="R278" s="22" t="s">
        <v>35</v>
      </c>
      <c r="S278" s="22" t="s">
        <v>34</v>
      </c>
      <c r="T278" s="22"/>
      <c r="U278" s="22"/>
      <c r="V278" s="22"/>
      <c r="W278" s="22"/>
      <c r="X278" s="22"/>
      <c r="Y278" s="22">
        <v>170</v>
      </c>
      <c r="Z278" s="22" t="s">
        <v>341</v>
      </c>
      <c r="AA278" s="22">
        <v>20170130</v>
      </c>
      <c r="AB278" s="22">
        <v>20170721</v>
      </c>
      <c r="AC278" s="22" t="s">
        <v>1962</v>
      </c>
      <c r="AD278" s="22">
        <v>20170413</v>
      </c>
      <c r="AE278" s="22">
        <v>277</v>
      </c>
      <c r="AF278" s="22"/>
      <c r="AG278" s="22" t="str">
        <f>IFERROR(VLOOKUP(TblFeedFile[[#This Row],[Leave Type ]],LkupPayType[],2,FALSE),"TBD")</f>
        <v>Paid</v>
      </c>
      <c r="AH278" s="22"/>
      <c r="AI278" s="25"/>
      <c r="AJ278" s="25"/>
      <c r="AK278" s="26"/>
    </row>
    <row r="279" spans="1:37" x14ac:dyDescent="0.25">
      <c r="A279" s="21" t="s">
        <v>37</v>
      </c>
      <c r="B279" s="22">
        <v>314301</v>
      </c>
      <c r="C279" s="22">
        <v>22758653</v>
      </c>
      <c r="D279" s="23">
        <v>521701258672</v>
      </c>
      <c r="E279" s="22" t="s">
        <v>544</v>
      </c>
      <c r="F279" s="22" t="s">
        <v>2273</v>
      </c>
      <c r="G279" s="22">
        <v>20170327</v>
      </c>
      <c r="H279" s="22">
        <v>20170423</v>
      </c>
      <c r="I279" s="22" t="s">
        <v>1892</v>
      </c>
      <c r="J279" s="22"/>
      <c r="K279" s="22"/>
      <c r="L279" s="22" t="s">
        <v>34</v>
      </c>
      <c r="M279" s="22" t="s">
        <v>34</v>
      </c>
      <c r="N279" s="22" t="s">
        <v>35</v>
      </c>
      <c r="O279" s="22" t="s">
        <v>35</v>
      </c>
      <c r="P279" s="22" t="s">
        <v>35</v>
      </c>
      <c r="Q279" s="22" t="s">
        <v>35</v>
      </c>
      <c r="R279" s="22" t="s">
        <v>35</v>
      </c>
      <c r="S279" s="22" t="s">
        <v>34</v>
      </c>
      <c r="T279" s="22"/>
      <c r="U279" s="22"/>
      <c r="V279" s="22"/>
      <c r="W279" s="22"/>
      <c r="X279" s="22"/>
      <c r="Y279" s="22">
        <v>170</v>
      </c>
      <c r="Z279" s="22" t="s">
        <v>341</v>
      </c>
      <c r="AA279" s="22">
        <v>20170130</v>
      </c>
      <c r="AB279" s="22">
        <v>20170723</v>
      </c>
      <c r="AC279" s="22" t="s">
        <v>1962</v>
      </c>
      <c r="AD279" s="22">
        <v>20170413</v>
      </c>
      <c r="AE279" s="22">
        <v>278</v>
      </c>
      <c r="AF279" s="22"/>
      <c r="AG279" s="22" t="str">
        <f>IFERROR(VLOOKUP(TblFeedFile[[#This Row],[Leave Type ]],LkupPayType[],2,FALSE),"TBD")</f>
        <v>Paid</v>
      </c>
      <c r="AH279" s="22"/>
      <c r="AI279" s="25"/>
      <c r="AJ279" s="25"/>
      <c r="AK279" s="26"/>
    </row>
    <row r="280" spans="1:37" x14ac:dyDescent="0.25">
      <c r="A280" s="21" t="s">
        <v>37</v>
      </c>
      <c r="B280" s="22">
        <v>314304</v>
      </c>
      <c r="C280" s="22">
        <v>22764861</v>
      </c>
      <c r="D280" s="23" t="s">
        <v>2274</v>
      </c>
      <c r="E280" s="22" t="s">
        <v>44</v>
      </c>
      <c r="F280" s="22" t="s">
        <v>885</v>
      </c>
      <c r="G280" s="22">
        <v>20161031</v>
      </c>
      <c r="H280" s="22">
        <v>20170412</v>
      </c>
      <c r="I280" s="22" t="s">
        <v>36</v>
      </c>
      <c r="J280" s="22"/>
      <c r="K280" s="22"/>
      <c r="L280" s="22" t="s">
        <v>34</v>
      </c>
      <c r="M280" s="22" t="s">
        <v>34</v>
      </c>
      <c r="N280" s="22" t="s">
        <v>35</v>
      </c>
      <c r="O280" s="22" t="s">
        <v>35</v>
      </c>
      <c r="P280" s="22" t="s">
        <v>35</v>
      </c>
      <c r="Q280" s="22" t="s">
        <v>35</v>
      </c>
      <c r="R280" s="22" t="s">
        <v>35</v>
      </c>
      <c r="S280" s="22" t="s">
        <v>34</v>
      </c>
      <c r="T280" s="22">
        <v>20170413</v>
      </c>
      <c r="U280" s="22"/>
      <c r="V280" s="22"/>
      <c r="W280" s="22"/>
      <c r="X280" s="22"/>
      <c r="Y280" s="22"/>
      <c r="Z280" s="22"/>
      <c r="AA280" s="22"/>
      <c r="AB280" s="22"/>
      <c r="AC280" s="22" t="s">
        <v>2173</v>
      </c>
      <c r="AD280" s="22">
        <v>20170413</v>
      </c>
      <c r="AE280" s="22">
        <v>279</v>
      </c>
      <c r="AF280" s="22"/>
      <c r="AG280" s="22" t="str">
        <f>IFERROR(VLOOKUP(TblFeedFile[[#This Row],[Leave Type ]],LkupPayType[],2,FALSE),"TBD")</f>
        <v>Unpaid</v>
      </c>
      <c r="AH280" s="22"/>
      <c r="AI280" s="25"/>
      <c r="AJ280" s="25"/>
      <c r="AK280" s="26" t="s">
        <v>35</v>
      </c>
    </row>
    <row r="281" spans="1:37" x14ac:dyDescent="0.25">
      <c r="A281" s="21" t="s">
        <v>37</v>
      </c>
      <c r="B281" s="22">
        <v>314304</v>
      </c>
      <c r="C281" s="22">
        <v>22779171</v>
      </c>
      <c r="D281" s="23" t="s">
        <v>2275</v>
      </c>
      <c r="E281" s="22" t="s">
        <v>556</v>
      </c>
      <c r="F281" s="22" t="s">
        <v>912</v>
      </c>
      <c r="G281" s="22">
        <v>20170413</v>
      </c>
      <c r="H281" s="22">
        <v>20170613</v>
      </c>
      <c r="I281" s="22" t="s">
        <v>36</v>
      </c>
      <c r="J281" s="22"/>
      <c r="K281" s="22"/>
      <c r="L281" s="22" t="s">
        <v>34</v>
      </c>
      <c r="M281" s="22" t="s">
        <v>34</v>
      </c>
      <c r="N281" s="22" t="s">
        <v>35</v>
      </c>
      <c r="O281" s="22" t="s">
        <v>35</v>
      </c>
      <c r="P281" s="22" t="s">
        <v>35</v>
      </c>
      <c r="Q281" s="22" t="s">
        <v>35</v>
      </c>
      <c r="R281" s="22" t="s">
        <v>35</v>
      </c>
      <c r="S281" s="22" t="s">
        <v>34</v>
      </c>
      <c r="T281" s="22"/>
      <c r="U281" s="22"/>
      <c r="V281" s="22"/>
      <c r="W281" s="22"/>
      <c r="X281" s="22"/>
      <c r="Y281" s="22"/>
      <c r="Z281" s="22"/>
      <c r="AA281" s="22"/>
      <c r="AB281" s="22"/>
      <c r="AC281" s="22" t="s">
        <v>1911</v>
      </c>
      <c r="AD281" s="22">
        <v>20170413</v>
      </c>
      <c r="AE281" s="22">
        <v>280</v>
      </c>
      <c r="AF281" s="22"/>
      <c r="AG281" s="22" t="str">
        <f>IFERROR(VLOOKUP(TblFeedFile[[#This Row],[Leave Type ]],LkupPayType[],2,FALSE),"TBD")</f>
        <v>Unpaid</v>
      </c>
      <c r="AH281" s="22"/>
      <c r="AI281" s="25"/>
      <c r="AJ281" s="25"/>
      <c r="AK281" s="26"/>
    </row>
    <row r="282" spans="1:37" x14ac:dyDescent="0.25">
      <c r="A282" s="21" t="s">
        <v>37</v>
      </c>
      <c r="B282" s="22">
        <v>314304</v>
      </c>
      <c r="C282" s="22">
        <v>22783700</v>
      </c>
      <c r="D282" s="23" t="s">
        <v>1986</v>
      </c>
      <c r="E282" s="22" t="s">
        <v>687</v>
      </c>
      <c r="F282" s="22" t="s">
        <v>688</v>
      </c>
      <c r="G282" s="22">
        <v>20170413</v>
      </c>
      <c r="H282" s="22">
        <v>20170413</v>
      </c>
      <c r="I282" s="22" t="s">
        <v>33</v>
      </c>
      <c r="J282" s="22"/>
      <c r="K282" s="22"/>
      <c r="L282" s="22" t="s">
        <v>34</v>
      </c>
      <c r="M282" s="22" t="s">
        <v>34</v>
      </c>
      <c r="N282" s="22" t="s">
        <v>35</v>
      </c>
      <c r="O282" s="22" t="s">
        <v>35</v>
      </c>
      <c r="P282" s="22" t="s">
        <v>35</v>
      </c>
      <c r="Q282" s="22" t="s">
        <v>35</v>
      </c>
      <c r="R282" s="22" t="s">
        <v>35</v>
      </c>
      <c r="S282" s="22" t="s">
        <v>34</v>
      </c>
      <c r="T282" s="22"/>
      <c r="U282" s="22"/>
      <c r="V282" s="22"/>
      <c r="W282" s="22"/>
      <c r="X282" s="22"/>
      <c r="Y282" s="22"/>
      <c r="Z282" s="22"/>
      <c r="AA282" s="22"/>
      <c r="AB282" s="22"/>
      <c r="AC282" s="22" t="s">
        <v>1944</v>
      </c>
      <c r="AD282" s="22">
        <v>20170413</v>
      </c>
      <c r="AE282" s="22">
        <v>281</v>
      </c>
      <c r="AF282" s="22"/>
      <c r="AG282" s="22" t="str">
        <f>IFERROR(VLOOKUP(TblFeedFile[[#This Row],[Leave Type ]],LkupPayType[],2,FALSE),"TBD")</f>
        <v>Closed</v>
      </c>
      <c r="AH282" s="22"/>
      <c r="AI282" s="25"/>
      <c r="AJ282" s="25"/>
      <c r="AK282" s="26"/>
    </row>
    <row r="283" spans="1:37" x14ac:dyDescent="0.25">
      <c r="A283" s="21" t="s">
        <v>37</v>
      </c>
      <c r="B283" s="22">
        <v>314305</v>
      </c>
      <c r="C283" s="22">
        <v>22814076</v>
      </c>
      <c r="D283" s="23">
        <v>511704138691</v>
      </c>
      <c r="E283" s="22" t="s">
        <v>2276</v>
      </c>
      <c r="F283" s="22" t="s">
        <v>518</v>
      </c>
      <c r="G283" s="22">
        <v>20170405</v>
      </c>
      <c r="H283" s="22">
        <v>20170506</v>
      </c>
      <c r="I283" s="22" t="s">
        <v>53</v>
      </c>
      <c r="J283" s="22"/>
      <c r="K283" s="22"/>
      <c r="L283" s="22" t="s">
        <v>34</v>
      </c>
      <c r="M283" s="22" t="s">
        <v>34</v>
      </c>
      <c r="N283" s="22" t="s">
        <v>35</v>
      </c>
      <c r="O283" s="22" t="s">
        <v>35</v>
      </c>
      <c r="P283" s="22" t="s">
        <v>35</v>
      </c>
      <c r="Q283" s="22" t="s">
        <v>35</v>
      </c>
      <c r="R283" s="22" t="s">
        <v>35</v>
      </c>
      <c r="S283" s="22" t="s">
        <v>34</v>
      </c>
      <c r="T283" s="22"/>
      <c r="U283" s="22"/>
      <c r="V283" s="22"/>
      <c r="W283" s="22"/>
      <c r="X283" s="22"/>
      <c r="Y283" s="22"/>
      <c r="Z283" s="22"/>
      <c r="AA283" s="22"/>
      <c r="AB283" s="22"/>
      <c r="AC283" s="22" t="s">
        <v>1902</v>
      </c>
      <c r="AD283" s="22">
        <v>20170413</v>
      </c>
      <c r="AE283" s="22">
        <v>282</v>
      </c>
      <c r="AF283" s="22"/>
      <c r="AG283" s="22" t="str">
        <f>IFERROR(VLOOKUP(TblFeedFile[[#This Row],[Leave Type ]],LkupPayType[],2,FALSE),"TBD")</f>
        <v>Paid</v>
      </c>
      <c r="AH283" s="22"/>
      <c r="AI283" s="25"/>
      <c r="AJ283" s="25"/>
      <c r="AK283" s="26"/>
    </row>
    <row r="284" spans="1:37" x14ac:dyDescent="0.25">
      <c r="A284" s="21" t="s">
        <v>29</v>
      </c>
      <c r="B284" s="22">
        <v>314304</v>
      </c>
      <c r="C284" s="22">
        <v>22829898</v>
      </c>
      <c r="D284" s="23" t="s">
        <v>2277</v>
      </c>
      <c r="E284" s="22" t="s">
        <v>2278</v>
      </c>
      <c r="F284" s="22" t="s">
        <v>2279</v>
      </c>
      <c r="G284" s="22">
        <v>20170326</v>
      </c>
      <c r="H284" s="22">
        <v>20170521</v>
      </c>
      <c r="I284" s="22" t="s">
        <v>36</v>
      </c>
      <c r="J284" s="22"/>
      <c r="K284" s="22"/>
      <c r="L284" s="22" t="s">
        <v>34</v>
      </c>
      <c r="M284" s="22" t="s">
        <v>34</v>
      </c>
      <c r="N284" s="22" t="s">
        <v>35</v>
      </c>
      <c r="O284" s="22" t="s">
        <v>35</v>
      </c>
      <c r="P284" s="22" t="s">
        <v>35</v>
      </c>
      <c r="Q284" s="22" t="s">
        <v>35</v>
      </c>
      <c r="R284" s="22" t="s">
        <v>35</v>
      </c>
      <c r="S284" s="22" t="s">
        <v>34</v>
      </c>
      <c r="T284" s="22"/>
      <c r="U284" s="22"/>
      <c r="V284" s="22"/>
      <c r="W284" s="22"/>
      <c r="X284" s="22" t="s">
        <v>35</v>
      </c>
      <c r="Y284" s="22"/>
      <c r="Z284" s="22"/>
      <c r="AA284" s="22"/>
      <c r="AB284" s="22"/>
      <c r="AC284" s="22" t="s">
        <v>1905</v>
      </c>
      <c r="AD284" s="22">
        <v>20170413</v>
      </c>
      <c r="AE284" s="22">
        <v>283</v>
      </c>
      <c r="AF284" s="22"/>
      <c r="AG284" s="22" t="str">
        <f>IFERROR(VLOOKUP(TblFeedFile[[#This Row],[Leave Type ]],LkupPayType[],2,FALSE),"TBD")</f>
        <v>Unpaid</v>
      </c>
      <c r="AH284" s="22"/>
      <c r="AI284" s="25"/>
      <c r="AJ284" s="25"/>
      <c r="AK284" s="26"/>
    </row>
    <row r="285" spans="1:37" x14ac:dyDescent="0.25">
      <c r="A285" s="21" t="s">
        <v>37</v>
      </c>
      <c r="B285" s="22">
        <v>314304</v>
      </c>
      <c r="C285" s="22">
        <v>22829898</v>
      </c>
      <c r="D285" s="23" t="s">
        <v>2277</v>
      </c>
      <c r="E285" s="22" t="s">
        <v>2278</v>
      </c>
      <c r="F285" s="22" t="s">
        <v>2279</v>
      </c>
      <c r="G285" s="22">
        <v>20170326</v>
      </c>
      <c r="H285" s="22">
        <v>20170520</v>
      </c>
      <c r="I285" s="22" t="s">
        <v>36</v>
      </c>
      <c r="J285" s="22"/>
      <c r="K285" s="22"/>
      <c r="L285" s="22" t="s">
        <v>34</v>
      </c>
      <c r="M285" s="22" t="s">
        <v>34</v>
      </c>
      <c r="N285" s="22" t="s">
        <v>35</v>
      </c>
      <c r="O285" s="22" t="s">
        <v>35</v>
      </c>
      <c r="P285" s="22" t="s">
        <v>35</v>
      </c>
      <c r="Q285" s="22" t="s">
        <v>35</v>
      </c>
      <c r="R285" s="22" t="s">
        <v>35</v>
      </c>
      <c r="S285" s="22" t="s">
        <v>34</v>
      </c>
      <c r="T285" s="22"/>
      <c r="U285" s="22"/>
      <c r="V285" s="22"/>
      <c r="W285" s="22"/>
      <c r="X285" s="22" t="s">
        <v>35</v>
      </c>
      <c r="Y285" s="22"/>
      <c r="Z285" s="22"/>
      <c r="AA285" s="22"/>
      <c r="AB285" s="22"/>
      <c r="AC285" s="22" t="s">
        <v>1905</v>
      </c>
      <c r="AD285" s="22">
        <v>20170413</v>
      </c>
      <c r="AE285" s="22">
        <v>284</v>
      </c>
      <c r="AF285" s="22"/>
      <c r="AG285" s="22" t="str">
        <f>IFERROR(VLOOKUP(TblFeedFile[[#This Row],[Leave Type ]],LkupPayType[],2,FALSE),"TBD")</f>
        <v>Unpaid</v>
      </c>
      <c r="AH285" s="22"/>
      <c r="AI285" s="25"/>
      <c r="AJ285" s="25"/>
      <c r="AK285" s="26"/>
    </row>
    <row r="286" spans="1:37" x14ac:dyDescent="0.25">
      <c r="A286" s="21" t="s">
        <v>37</v>
      </c>
      <c r="B286" s="22">
        <v>314304</v>
      </c>
      <c r="C286" s="22">
        <v>22841917</v>
      </c>
      <c r="D286" s="23" t="s">
        <v>2280</v>
      </c>
      <c r="E286" s="22" t="s">
        <v>291</v>
      </c>
      <c r="F286" s="22" t="s">
        <v>1358</v>
      </c>
      <c r="G286" s="22">
        <v>20170413</v>
      </c>
      <c r="H286" s="22">
        <v>20170413</v>
      </c>
      <c r="I286" s="22" t="s">
        <v>33</v>
      </c>
      <c r="J286" s="22"/>
      <c r="K286" s="22"/>
      <c r="L286" s="22" t="s">
        <v>34</v>
      </c>
      <c r="M286" s="22" t="s">
        <v>34</v>
      </c>
      <c r="N286" s="22" t="s">
        <v>35</v>
      </c>
      <c r="O286" s="22" t="s">
        <v>35</v>
      </c>
      <c r="P286" s="22" t="s">
        <v>35</v>
      </c>
      <c r="Q286" s="22" t="s">
        <v>35</v>
      </c>
      <c r="R286" s="22" t="s">
        <v>35</v>
      </c>
      <c r="S286" s="22" t="s">
        <v>34</v>
      </c>
      <c r="T286" s="22"/>
      <c r="U286" s="22"/>
      <c r="V286" s="22"/>
      <c r="W286" s="22"/>
      <c r="X286" s="22"/>
      <c r="Y286" s="22"/>
      <c r="Z286" s="22"/>
      <c r="AA286" s="22"/>
      <c r="AB286" s="22"/>
      <c r="AC286" s="22" t="s">
        <v>1917</v>
      </c>
      <c r="AD286" s="22">
        <v>20170413</v>
      </c>
      <c r="AE286" s="22">
        <v>285</v>
      </c>
      <c r="AF286" s="22"/>
      <c r="AG286" s="22" t="str">
        <f>IFERROR(VLOOKUP(TblFeedFile[[#This Row],[Leave Type ]],LkupPayType[],2,FALSE),"TBD")</f>
        <v>Closed</v>
      </c>
      <c r="AH286" s="22"/>
      <c r="AI286" s="25"/>
      <c r="AJ286" s="25"/>
      <c r="AK286" s="26"/>
    </row>
    <row r="287" spans="1:37" x14ac:dyDescent="0.25">
      <c r="A287" s="21" t="s">
        <v>29</v>
      </c>
      <c r="B287" s="22">
        <v>314304</v>
      </c>
      <c r="C287" s="22">
        <v>22852372</v>
      </c>
      <c r="D287" s="23" t="s">
        <v>2281</v>
      </c>
      <c r="E287" s="22" t="s">
        <v>2026</v>
      </c>
      <c r="F287" s="22" t="s">
        <v>2282</v>
      </c>
      <c r="G287" s="22">
        <v>20170406</v>
      </c>
      <c r="H287" s="22">
        <v>20170406</v>
      </c>
      <c r="I287" s="22" t="s">
        <v>33</v>
      </c>
      <c r="J287" s="22"/>
      <c r="K287" s="22"/>
      <c r="L287" s="22" t="s">
        <v>34</v>
      </c>
      <c r="M287" s="22" t="s">
        <v>34</v>
      </c>
      <c r="N287" s="22" t="s">
        <v>35</v>
      </c>
      <c r="O287" s="22" t="s">
        <v>35</v>
      </c>
      <c r="P287" s="22" t="s">
        <v>35</v>
      </c>
      <c r="Q287" s="22" t="s">
        <v>35</v>
      </c>
      <c r="R287" s="22" t="s">
        <v>35</v>
      </c>
      <c r="S287" s="22" t="s">
        <v>34</v>
      </c>
      <c r="T287" s="22"/>
      <c r="U287" s="22"/>
      <c r="V287" s="22"/>
      <c r="W287" s="22"/>
      <c r="X287" s="22"/>
      <c r="Y287" s="22"/>
      <c r="Z287" s="22"/>
      <c r="AA287" s="22"/>
      <c r="AB287" s="22"/>
      <c r="AC287" s="22" t="s">
        <v>1895</v>
      </c>
      <c r="AD287" s="22">
        <v>20170413</v>
      </c>
      <c r="AE287" s="22">
        <v>286</v>
      </c>
      <c r="AF287" s="22"/>
      <c r="AG287" s="22" t="str">
        <f>IFERROR(VLOOKUP(TblFeedFile[[#This Row],[Leave Type ]],LkupPayType[],2,FALSE),"TBD")</f>
        <v>Closed</v>
      </c>
      <c r="AH287" s="22"/>
      <c r="AI287" s="25"/>
      <c r="AJ287" s="25"/>
      <c r="AK287" s="26"/>
    </row>
    <row r="288" spans="1:37" x14ac:dyDescent="0.25">
      <c r="A288" s="21" t="s">
        <v>29</v>
      </c>
      <c r="B288" s="22">
        <v>314304</v>
      </c>
      <c r="C288" s="22">
        <v>22852372</v>
      </c>
      <c r="D288" s="23" t="s">
        <v>2281</v>
      </c>
      <c r="E288" s="22" t="s">
        <v>2026</v>
      </c>
      <c r="F288" s="22" t="s">
        <v>2282</v>
      </c>
      <c r="G288" s="22">
        <v>20170406</v>
      </c>
      <c r="H288" s="22">
        <v>20170406</v>
      </c>
      <c r="I288" s="22" t="s">
        <v>33</v>
      </c>
      <c r="J288" s="22"/>
      <c r="K288" s="22"/>
      <c r="L288" s="22" t="s">
        <v>34</v>
      </c>
      <c r="M288" s="22" t="s">
        <v>34</v>
      </c>
      <c r="N288" s="22" t="s">
        <v>35</v>
      </c>
      <c r="O288" s="22" t="s">
        <v>35</v>
      </c>
      <c r="P288" s="22" t="s">
        <v>35</v>
      </c>
      <c r="Q288" s="22" t="s">
        <v>35</v>
      </c>
      <c r="R288" s="22" t="s">
        <v>35</v>
      </c>
      <c r="S288" s="22" t="s">
        <v>34</v>
      </c>
      <c r="T288" s="22"/>
      <c r="U288" s="22"/>
      <c r="V288" s="22"/>
      <c r="W288" s="22"/>
      <c r="X288" s="22"/>
      <c r="Y288" s="22"/>
      <c r="Z288" s="22"/>
      <c r="AA288" s="22"/>
      <c r="AB288" s="22"/>
      <c r="AC288" s="22" t="s">
        <v>1895</v>
      </c>
      <c r="AD288" s="22">
        <v>20170413</v>
      </c>
      <c r="AE288" s="22">
        <v>287</v>
      </c>
      <c r="AF288" s="22"/>
      <c r="AG288" s="22" t="str">
        <f>IFERROR(VLOOKUP(TblFeedFile[[#This Row],[Leave Type ]],LkupPayType[],2,FALSE),"TBD")</f>
        <v>Closed</v>
      </c>
      <c r="AH288" s="22"/>
      <c r="AI288" s="25"/>
      <c r="AJ288" s="25"/>
      <c r="AK288" s="26"/>
    </row>
    <row r="289" spans="1:37" x14ac:dyDescent="0.25">
      <c r="A289" s="21" t="s">
        <v>29</v>
      </c>
      <c r="B289" s="22">
        <v>314304</v>
      </c>
      <c r="C289" s="22">
        <v>22852372</v>
      </c>
      <c r="D289" s="23">
        <v>501703068910</v>
      </c>
      <c r="E289" s="22" t="s">
        <v>2026</v>
      </c>
      <c r="F289" s="22" t="s">
        <v>2282</v>
      </c>
      <c r="G289" s="22">
        <v>20170314</v>
      </c>
      <c r="H289" s="22">
        <v>20170405</v>
      </c>
      <c r="I289" s="22" t="s">
        <v>40</v>
      </c>
      <c r="J289" s="22"/>
      <c r="K289" s="22"/>
      <c r="L289" s="22" t="s">
        <v>34</v>
      </c>
      <c r="M289" s="22" t="s">
        <v>34</v>
      </c>
      <c r="N289" s="22" t="s">
        <v>35</v>
      </c>
      <c r="O289" s="22" t="s">
        <v>35</v>
      </c>
      <c r="P289" s="22" t="s">
        <v>35</v>
      </c>
      <c r="Q289" s="22" t="s">
        <v>35</v>
      </c>
      <c r="R289" s="22" t="s">
        <v>35</v>
      </c>
      <c r="S289" s="22" t="s">
        <v>34</v>
      </c>
      <c r="T289" s="22"/>
      <c r="U289" s="22"/>
      <c r="V289" s="22"/>
      <c r="W289" s="22"/>
      <c r="X289" s="22"/>
      <c r="Y289" s="22"/>
      <c r="Z289" s="22"/>
      <c r="AA289" s="22"/>
      <c r="AB289" s="22"/>
      <c r="AC289" s="22" t="s">
        <v>1896</v>
      </c>
      <c r="AD289" s="22">
        <v>20170413</v>
      </c>
      <c r="AE289" s="22">
        <v>288</v>
      </c>
      <c r="AF289" s="22"/>
      <c r="AG289" s="22" t="str">
        <f>IFERROR(VLOOKUP(TblFeedFile[[#This Row],[Leave Type ]],LkupPayType[],2,FALSE),"TBD")</f>
        <v>Paid</v>
      </c>
      <c r="AH289" s="22"/>
      <c r="AI289" s="25"/>
      <c r="AJ289" s="25"/>
      <c r="AK289" s="26"/>
    </row>
    <row r="290" spans="1:37" x14ac:dyDescent="0.25">
      <c r="A290" s="21" t="s">
        <v>37</v>
      </c>
      <c r="B290" s="22">
        <v>314304</v>
      </c>
      <c r="C290" s="22">
        <v>22852372</v>
      </c>
      <c r="D290" s="23">
        <v>501703068910</v>
      </c>
      <c r="E290" s="22" t="s">
        <v>2026</v>
      </c>
      <c r="F290" s="22" t="s">
        <v>2282</v>
      </c>
      <c r="G290" s="22">
        <v>20170314</v>
      </c>
      <c r="H290" s="22">
        <v>20170420</v>
      </c>
      <c r="I290" s="22" t="s">
        <v>40</v>
      </c>
      <c r="J290" s="22"/>
      <c r="K290" s="22"/>
      <c r="L290" s="22" t="s">
        <v>34</v>
      </c>
      <c r="M290" s="22" t="s">
        <v>34</v>
      </c>
      <c r="N290" s="22" t="s">
        <v>35</v>
      </c>
      <c r="O290" s="22" t="s">
        <v>35</v>
      </c>
      <c r="P290" s="22" t="s">
        <v>35</v>
      </c>
      <c r="Q290" s="22" t="s">
        <v>35</v>
      </c>
      <c r="R290" s="22" t="s">
        <v>35</v>
      </c>
      <c r="S290" s="22" t="s">
        <v>34</v>
      </c>
      <c r="T290" s="22"/>
      <c r="U290" s="22"/>
      <c r="V290" s="22"/>
      <c r="W290" s="22"/>
      <c r="X290" s="22"/>
      <c r="Y290" s="22"/>
      <c r="Z290" s="22"/>
      <c r="AA290" s="22"/>
      <c r="AB290" s="22"/>
      <c r="AC290" s="22" t="s">
        <v>1896</v>
      </c>
      <c r="AD290" s="22">
        <v>20170413</v>
      </c>
      <c r="AE290" s="22">
        <v>289</v>
      </c>
      <c r="AF290" s="22"/>
      <c r="AG290" s="22" t="str">
        <f>IFERROR(VLOOKUP(TblFeedFile[[#This Row],[Leave Type ]],LkupPayType[],2,FALSE),"TBD")</f>
        <v>Paid</v>
      </c>
      <c r="AH290" s="22"/>
      <c r="AI290" s="25" t="s">
        <v>35</v>
      </c>
      <c r="AJ290" s="25"/>
      <c r="AK290" s="26"/>
    </row>
    <row r="291" spans="1:37" x14ac:dyDescent="0.25">
      <c r="A291" s="21" t="s">
        <v>37</v>
      </c>
      <c r="B291" s="22">
        <v>314304</v>
      </c>
      <c r="C291" s="22">
        <v>22852372</v>
      </c>
      <c r="D291" s="23" t="s">
        <v>2281</v>
      </c>
      <c r="E291" s="22" t="s">
        <v>2026</v>
      </c>
      <c r="F291" s="22" t="s">
        <v>2282</v>
      </c>
      <c r="G291" s="22">
        <v>20170406</v>
      </c>
      <c r="H291" s="22">
        <v>20170420</v>
      </c>
      <c r="I291" s="22" t="s">
        <v>78</v>
      </c>
      <c r="J291" s="22"/>
      <c r="K291" s="22" t="s">
        <v>79</v>
      </c>
      <c r="L291" s="22" t="s">
        <v>34</v>
      </c>
      <c r="M291" s="22" t="s">
        <v>34</v>
      </c>
      <c r="N291" s="22" t="s">
        <v>35</v>
      </c>
      <c r="O291" s="22" t="s">
        <v>35</v>
      </c>
      <c r="P291" s="22" t="s">
        <v>35</v>
      </c>
      <c r="Q291" s="22" t="s">
        <v>35</v>
      </c>
      <c r="R291" s="22" t="s">
        <v>35</v>
      </c>
      <c r="S291" s="22" t="s">
        <v>34</v>
      </c>
      <c r="T291" s="22"/>
      <c r="U291" s="22"/>
      <c r="V291" s="22"/>
      <c r="W291" s="22"/>
      <c r="X291" s="22"/>
      <c r="Y291" s="22"/>
      <c r="Z291" s="22"/>
      <c r="AA291" s="22"/>
      <c r="AB291" s="22"/>
      <c r="AC291" s="22" t="s">
        <v>1913</v>
      </c>
      <c r="AD291" s="22">
        <v>20170413</v>
      </c>
      <c r="AE291" s="22">
        <v>290</v>
      </c>
      <c r="AF291" s="22"/>
      <c r="AG291" s="22" t="str">
        <f>IFERROR(VLOOKUP(TblFeedFile[[#This Row],[Leave Type ]],LkupPayType[],2,FALSE),"TBD")</f>
        <v>Unpaid</v>
      </c>
      <c r="AH291" s="22"/>
      <c r="AI291" s="25"/>
      <c r="AJ291" s="25"/>
      <c r="AK291" s="26"/>
    </row>
    <row r="292" spans="1:37" x14ac:dyDescent="0.25">
      <c r="A292" s="21" t="s">
        <v>29</v>
      </c>
      <c r="B292" s="22">
        <v>314304</v>
      </c>
      <c r="C292" s="22">
        <v>22857133</v>
      </c>
      <c r="D292" s="23" t="s">
        <v>2283</v>
      </c>
      <c r="E292" s="22" t="s">
        <v>2284</v>
      </c>
      <c r="F292" s="22" t="s">
        <v>2285</v>
      </c>
      <c r="G292" s="22">
        <v>20161114</v>
      </c>
      <c r="H292" s="22">
        <v>20161129</v>
      </c>
      <c r="I292" s="22" t="s">
        <v>36</v>
      </c>
      <c r="J292" s="22"/>
      <c r="K292" s="22"/>
      <c r="L292" s="22" t="s">
        <v>34</v>
      </c>
      <c r="M292" s="22" t="s">
        <v>34</v>
      </c>
      <c r="N292" s="22" t="s">
        <v>35</v>
      </c>
      <c r="O292" s="22" t="s">
        <v>35</v>
      </c>
      <c r="P292" s="22" t="s">
        <v>35</v>
      </c>
      <c r="Q292" s="22" t="s">
        <v>35</v>
      </c>
      <c r="R292" s="22" t="s">
        <v>35</v>
      </c>
      <c r="S292" s="22" t="s">
        <v>34</v>
      </c>
      <c r="T292" s="22">
        <v>20161130</v>
      </c>
      <c r="U292" s="22"/>
      <c r="V292" s="22"/>
      <c r="W292" s="22"/>
      <c r="X292" s="22"/>
      <c r="Y292" s="22"/>
      <c r="Z292" s="22"/>
      <c r="AA292" s="22"/>
      <c r="AB292" s="22"/>
      <c r="AC292" s="22" t="s">
        <v>2286</v>
      </c>
      <c r="AD292" s="22">
        <v>20170413</v>
      </c>
      <c r="AE292" s="22">
        <v>291</v>
      </c>
      <c r="AF292" s="22"/>
      <c r="AG292" s="22" t="str">
        <f>IFERROR(VLOOKUP(TblFeedFile[[#This Row],[Leave Type ]],LkupPayType[],2,FALSE),"TBD")</f>
        <v>Unpaid</v>
      </c>
      <c r="AH292" s="22"/>
      <c r="AI292" s="25"/>
      <c r="AJ292" s="25"/>
      <c r="AK292" s="26"/>
    </row>
    <row r="293" spans="1:37" x14ac:dyDescent="0.25">
      <c r="A293" s="21" t="s">
        <v>37</v>
      </c>
      <c r="B293" s="22">
        <v>314304</v>
      </c>
      <c r="C293" s="22">
        <v>22857133</v>
      </c>
      <c r="D293" s="23" t="s">
        <v>2283</v>
      </c>
      <c r="E293" s="22" t="s">
        <v>2284</v>
      </c>
      <c r="F293" s="22" t="s">
        <v>2285</v>
      </c>
      <c r="G293" s="22">
        <v>20161114</v>
      </c>
      <c r="H293" s="22">
        <v>20170319</v>
      </c>
      <c r="I293" s="22" t="s">
        <v>36</v>
      </c>
      <c r="J293" s="22"/>
      <c r="K293" s="22"/>
      <c r="L293" s="22" t="s">
        <v>34</v>
      </c>
      <c r="M293" s="22" t="s">
        <v>34</v>
      </c>
      <c r="N293" s="22" t="s">
        <v>35</v>
      </c>
      <c r="O293" s="22" t="s">
        <v>35</v>
      </c>
      <c r="P293" s="22" t="s">
        <v>35</v>
      </c>
      <c r="Q293" s="22" t="s">
        <v>35</v>
      </c>
      <c r="R293" s="22" t="s">
        <v>35</v>
      </c>
      <c r="S293" s="22" t="s">
        <v>34</v>
      </c>
      <c r="T293" s="22"/>
      <c r="U293" s="22"/>
      <c r="V293" s="22"/>
      <c r="W293" s="22"/>
      <c r="X293" s="22"/>
      <c r="Y293" s="22"/>
      <c r="Z293" s="22"/>
      <c r="AA293" s="22"/>
      <c r="AB293" s="22"/>
      <c r="AC293" s="22" t="s">
        <v>1988</v>
      </c>
      <c r="AD293" s="22">
        <v>20170413</v>
      </c>
      <c r="AE293" s="22">
        <v>292</v>
      </c>
      <c r="AF293" s="22"/>
      <c r="AG293" s="22" t="str">
        <f>IFERROR(VLOOKUP(TblFeedFile[[#This Row],[Leave Type ]],LkupPayType[],2,FALSE),"TBD")</f>
        <v>Unpaid</v>
      </c>
      <c r="AH293" s="22"/>
      <c r="AI293" s="25"/>
      <c r="AJ293" s="25"/>
      <c r="AK293" s="26"/>
    </row>
    <row r="294" spans="1:37" x14ac:dyDescent="0.25">
      <c r="A294" s="21" t="s">
        <v>37</v>
      </c>
      <c r="B294" s="22">
        <v>314305</v>
      </c>
      <c r="C294" s="22">
        <v>22905715</v>
      </c>
      <c r="D294" s="23" t="s">
        <v>2287</v>
      </c>
      <c r="E294" s="22" t="s">
        <v>2288</v>
      </c>
      <c r="F294" s="22" t="s">
        <v>66</v>
      </c>
      <c r="G294" s="22">
        <v>20170413</v>
      </c>
      <c r="H294" s="22">
        <v>20170514</v>
      </c>
      <c r="I294" s="22" t="s">
        <v>36</v>
      </c>
      <c r="J294" s="22"/>
      <c r="K294" s="22"/>
      <c r="L294" s="22" t="s">
        <v>34</v>
      </c>
      <c r="M294" s="22" t="s">
        <v>34</v>
      </c>
      <c r="N294" s="22" t="s">
        <v>35</v>
      </c>
      <c r="O294" s="22" t="s">
        <v>35</v>
      </c>
      <c r="P294" s="22" t="s">
        <v>35</v>
      </c>
      <c r="Q294" s="22" t="s">
        <v>35</v>
      </c>
      <c r="R294" s="22" t="s">
        <v>35</v>
      </c>
      <c r="S294" s="22" t="s">
        <v>34</v>
      </c>
      <c r="T294" s="22"/>
      <c r="U294" s="22"/>
      <c r="V294" s="22"/>
      <c r="W294" s="22"/>
      <c r="X294" s="22"/>
      <c r="Y294" s="22"/>
      <c r="Z294" s="22"/>
      <c r="AA294" s="22"/>
      <c r="AB294" s="22"/>
      <c r="AC294" s="22" t="s">
        <v>1936</v>
      </c>
      <c r="AD294" s="22">
        <v>20170413</v>
      </c>
      <c r="AE294" s="22">
        <v>293</v>
      </c>
      <c r="AF294" s="22"/>
      <c r="AG294" s="22" t="str">
        <f>IFERROR(VLOOKUP(TblFeedFile[[#This Row],[Leave Type ]],LkupPayType[],2,FALSE),"TBD")</f>
        <v>Unpaid</v>
      </c>
      <c r="AH294" s="22"/>
      <c r="AI294" s="25"/>
      <c r="AJ294" s="25"/>
      <c r="AK294" s="26"/>
    </row>
    <row r="295" spans="1:37" x14ac:dyDescent="0.25">
      <c r="A295" s="21" t="s">
        <v>29</v>
      </c>
      <c r="B295" s="22">
        <v>314304</v>
      </c>
      <c r="C295" s="22">
        <v>22913975</v>
      </c>
      <c r="D295" s="23">
        <v>571703278597</v>
      </c>
      <c r="E295" s="22" t="s">
        <v>2289</v>
      </c>
      <c r="F295" s="22" t="s">
        <v>2290</v>
      </c>
      <c r="G295" s="22">
        <v>20170322</v>
      </c>
      <c r="H295" s="22">
        <v>20170421</v>
      </c>
      <c r="I295" s="22" t="s">
        <v>53</v>
      </c>
      <c r="J295" s="22"/>
      <c r="K295" s="22"/>
      <c r="L295" s="22" t="s">
        <v>35</v>
      </c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 t="s">
        <v>1927</v>
      </c>
      <c r="AD295" s="22">
        <v>20170413</v>
      </c>
      <c r="AE295" s="22">
        <v>294</v>
      </c>
      <c r="AF295" s="22"/>
      <c r="AG295" s="22" t="str">
        <f>IFERROR(VLOOKUP(TblFeedFile[[#This Row],[Leave Type ]],LkupPayType[],2,FALSE),"TBD")</f>
        <v>Paid</v>
      </c>
      <c r="AH295" s="22"/>
      <c r="AI295" s="25"/>
      <c r="AJ295" s="25"/>
      <c r="AK295" s="26"/>
    </row>
    <row r="296" spans="1:37" x14ac:dyDescent="0.25">
      <c r="A296" s="21" t="s">
        <v>37</v>
      </c>
      <c r="B296" s="22">
        <v>314304</v>
      </c>
      <c r="C296" s="22">
        <v>22913975</v>
      </c>
      <c r="D296" s="23">
        <v>571703278597</v>
      </c>
      <c r="E296" s="22" t="s">
        <v>2289</v>
      </c>
      <c r="F296" s="22" t="s">
        <v>2290</v>
      </c>
      <c r="G296" s="22">
        <v>20170322</v>
      </c>
      <c r="H296" s="22">
        <v>20170426</v>
      </c>
      <c r="I296" s="22" t="s">
        <v>53</v>
      </c>
      <c r="J296" s="22"/>
      <c r="K296" s="22"/>
      <c r="L296" s="22" t="s">
        <v>35</v>
      </c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 t="s">
        <v>1927</v>
      </c>
      <c r="AD296" s="22">
        <v>20170413</v>
      </c>
      <c r="AE296" s="22">
        <v>295</v>
      </c>
      <c r="AF296" s="22"/>
      <c r="AG296" s="22" t="str">
        <f>IFERROR(VLOOKUP(TblFeedFile[[#This Row],[Leave Type ]],LkupPayType[],2,FALSE),"TBD")</f>
        <v>Paid</v>
      </c>
      <c r="AH296" s="22"/>
      <c r="AI296" s="25"/>
      <c r="AJ296" s="25"/>
      <c r="AK296" s="26"/>
    </row>
    <row r="297" spans="1:37" x14ac:dyDescent="0.25">
      <c r="A297" s="21" t="s">
        <v>37</v>
      </c>
      <c r="B297" s="22">
        <v>314304</v>
      </c>
      <c r="C297" s="22">
        <v>22913975</v>
      </c>
      <c r="D297" s="23">
        <v>571703278597</v>
      </c>
      <c r="E297" s="22" t="s">
        <v>2289</v>
      </c>
      <c r="F297" s="22" t="s">
        <v>2290</v>
      </c>
      <c r="G297" s="22">
        <v>20170329</v>
      </c>
      <c r="H297" s="22">
        <v>20170426</v>
      </c>
      <c r="I297" s="22" t="s">
        <v>40</v>
      </c>
      <c r="J297" s="22"/>
      <c r="K297" s="22"/>
      <c r="L297" s="22" t="s">
        <v>35</v>
      </c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 t="s">
        <v>1901</v>
      </c>
      <c r="AD297" s="22">
        <v>20170413</v>
      </c>
      <c r="AE297" s="22">
        <v>296</v>
      </c>
      <c r="AF297" s="22"/>
      <c r="AG297" s="22" t="str">
        <f>IFERROR(VLOOKUP(TblFeedFile[[#This Row],[Leave Type ]],LkupPayType[],2,FALSE),"TBD")</f>
        <v>Paid</v>
      </c>
      <c r="AH297" s="22"/>
      <c r="AI297" s="25"/>
      <c r="AJ297" s="25"/>
      <c r="AK297" s="26"/>
    </row>
    <row r="298" spans="1:37" x14ac:dyDescent="0.25">
      <c r="A298" s="21" t="s">
        <v>29</v>
      </c>
      <c r="B298" s="22">
        <v>314304</v>
      </c>
      <c r="C298" s="22">
        <v>22919188</v>
      </c>
      <c r="D298" s="23" t="s">
        <v>2291</v>
      </c>
      <c r="E298" s="22" t="s">
        <v>775</v>
      </c>
      <c r="F298" s="22" t="s">
        <v>2292</v>
      </c>
      <c r="G298" s="22">
        <v>20170105</v>
      </c>
      <c r="H298" s="22">
        <v>20170105</v>
      </c>
      <c r="I298" s="22" t="s">
        <v>33</v>
      </c>
      <c r="J298" s="22"/>
      <c r="K298" s="22"/>
      <c r="L298" s="22" t="s">
        <v>34</v>
      </c>
      <c r="M298" s="22" t="s">
        <v>34</v>
      </c>
      <c r="N298" s="22" t="s">
        <v>35</v>
      </c>
      <c r="O298" s="22" t="s">
        <v>35</v>
      </c>
      <c r="P298" s="22" t="s">
        <v>35</v>
      </c>
      <c r="Q298" s="22" t="s">
        <v>35</v>
      </c>
      <c r="R298" s="22" t="s">
        <v>35</v>
      </c>
      <c r="S298" s="22" t="s">
        <v>34</v>
      </c>
      <c r="T298" s="22"/>
      <c r="U298" s="22"/>
      <c r="V298" s="22"/>
      <c r="W298" s="22"/>
      <c r="X298" s="22"/>
      <c r="Y298" s="22"/>
      <c r="Z298" s="22"/>
      <c r="AA298" s="22"/>
      <c r="AB298" s="22"/>
      <c r="AC298" s="22" t="s">
        <v>2227</v>
      </c>
      <c r="AD298" s="22">
        <v>20170413</v>
      </c>
      <c r="AE298" s="22">
        <v>297</v>
      </c>
      <c r="AF298" s="22"/>
      <c r="AG298" s="22" t="str">
        <f>IFERROR(VLOOKUP(TblFeedFile[[#This Row],[Leave Type ]],LkupPayType[],2,FALSE),"TBD")</f>
        <v>Closed</v>
      </c>
      <c r="AH298" s="22"/>
      <c r="AI298" s="25"/>
      <c r="AJ298" s="25"/>
      <c r="AK298" s="26"/>
    </row>
    <row r="299" spans="1:37" x14ac:dyDescent="0.25">
      <c r="A299" s="21" t="s">
        <v>37</v>
      </c>
      <c r="B299" s="22">
        <v>314304</v>
      </c>
      <c r="C299" s="22">
        <v>22919188</v>
      </c>
      <c r="D299" s="23" t="s">
        <v>2291</v>
      </c>
      <c r="E299" s="22" t="s">
        <v>775</v>
      </c>
      <c r="F299" s="22" t="s">
        <v>2292</v>
      </c>
      <c r="G299" s="22">
        <v>20170105</v>
      </c>
      <c r="H299" s="22">
        <v>20170530</v>
      </c>
      <c r="I299" s="22" t="s">
        <v>36</v>
      </c>
      <c r="J299" s="22"/>
      <c r="K299" s="22"/>
      <c r="L299" s="22" t="s">
        <v>34</v>
      </c>
      <c r="M299" s="22" t="s">
        <v>34</v>
      </c>
      <c r="N299" s="22" t="s">
        <v>35</v>
      </c>
      <c r="O299" s="22" t="s">
        <v>35</v>
      </c>
      <c r="P299" s="22" t="s">
        <v>35</v>
      </c>
      <c r="Q299" s="22" t="s">
        <v>35</v>
      </c>
      <c r="R299" s="22" t="s">
        <v>35</v>
      </c>
      <c r="S299" s="22" t="s">
        <v>34</v>
      </c>
      <c r="T299" s="22"/>
      <c r="U299" s="22"/>
      <c r="V299" s="22"/>
      <c r="W299" s="22"/>
      <c r="X299" s="22"/>
      <c r="Y299" s="22"/>
      <c r="Z299" s="22"/>
      <c r="AA299" s="22"/>
      <c r="AB299" s="22"/>
      <c r="AC299" s="22" t="s">
        <v>1956</v>
      </c>
      <c r="AD299" s="22">
        <v>20170413</v>
      </c>
      <c r="AE299" s="22">
        <v>298</v>
      </c>
      <c r="AF299" s="22"/>
      <c r="AG299" s="22" t="str">
        <f>IFERROR(VLOOKUP(TblFeedFile[[#This Row],[Leave Type ]],LkupPayType[],2,FALSE),"TBD")</f>
        <v>Unpaid</v>
      </c>
      <c r="AH299" s="22"/>
      <c r="AI299" s="25" t="s">
        <v>35</v>
      </c>
      <c r="AJ299" s="25"/>
      <c r="AK299" s="26"/>
    </row>
    <row r="300" spans="1:37" x14ac:dyDescent="0.25">
      <c r="A300" s="21" t="s">
        <v>29</v>
      </c>
      <c r="B300" s="22">
        <v>314304</v>
      </c>
      <c r="C300" s="22">
        <v>22920571</v>
      </c>
      <c r="D300" s="23">
        <v>571702178037</v>
      </c>
      <c r="E300" s="22" t="s">
        <v>470</v>
      </c>
      <c r="F300" s="22" t="s">
        <v>2293</v>
      </c>
      <c r="G300" s="22">
        <v>20170219</v>
      </c>
      <c r="H300" s="22">
        <v>20170413</v>
      </c>
      <c r="I300" s="22" t="s">
        <v>40</v>
      </c>
      <c r="J300" s="22"/>
      <c r="K300" s="22"/>
      <c r="L300" s="22" t="s">
        <v>34</v>
      </c>
      <c r="M300" s="22" t="s">
        <v>34</v>
      </c>
      <c r="N300" s="22" t="s">
        <v>35</v>
      </c>
      <c r="O300" s="22" t="s">
        <v>35</v>
      </c>
      <c r="P300" s="22" t="s">
        <v>35</v>
      </c>
      <c r="Q300" s="22" t="s">
        <v>35</v>
      </c>
      <c r="R300" s="22" t="s">
        <v>35</v>
      </c>
      <c r="S300" s="22" t="s">
        <v>34</v>
      </c>
      <c r="T300" s="22"/>
      <c r="U300" s="22"/>
      <c r="V300" s="22"/>
      <c r="W300" s="22"/>
      <c r="X300" s="22"/>
      <c r="Y300" s="22"/>
      <c r="Z300" s="22"/>
      <c r="AA300" s="22"/>
      <c r="AB300" s="22"/>
      <c r="AC300" s="22" t="s">
        <v>1902</v>
      </c>
      <c r="AD300" s="22">
        <v>20170413</v>
      </c>
      <c r="AE300" s="22">
        <v>299</v>
      </c>
      <c r="AF300" s="22"/>
      <c r="AG300" s="22" t="str">
        <f>IFERROR(VLOOKUP(TblFeedFile[[#This Row],[Leave Type ]],LkupPayType[],2,FALSE),"TBD")</f>
        <v>Paid</v>
      </c>
      <c r="AH300" s="22"/>
      <c r="AI300" s="25"/>
      <c r="AJ300" s="25"/>
      <c r="AK300" s="26"/>
    </row>
    <row r="301" spans="1:37" x14ac:dyDescent="0.25">
      <c r="A301" s="21" t="s">
        <v>37</v>
      </c>
      <c r="B301" s="22">
        <v>314304</v>
      </c>
      <c r="C301" s="22">
        <v>22920571</v>
      </c>
      <c r="D301" s="23">
        <v>571702178037</v>
      </c>
      <c r="E301" s="22" t="s">
        <v>470</v>
      </c>
      <c r="F301" s="22" t="s">
        <v>2293</v>
      </c>
      <c r="G301" s="22">
        <v>20170219</v>
      </c>
      <c r="H301" s="22">
        <v>20170423</v>
      </c>
      <c r="I301" s="22" t="s">
        <v>40</v>
      </c>
      <c r="J301" s="22"/>
      <c r="K301" s="22"/>
      <c r="L301" s="22" t="s">
        <v>34</v>
      </c>
      <c r="M301" s="22" t="s">
        <v>34</v>
      </c>
      <c r="N301" s="22" t="s">
        <v>35</v>
      </c>
      <c r="O301" s="22" t="s">
        <v>35</v>
      </c>
      <c r="P301" s="22" t="s">
        <v>35</v>
      </c>
      <c r="Q301" s="22" t="s">
        <v>35</v>
      </c>
      <c r="R301" s="22" t="s">
        <v>35</v>
      </c>
      <c r="S301" s="22" t="s">
        <v>34</v>
      </c>
      <c r="T301" s="22"/>
      <c r="U301" s="22"/>
      <c r="V301" s="22"/>
      <c r="W301" s="22"/>
      <c r="X301" s="22"/>
      <c r="Y301" s="22"/>
      <c r="Z301" s="22"/>
      <c r="AA301" s="22"/>
      <c r="AB301" s="22"/>
      <c r="AC301" s="22" t="s">
        <v>1902</v>
      </c>
      <c r="AD301" s="22">
        <v>20170413</v>
      </c>
      <c r="AE301" s="22">
        <v>300</v>
      </c>
      <c r="AF301" s="22"/>
      <c r="AG301" s="22" t="str">
        <f>IFERROR(VLOOKUP(TblFeedFile[[#This Row],[Leave Type ]],LkupPayType[],2,FALSE),"TBD")</f>
        <v>Paid</v>
      </c>
      <c r="AH301" s="22"/>
      <c r="AI301" s="25"/>
      <c r="AJ301" s="25"/>
      <c r="AK301" s="26"/>
    </row>
    <row r="302" spans="1:37" x14ac:dyDescent="0.25">
      <c r="A302" s="21" t="s">
        <v>37</v>
      </c>
      <c r="B302" s="22">
        <v>314304</v>
      </c>
      <c r="C302" s="22">
        <v>23002759</v>
      </c>
      <c r="D302" s="23" t="s">
        <v>2294</v>
      </c>
      <c r="E302" s="22" t="s">
        <v>291</v>
      </c>
      <c r="F302" s="22" t="s">
        <v>2295</v>
      </c>
      <c r="G302" s="22">
        <v>20170413</v>
      </c>
      <c r="H302" s="22">
        <v>20170514</v>
      </c>
      <c r="I302" s="22" t="s">
        <v>78</v>
      </c>
      <c r="J302" s="22"/>
      <c r="K302" s="22" t="s">
        <v>79</v>
      </c>
      <c r="L302" s="22" t="s">
        <v>34</v>
      </c>
      <c r="M302" s="22" t="s">
        <v>34</v>
      </c>
      <c r="N302" s="22" t="s">
        <v>35</v>
      </c>
      <c r="O302" s="22" t="s">
        <v>35</v>
      </c>
      <c r="P302" s="22" t="s">
        <v>35</v>
      </c>
      <c r="Q302" s="22" t="s">
        <v>35</v>
      </c>
      <c r="R302" s="22" t="s">
        <v>35</v>
      </c>
      <c r="S302" s="22" t="s">
        <v>34</v>
      </c>
      <c r="T302" s="22"/>
      <c r="U302" s="22"/>
      <c r="V302" s="22"/>
      <c r="W302" s="22"/>
      <c r="X302" s="22"/>
      <c r="Y302" s="22"/>
      <c r="Z302" s="22"/>
      <c r="AA302" s="22"/>
      <c r="AB302" s="22"/>
      <c r="AC302" s="22" t="s">
        <v>1902</v>
      </c>
      <c r="AD302" s="22">
        <v>20170413</v>
      </c>
      <c r="AE302" s="22">
        <v>301</v>
      </c>
      <c r="AF302" s="22"/>
      <c r="AG302" s="22" t="str">
        <f>IFERROR(VLOOKUP(TblFeedFile[[#This Row],[Leave Type ]],LkupPayType[],2,FALSE),"TBD")</f>
        <v>Unpaid</v>
      </c>
      <c r="AH302" s="22"/>
      <c r="AI302" s="25"/>
      <c r="AJ302" s="25"/>
      <c r="AK302" s="26"/>
    </row>
    <row r="303" spans="1:37" x14ac:dyDescent="0.25">
      <c r="A303" s="21" t="s">
        <v>29</v>
      </c>
      <c r="B303" s="22">
        <v>314304</v>
      </c>
      <c r="C303" s="22">
        <v>23015064</v>
      </c>
      <c r="D303" s="23">
        <v>511704038631</v>
      </c>
      <c r="E303" s="22" t="s">
        <v>1087</v>
      </c>
      <c r="F303" s="22" t="s">
        <v>2296</v>
      </c>
      <c r="G303" s="22">
        <v>20170331</v>
      </c>
      <c r="H303" s="22">
        <v>20170728</v>
      </c>
      <c r="I303" s="22" t="s">
        <v>40</v>
      </c>
      <c r="J303" s="22"/>
      <c r="K303" s="22"/>
      <c r="L303" s="22" t="s">
        <v>34</v>
      </c>
      <c r="M303" s="22" t="s">
        <v>34</v>
      </c>
      <c r="N303" s="22" t="s">
        <v>35</v>
      </c>
      <c r="O303" s="22" t="s">
        <v>35</v>
      </c>
      <c r="P303" s="22" t="s">
        <v>35</v>
      </c>
      <c r="Q303" s="22" t="s">
        <v>35</v>
      </c>
      <c r="R303" s="22" t="s">
        <v>35</v>
      </c>
      <c r="S303" s="22" t="s">
        <v>34</v>
      </c>
      <c r="T303" s="22"/>
      <c r="U303" s="22"/>
      <c r="V303" s="22"/>
      <c r="W303" s="22"/>
      <c r="X303" s="22"/>
      <c r="Y303" s="22"/>
      <c r="Z303" s="22"/>
      <c r="AA303" s="22"/>
      <c r="AB303" s="22"/>
      <c r="AC303" s="22" t="s">
        <v>1897</v>
      </c>
      <c r="AD303" s="22">
        <v>20170413</v>
      </c>
      <c r="AE303" s="22">
        <v>302</v>
      </c>
      <c r="AF303" s="22"/>
      <c r="AG303" s="22" t="str">
        <f>IFERROR(VLOOKUP(TblFeedFile[[#This Row],[Leave Type ]],LkupPayType[],2,FALSE),"TBD")</f>
        <v>Paid</v>
      </c>
      <c r="AH303" s="22"/>
      <c r="AI303" s="25"/>
      <c r="AJ303" s="25"/>
      <c r="AK303" s="26"/>
    </row>
    <row r="304" spans="1:37" x14ac:dyDescent="0.25">
      <c r="A304" s="21" t="s">
        <v>37</v>
      </c>
      <c r="B304" s="22">
        <v>314304</v>
      </c>
      <c r="C304" s="22">
        <v>23015064</v>
      </c>
      <c r="D304" s="23">
        <v>511704038631</v>
      </c>
      <c r="E304" s="22" t="s">
        <v>1087</v>
      </c>
      <c r="F304" s="22" t="s">
        <v>2296</v>
      </c>
      <c r="G304" s="22">
        <v>20170331</v>
      </c>
      <c r="H304" s="22">
        <v>20170503</v>
      </c>
      <c r="I304" s="22" t="s">
        <v>40</v>
      </c>
      <c r="J304" s="22"/>
      <c r="K304" s="22"/>
      <c r="L304" s="22" t="s">
        <v>34</v>
      </c>
      <c r="M304" s="22" t="s">
        <v>34</v>
      </c>
      <c r="N304" s="22" t="s">
        <v>35</v>
      </c>
      <c r="O304" s="22" t="s">
        <v>35</v>
      </c>
      <c r="P304" s="22" t="s">
        <v>35</v>
      </c>
      <c r="Q304" s="22" t="s">
        <v>35</v>
      </c>
      <c r="R304" s="22" t="s">
        <v>35</v>
      </c>
      <c r="S304" s="22" t="s">
        <v>34</v>
      </c>
      <c r="T304" s="22">
        <v>20170404</v>
      </c>
      <c r="U304" s="22"/>
      <c r="V304" s="22"/>
      <c r="W304" s="22"/>
      <c r="X304" s="22"/>
      <c r="Y304" s="22"/>
      <c r="Z304" s="22"/>
      <c r="AA304" s="22"/>
      <c r="AB304" s="22"/>
      <c r="AC304" s="22" t="s">
        <v>1896</v>
      </c>
      <c r="AD304" s="22">
        <v>20170413</v>
      </c>
      <c r="AE304" s="22">
        <v>303</v>
      </c>
      <c r="AF304" s="22"/>
      <c r="AG304" s="22" t="str">
        <f>IFERROR(VLOOKUP(TblFeedFile[[#This Row],[Leave Type ]],LkupPayType[],2,FALSE),"TBD")</f>
        <v>Paid</v>
      </c>
      <c r="AH304" s="22"/>
      <c r="AI304" s="25"/>
      <c r="AJ304" s="25"/>
      <c r="AK304" s="26" t="s">
        <v>35</v>
      </c>
    </row>
    <row r="305" spans="1:37" x14ac:dyDescent="0.25">
      <c r="A305" s="21" t="s">
        <v>29</v>
      </c>
      <c r="B305" s="22">
        <v>314305</v>
      </c>
      <c r="C305" s="22">
        <v>23024373</v>
      </c>
      <c r="D305" s="23" t="s">
        <v>2297</v>
      </c>
      <c r="E305" s="22" t="s">
        <v>246</v>
      </c>
      <c r="F305" s="22" t="s">
        <v>283</v>
      </c>
      <c r="G305" s="22">
        <v>20170308</v>
      </c>
      <c r="H305" s="22">
        <v>20170324</v>
      </c>
      <c r="I305" s="22" t="s">
        <v>36</v>
      </c>
      <c r="J305" s="22"/>
      <c r="K305" s="22"/>
      <c r="L305" s="22" t="s">
        <v>34</v>
      </c>
      <c r="M305" s="22" t="s">
        <v>34</v>
      </c>
      <c r="N305" s="22" t="s">
        <v>35</v>
      </c>
      <c r="O305" s="22" t="s">
        <v>35</v>
      </c>
      <c r="P305" s="22" t="s">
        <v>35</v>
      </c>
      <c r="Q305" s="22" t="s">
        <v>35</v>
      </c>
      <c r="R305" s="22" t="s">
        <v>35</v>
      </c>
      <c r="S305" s="22" t="s">
        <v>34</v>
      </c>
      <c r="T305" s="22">
        <v>20170403</v>
      </c>
      <c r="U305" s="22"/>
      <c r="V305" s="22"/>
      <c r="W305" s="22"/>
      <c r="X305" s="22"/>
      <c r="Y305" s="22"/>
      <c r="Z305" s="22"/>
      <c r="AA305" s="22"/>
      <c r="AB305" s="22"/>
      <c r="AC305" s="22" t="s">
        <v>1936</v>
      </c>
      <c r="AD305" s="22">
        <v>20170413</v>
      </c>
      <c r="AE305" s="22">
        <v>304</v>
      </c>
      <c r="AF305" s="22"/>
      <c r="AG305" s="22" t="str">
        <f>IFERROR(VLOOKUP(TblFeedFile[[#This Row],[Leave Type ]],LkupPayType[],2,FALSE),"TBD")</f>
        <v>Unpaid</v>
      </c>
      <c r="AH305" s="22"/>
      <c r="AI305" s="25"/>
      <c r="AJ305" s="25"/>
      <c r="AK305" s="26"/>
    </row>
    <row r="306" spans="1:37" x14ac:dyDescent="0.25">
      <c r="A306" s="21" t="s">
        <v>37</v>
      </c>
      <c r="B306" s="22">
        <v>314305</v>
      </c>
      <c r="C306" s="22">
        <v>23024373</v>
      </c>
      <c r="D306" s="23" t="s">
        <v>2297</v>
      </c>
      <c r="E306" s="22" t="s">
        <v>246</v>
      </c>
      <c r="F306" s="22" t="s">
        <v>283</v>
      </c>
      <c r="G306" s="22">
        <v>20170308</v>
      </c>
      <c r="H306" s="22">
        <v>20170331</v>
      </c>
      <c r="I306" s="22" t="s">
        <v>36</v>
      </c>
      <c r="J306" s="22"/>
      <c r="K306" s="22"/>
      <c r="L306" s="22" t="s">
        <v>34</v>
      </c>
      <c r="M306" s="22" t="s">
        <v>34</v>
      </c>
      <c r="N306" s="22" t="s">
        <v>35</v>
      </c>
      <c r="O306" s="22" t="s">
        <v>35</v>
      </c>
      <c r="P306" s="22" t="s">
        <v>35</v>
      </c>
      <c r="Q306" s="22" t="s">
        <v>35</v>
      </c>
      <c r="R306" s="22" t="s">
        <v>35</v>
      </c>
      <c r="S306" s="22" t="s">
        <v>34</v>
      </c>
      <c r="T306" s="22">
        <v>20170403</v>
      </c>
      <c r="U306" s="22"/>
      <c r="V306" s="22"/>
      <c r="W306" s="22"/>
      <c r="X306" s="22"/>
      <c r="Y306" s="22"/>
      <c r="Z306" s="22"/>
      <c r="AA306" s="22"/>
      <c r="AB306" s="22"/>
      <c r="AC306" s="22" t="s">
        <v>1936</v>
      </c>
      <c r="AD306" s="22">
        <v>20170413</v>
      </c>
      <c r="AE306" s="22">
        <v>305</v>
      </c>
      <c r="AF306" s="22"/>
      <c r="AG306" s="22" t="str">
        <f>IFERROR(VLOOKUP(TblFeedFile[[#This Row],[Leave Type ]],LkupPayType[],2,FALSE),"TBD")</f>
        <v>Unpaid</v>
      </c>
      <c r="AH306" s="22"/>
      <c r="AI306" s="25"/>
      <c r="AJ306" s="25"/>
      <c r="AK306" s="26" t="s">
        <v>35</v>
      </c>
    </row>
    <row r="307" spans="1:37" x14ac:dyDescent="0.25">
      <c r="A307" s="21" t="s">
        <v>29</v>
      </c>
      <c r="B307" s="22">
        <v>314301</v>
      </c>
      <c r="C307" s="22">
        <v>23115440</v>
      </c>
      <c r="D307" s="23" t="s">
        <v>2298</v>
      </c>
      <c r="E307" s="22" t="s">
        <v>1997</v>
      </c>
      <c r="F307" s="22" t="s">
        <v>2299</v>
      </c>
      <c r="G307" s="22">
        <v>20170407</v>
      </c>
      <c r="H307" s="22">
        <v>20170407</v>
      </c>
      <c r="I307" s="22" t="s">
        <v>33</v>
      </c>
      <c r="J307" s="22"/>
      <c r="K307" s="22"/>
      <c r="L307" s="22" t="s">
        <v>34</v>
      </c>
      <c r="M307" s="22" t="s">
        <v>34</v>
      </c>
      <c r="N307" s="22" t="s">
        <v>35</v>
      </c>
      <c r="O307" s="22" t="s">
        <v>35</v>
      </c>
      <c r="P307" s="22" t="s">
        <v>35</v>
      </c>
      <c r="Q307" s="22" t="s">
        <v>35</v>
      </c>
      <c r="R307" s="22" t="s">
        <v>35</v>
      </c>
      <c r="S307" s="22" t="s">
        <v>34</v>
      </c>
      <c r="T307" s="22"/>
      <c r="U307" s="22"/>
      <c r="V307" s="22"/>
      <c r="W307" s="22"/>
      <c r="X307" s="22"/>
      <c r="Y307" s="22"/>
      <c r="Z307" s="22"/>
      <c r="AA307" s="22"/>
      <c r="AB307" s="22"/>
      <c r="AC307" s="22" t="s">
        <v>1917</v>
      </c>
      <c r="AD307" s="22">
        <v>20170413</v>
      </c>
      <c r="AE307" s="22">
        <v>306</v>
      </c>
      <c r="AF307" s="22"/>
      <c r="AG307" s="22" t="str">
        <f>IFERROR(VLOOKUP(TblFeedFile[[#This Row],[Leave Type ]],LkupPayType[],2,FALSE),"TBD")</f>
        <v>Closed</v>
      </c>
      <c r="AH307" s="22"/>
      <c r="AI307" s="25"/>
      <c r="AJ307" s="25"/>
      <c r="AK307" s="26"/>
    </row>
    <row r="308" spans="1:37" x14ac:dyDescent="0.25">
      <c r="A308" s="21" t="s">
        <v>37</v>
      </c>
      <c r="B308" s="22">
        <v>314301</v>
      </c>
      <c r="C308" s="22">
        <v>23115440</v>
      </c>
      <c r="D308" s="23">
        <v>551703068635</v>
      </c>
      <c r="E308" s="22" t="s">
        <v>1997</v>
      </c>
      <c r="F308" s="22" t="s">
        <v>2299</v>
      </c>
      <c r="G308" s="22">
        <v>20170308</v>
      </c>
      <c r="H308" s="22">
        <v>20170406</v>
      </c>
      <c r="I308" s="22" t="s">
        <v>40</v>
      </c>
      <c r="J308" s="22"/>
      <c r="K308" s="22"/>
      <c r="L308" s="22" t="s">
        <v>34</v>
      </c>
      <c r="M308" s="22" t="s">
        <v>34</v>
      </c>
      <c r="N308" s="22" t="s">
        <v>35</v>
      </c>
      <c r="O308" s="22" t="s">
        <v>35</v>
      </c>
      <c r="P308" s="22" t="s">
        <v>35</v>
      </c>
      <c r="Q308" s="22" t="s">
        <v>35</v>
      </c>
      <c r="R308" s="22" t="s">
        <v>35</v>
      </c>
      <c r="S308" s="22" t="s">
        <v>34</v>
      </c>
      <c r="T308" s="22">
        <v>20170407</v>
      </c>
      <c r="U308" s="22"/>
      <c r="V308" s="22"/>
      <c r="W308" s="22"/>
      <c r="X308" s="22"/>
      <c r="Y308" s="22"/>
      <c r="Z308" s="22"/>
      <c r="AA308" s="22"/>
      <c r="AB308" s="22"/>
      <c r="AC308" s="22" t="s">
        <v>1913</v>
      </c>
      <c r="AD308" s="22">
        <v>20170413</v>
      </c>
      <c r="AE308" s="22">
        <v>307</v>
      </c>
      <c r="AF308" s="22"/>
      <c r="AG308" s="22" t="str">
        <f>IFERROR(VLOOKUP(TblFeedFile[[#This Row],[Leave Type ]],LkupPayType[],2,FALSE),"TBD")</f>
        <v>Paid</v>
      </c>
      <c r="AH308" s="22"/>
      <c r="AI308" s="25" t="s">
        <v>35</v>
      </c>
      <c r="AJ308" s="25"/>
      <c r="AK308" s="26" t="s">
        <v>35</v>
      </c>
    </row>
    <row r="309" spans="1:37" x14ac:dyDescent="0.25">
      <c r="A309" s="21" t="s">
        <v>37</v>
      </c>
      <c r="B309" s="22">
        <v>314304</v>
      </c>
      <c r="C309" s="22">
        <v>23174809</v>
      </c>
      <c r="D309" s="23" t="s">
        <v>2300</v>
      </c>
      <c r="E309" s="22" t="s">
        <v>2061</v>
      </c>
      <c r="F309" s="22" t="s">
        <v>767</v>
      </c>
      <c r="G309" s="22">
        <v>20170413</v>
      </c>
      <c r="H309" s="22">
        <v>20170613</v>
      </c>
      <c r="I309" s="22" t="s">
        <v>36</v>
      </c>
      <c r="J309" s="22"/>
      <c r="K309" s="22"/>
      <c r="L309" s="22" t="s">
        <v>34</v>
      </c>
      <c r="M309" s="22" t="s">
        <v>34</v>
      </c>
      <c r="N309" s="22" t="s">
        <v>35</v>
      </c>
      <c r="O309" s="22" t="s">
        <v>35</v>
      </c>
      <c r="P309" s="22" t="s">
        <v>35</v>
      </c>
      <c r="Q309" s="22" t="s">
        <v>35</v>
      </c>
      <c r="R309" s="22" t="s">
        <v>35</v>
      </c>
      <c r="S309" s="22" t="s">
        <v>34</v>
      </c>
      <c r="T309" s="22"/>
      <c r="U309" s="22"/>
      <c r="V309" s="22"/>
      <c r="W309" s="22"/>
      <c r="X309" s="22"/>
      <c r="Y309" s="22"/>
      <c r="Z309" s="22"/>
      <c r="AA309" s="22"/>
      <c r="AB309" s="22"/>
      <c r="AC309" s="22" t="s">
        <v>1918</v>
      </c>
      <c r="AD309" s="22">
        <v>20170413</v>
      </c>
      <c r="AE309" s="22">
        <v>308</v>
      </c>
      <c r="AF309" s="22"/>
      <c r="AG309" s="22" t="str">
        <f>IFERROR(VLOOKUP(TblFeedFile[[#This Row],[Leave Type ]],LkupPayType[],2,FALSE),"TBD")</f>
        <v>Unpaid</v>
      </c>
      <c r="AH309" s="22"/>
      <c r="AI309" s="25"/>
      <c r="AJ309" s="25"/>
      <c r="AK309" s="26"/>
    </row>
    <row r="310" spans="1:37" x14ac:dyDescent="0.25">
      <c r="A310" s="21" t="s">
        <v>37</v>
      </c>
      <c r="B310" s="22">
        <v>314304</v>
      </c>
      <c r="C310" s="22">
        <v>23182106</v>
      </c>
      <c r="D310" s="23">
        <v>561704068526</v>
      </c>
      <c r="E310" s="22" t="s">
        <v>522</v>
      </c>
      <c r="F310" s="22" t="s">
        <v>2301</v>
      </c>
      <c r="G310" s="22">
        <v>20170413</v>
      </c>
      <c r="H310" s="22">
        <v>20170706</v>
      </c>
      <c r="I310" s="22" t="s">
        <v>40</v>
      </c>
      <c r="J310" s="22"/>
      <c r="K310" s="22"/>
      <c r="L310" s="22" t="s">
        <v>34</v>
      </c>
      <c r="M310" s="22" t="s">
        <v>34</v>
      </c>
      <c r="N310" s="22" t="s">
        <v>35</v>
      </c>
      <c r="O310" s="22" t="s">
        <v>35</v>
      </c>
      <c r="P310" s="22" t="s">
        <v>35</v>
      </c>
      <c r="Q310" s="22" t="s">
        <v>35</v>
      </c>
      <c r="R310" s="22" t="s">
        <v>35</v>
      </c>
      <c r="S310" s="22" t="s">
        <v>34</v>
      </c>
      <c r="T310" s="22"/>
      <c r="U310" s="22"/>
      <c r="V310" s="22"/>
      <c r="W310" s="22"/>
      <c r="X310" s="22"/>
      <c r="Y310" s="22"/>
      <c r="Z310" s="22"/>
      <c r="AA310" s="22"/>
      <c r="AB310" s="22"/>
      <c r="AC310" s="22" t="s">
        <v>1908</v>
      </c>
      <c r="AD310" s="22">
        <v>20170413</v>
      </c>
      <c r="AE310" s="22">
        <v>309</v>
      </c>
      <c r="AF310" s="22"/>
      <c r="AG310" s="22" t="str">
        <f>IFERROR(VLOOKUP(TblFeedFile[[#This Row],[Leave Type ]],LkupPayType[],2,FALSE),"TBD")</f>
        <v>Paid</v>
      </c>
      <c r="AH310" s="22"/>
      <c r="AI310" s="25"/>
      <c r="AJ310" s="25"/>
      <c r="AK310" s="26"/>
    </row>
    <row r="311" spans="1:37" x14ac:dyDescent="0.25">
      <c r="A311" s="21" t="s">
        <v>29</v>
      </c>
      <c r="B311" s="22">
        <v>314305</v>
      </c>
      <c r="C311" s="22">
        <v>23209356</v>
      </c>
      <c r="D311" s="23" t="s">
        <v>2302</v>
      </c>
      <c r="E311" s="22" t="s">
        <v>2303</v>
      </c>
      <c r="F311" s="22" t="s">
        <v>2304</v>
      </c>
      <c r="G311" s="22">
        <v>20170228</v>
      </c>
      <c r="H311" s="22">
        <v>20170421</v>
      </c>
      <c r="I311" s="22" t="s">
        <v>36</v>
      </c>
      <c r="J311" s="22"/>
      <c r="K311" s="22"/>
      <c r="L311" s="22" t="s">
        <v>34</v>
      </c>
      <c r="M311" s="22" t="s">
        <v>34</v>
      </c>
      <c r="N311" s="22" t="s">
        <v>35</v>
      </c>
      <c r="O311" s="22" t="s">
        <v>35</v>
      </c>
      <c r="P311" s="22" t="s">
        <v>35</v>
      </c>
      <c r="Q311" s="22" t="s">
        <v>35</v>
      </c>
      <c r="R311" s="22" t="s">
        <v>35</v>
      </c>
      <c r="S311" s="22" t="s">
        <v>34</v>
      </c>
      <c r="T311" s="22"/>
      <c r="U311" s="22"/>
      <c r="V311" s="22"/>
      <c r="W311" s="22"/>
      <c r="X311" s="22"/>
      <c r="Y311" s="22"/>
      <c r="Z311" s="22"/>
      <c r="AA311" s="22"/>
      <c r="AB311" s="22"/>
      <c r="AC311" s="22" t="s">
        <v>1927</v>
      </c>
      <c r="AD311" s="22">
        <v>20170413</v>
      </c>
      <c r="AE311" s="22">
        <v>310</v>
      </c>
      <c r="AF311" s="22"/>
      <c r="AG311" s="22" t="str">
        <f>IFERROR(VLOOKUP(TblFeedFile[[#This Row],[Leave Type ]],LkupPayType[],2,FALSE),"TBD")</f>
        <v>Unpaid</v>
      </c>
      <c r="AH311" s="22"/>
      <c r="AI311" s="25"/>
      <c r="AJ311" s="25"/>
      <c r="AK311" s="26"/>
    </row>
    <row r="312" spans="1:37" x14ac:dyDescent="0.25">
      <c r="A312" s="21" t="s">
        <v>29</v>
      </c>
      <c r="B312" s="22">
        <v>314305</v>
      </c>
      <c r="C312" s="22">
        <v>23209356</v>
      </c>
      <c r="D312" s="23">
        <v>501702218558</v>
      </c>
      <c r="E312" s="22" t="s">
        <v>2303</v>
      </c>
      <c r="F312" s="22" t="s">
        <v>2304</v>
      </c>
      <c r="G312" s="22">
        <v>20170221</v>
      </c>
      <c r="H312" s="22">
        <v>20170421</v>
      </c>
      <c r="I312" s="22" t="s">
        <v>53</v>
      </c>
      <c r="J312" s="22"/>
      <c r="K312" s="22"/>
      <c r="L312" s="22" t="s">
        <v>34</v>
      </c>
      <c r="M312" s="22" t="s">
        <v>34</v>
      </c>
      <c r="N312" s="22" t="s">
        <v>35</v>
      </c>
      <c r="O312" s="22" t="s">
        <v>35</v>
      </c>
      <c r="P312" s="22" t="s">
        <v>35</v>
      </c>
      <c r="Q312" s="22" t="s">
        <v>35</v>
      </c>
      <c r="R312" s="22" t="s">
        <v>35</v>
      </c>
      <c r="S312" s="22" t="s">
        <v>34</v>
      </c>
      <c r="T312" s="22"/>
      <c r="U312" s="22"/>
      <c r="V312" s="22"/>
      <c r="W312" s="22"/>
      <c r="X312" s="22"/>
      <c r="Y312" s="22"/>
      <c r="Z312" s="22"/>
      <c r="AA312" s="22"/>
      <c r="AB312" s="22"/>
      <c r="AC312" s="22" t="s">
        <v>1902</v>
      </c>
      <c r="AD312" s="22">
        <v>20170413</v>
      </c>
      <c r="AE312" s="22">
        <v>311</v>
      </c>
      <c r="AF312" s="22"/>
      <c r="AG312" s="22" t="str">
        <f>IFERROR(VLOOKUP(TblFeedFile[[#This Row],[Leave Type ]],LkupPayType[],2,FALSE),"TBD")</f>
        <v>Paid</v>
      </c>
      <c r="AH312" s="22"/>
      <c r="AI312" s="25"/>
      <c r="AJ312" s="25"/>
      <c r="AK312" s="26"/>
    </row>
    <row r="313" spans="1:37" x14ac:dyDescent="0.25">
      <c r="A313" s="21" t="s">
        <v>37</v>
      </c>
      <c r="B313" s="22">
        <v>314305</v>
      </c>
      <c r="C313" s="22">
        <v>23209356</v>
      </c>
      <c r="D313" s="23">
        <v>501702218558</v>
      </c>
      <c r="E313" s="22" t="s">
        <v>2303</v>
      </c>
      <c r="F313" s="22" t="s">
        <v>2304</v>
      </c>
      <c r="G313" s="22">
        <v>20170221</v>
      </c>
      <c r="H313" s="22">
        <v>20170630</v>
      </c>
      <c r="I313" s="22" t="s">
        <v>53</v>
      </c>
      <c r="J313" s="22"/>
      <c r="K313" s="22"/>
      <c r="L313" s="22" t="s">
        <v>34</v>
      </c>
      <c r="M313" s="22" t="s">
        <v>34</v>
      </c>
      <c r="N313" s="22" t="s">
        <v>35</v>
      </c>
      <c r="O313" s="22" t="s">
        <v>35</v>
      </c>
      <c r="P313" s="22" t="s">
        <v>35</v>
      </c>
      <c r="Q313" s="22" t="s">
        <v>35</v>
      </c>
      <c r="R313" s="22" t="s">
        <v>35</v>
      </c>
      <c r="S313" s="22" t="s">
        <v>34</v>
      </c>
      <c r="T313" s="22"/>
      <c r="U313" s="22"/>
      <c r="V313" s="22"/>
      <c r="W313" s="22"/>
      <c r="X313" s="22"/>
      <c r="Y313" s="22"/>
      <c r="Z313" s="22"/>
      <c r="AA313" s="22"/>
      <c r="AB313" s="22"/>
      <c r="AC313" s="22" t="s">
        <v>1902</v>
      </c>
      <c r="AD313" s="22">
        <v>20170413</v>
      </c>
      <c r="AE313" s="22">
        <v>312</v>
      </c>
      <c r="AF313" s="22"/>
      <c r="AG313" s="22" t="str">
        <f>IFERROR(VLOOKUP(TblFeedFile[[#This Row],[Leave Type ]],LkupPayType[],2,FALSE),"TBD")</f>
        <v>Paid</v>
      </c>
      <c r="AH313" s="22"/>
      <c r="AI313" s="25"/>
      <c r="AJ313" s="25"/>
      <c r="AK313" s="26"/>
    </row>
    <row r="314" spans="1:37" x14ac:dyDescent="0.25">
      <c r="A314" s="21" t="s">
        <v>37</v>
      </c>
      <c r="B314" s="22">
        <v>314305</v>
      </c>
      <c r="C314" s="22">
        <v>23209356</v>
      </c>
      <c r="D314" s="23" t="s">
        <v>2302</v>
      </c>
      <c r="E314" s="22" t="s">
        <v>2303</v>
      </c>
      <c r="F314" s="22" t="s">
        <v>2304</v>
      </c>
      <c r="G314" s="22">
        <v>20170228</v>
      </c>
      <c r="H314" s="22">
        <v>20170630</v>
      </c>
      <c r="I314" s="22" t="s">
        <v>36</v>
      </c>
      <c r="J314" s="22"/>
      <c r="K314" s="22"/>
      <c r="L314" s="22" t="s">
        <v>34</v>
      </c>
      <c r="M314" s="22" t="s">
        <v>34</v>
      </c>
      <c r="N314" s="22" t="s">
        <v>35</v>
      </c>
      <c r="O314" s="22" t="s">
        <v>35</v>
      </c>
      <c r="P314" s="22" t="s">
        <v>35</v>
      </c>
      <c r="Q314" s="22" t="s">
        <v>35</v>
      </c>
      <c r="R314" s="22" t="s">
        <v>35</v>
      </c>
      <c r="S314" s="22" t="s">
        <v>34</v>
      </c>
      <c r="T314" s="22"/>
      <c r="U314" s="22"/>
      <c r="V314" s="22"/>
      <c r="W314" s="22"/>
      <c r="X314" s="22"/>
      <c r="Y314" s="22"/>
      <c r="Z314" s="22"/>
      <c r="AA314" s="22"/>
      <c r="AB314" s="22"/>
      <c r="AC314" s="22" t="s">
        <v>1927</v>
      </c>
      <c r="AD314" s="22">
        <v>20170413</v>
      </c>
      <c r="AE314" s="22">
        <v>313</v>
      </c>
      <c r="AF314" s="22"/>
      <c r="AG314" s="22" t="str">
        <f>IFERROR(VLOOKUP(TblFeedFile[[#This Row],[Leave Type ]],LkupPayType[],2,FALSE),"TBD")</f>
        <v>Unpaid</v>
      </c>
      <c r="AH314" s="22"/>
      <c r="AI314" s="25"/>
      <c r="AJ314" s="25"/>
      <c r="AK314" s="26"/>
    </row>
    <row r="315" spans="1:37" x14ac:dyDescent="0.25">
      <c r="A315" s="21" t="s">
        <v>29</v>
      </c>
      <c r="B315" s="22">
        <v>314301</v>
      </c>
      <c r="C315" s="22">
        <v>23210550</v>
      </c>
      <c r="D315" s="23">
        <v>501703088190</v>
      </c>
      <c r="E315" s="22" t="s">
        <v>2003</v>
      </c>
      <c r="F315" s="22" t="s">
        <v>2305</v>
      </c>
      <c r="G315" s="22">
        <v>20170307</v>
      </c>
      <c r="H315" s="22">
        <v>20170507</v>
      </c>
      <c r="I315" s="22" t="s">
        <v>53</v>
      </c>
      <c r="J315" s="22"/>
      <c r="K315" s="22"/>
      <c r="L315" s="22" t="s">
        <v>34</v>
      </c>
      <c r="M315" s="22" t="s">
        <v>34</v>
      </c>
      <c r="N315" s="22" t="s">
        <v>35</v>
      </c>
      <c r="O315" s="22" t="s">
        <v>35</v>
      </c>
      <c r="P315" s="22" t="s">
        <v>35</v>
      </c>
      <c r="Q315" s="22" t="s">
        <v>35</v>
      </c>
      <c r="R315" s="22" t="s">
        <v>35</v>
      </c>
      <c r="S315" s="22" t="s">
        <v>34</v>
      </c>
      <c r="T315" s="22"/>
      <c r="U315" s="22"/>
      <c r="V315" s="22"/>
      <c r="W315" s="22"/>
      <c r="X315" s="22"/>
      <c r="Y315" s="22"/>
      <c r="Z315" s="22"/>
      <c r="AA315" s="22"/>
      <c r="AB315" s="22"/>
      <c r="AC315" s="22" t="s">
        <v>1921</v>
      </c>
      <c r="AD315" s="22">
        <v>20170413</v>
      </c>
      <c r="AE315" s="22">
        <v>314</v>
      </c>
      <c r="AF315" s="22"/>
      <c r="AG315" s="22" t="str">
        <f>IFERROR(VLOOKUP(TblFeedFile[[#This Row],[Leave Type ]],LkupPayType[],2,FALSE),"TBD")</f>
        <v>Paid</v>
      </c>
      <c r="AH315" s="22"/>
      <c r="AI315" s="25"/>
      <c r="AJ315" s="25"/>
      <c r="AK315" s="26"/>
    </row>
    <row r="316" spans="1:37" x14ac:dyDescent="0.25">
      <c r="A316" s="21" t="s">
        <v>37</v>
      </c>
      <c r="B316" s="22">
        <v>314301</v>
      </c>
      <c r="C316" s="22">
        <v>23210550</v>
      </c>
      <c r="D316" s="23">
        <v>501703088190</v>
      </c>
      <c r="E316" s="22" t="s">
        <v>2003</v>
      </c>
      <c r="F316" s="22" t="s">
        <v>2305</v>
      </c>
      <c r="G316" s="22">
        <v>20170307</v>
      </c>
      <c r="H316" s="22">
        <v>20170501</v>
      </c>
      <c r="I316" s="22" t="s">
        <v>53</v>
      </c>
      <c r="J316" s="22"/>
      <c r="K316" s="22"/>
      <c r="L316" s="22" t="s">
        <v>34</v>
      </c>
      <c r="M316" s="22" t="s">
        <v>34</v>
      </c>
      <c r="N316" s="22" t="s">
        <v>35</v>
      </c>
      <c r="O316" s="22" t="s">
        <v>35</v>
      </c>
      <c r="P316" s="22" t="s">
        <v>35</v>
      </c>
      <c r="Q316" s="22" t="s">
        <v>35</v>
      </c>
      <c r="R316" s="22" t="s">
        <v>35</v>
      </c>
      <c r="S316" s="22" t="s">
        <v>34</v>
      </c>
      <c r="T316" s="22"/>
      <c r="U316" s="22"/>
      <c r="V316" s="22"/>
      <c r="W316" s="22"/>
      <c r="X316" s="22"/>
      <c r="Y316" s="22"/>
      <c r="Z316" s="22"/>
      <c r="AA316" s="22"/>
      <c r="AB316" s="22"/>
      <c r="AC316" s="22" t="s">
        <v>1921</v>
      </c>
      <c r="AD316" s="22">
        <v>20170413</v>
      </c>
      <c r="AE316" s="22">
        <v>315</v>
      </c>
      <c r="AF316" s="22"/>
      <c r="AG316" s="22" t="str">
        <f>IFERROR(VLOOKUP(TblFeedFile[[#This Row],[Leave Type ]],LkupPayType[],2,FALSE),"TBD")</f>
        <v>Paid</v>
      </c>
      <c r="AH316" s="22"/>
      <c r="AI316" s="25"/>
      <c r="AJ316" s="25"/>
      <c r="AK316" s="26"/>
    </row>
    <row r="317" spans="1:37" x14ac:dyDescent="0.25">
      <c r="A317" s="21" t="s">
        <v>37</v>
      </c>
      <c r="B317" s="22">
        <v>314301</v>
      </c>
      <c r="C317" s="22">
        <v>23210550</v>
      </c>
      <c r="D317" s="23">
        <v>501703088190</v>
      </c>
      <c r="E317" s="22" t="s">
        <v>2003</v>
      </c>
      <c r="F317" s="22" t="s">
        <v>2305</v>
      </c>
      <c r="G317" s="22">
        <v>20170314</v>
      </c>
      <c r="H317" s="22">
        <v>20170501</v>
      </c>
      <c r="I317" s="22" t="s">
        <v>40</v>
      </c>
      <c r="J317" s="22"/>
      <c r="K317" s="22"/>
      <c r="L317" s="22" t="s">
        <v>34</v>
      </c>
      <c r="M317" s="22" t="s">
        <v>34</v>
      </c>
      <c r="N317" s="22" t="s">
        <v>35</v>
      </c>
      <c r="O317" s="22" t="s">
        <v>35</v>
      </c>
      <c r="P317" s="22" t="s">
        <v>35</v>
      </c>
      <c r="Q317" s="22" t="s">
        <v>35</v>
      </c>
      <c r="R317" s="22" t="s">
        <v>35</v>
      </c>
      <c r="S317" s="22" t="s">
        <v>34</v>
      </c>
      <c r="T317" s="22"/>
      <c r="U317" s="22"/>
      <c r="V317" s="22"/>
      <c r="W317" s="22"/>
      <c r="X317" s="22"/>
      <c r="Y317" s="22"/>
      <c r="Z317" s="22"/>
      <c r="AA317" s="22"/>
      <c r="AB317" s="22"/>
      <c r="AC317" s="22" t="s">
        <v>1923</v>
      </c>
      <c r="AD317" s="22">
        <v>20170413</v>
      </c>
      <c r="AE317" s="22">
        <v>316</v>
      </c>
      <c r="AF317" s="22"/>
      <c r="AG317" s="22" t="str">
        <f>IFERROR(VLOOKUP(TblFeedFile[[#This Row],[Leave Type ]],LkupPayType[],2,FALSE),"TBD")</f>
        <v>Paid</v>
      </c>
      <c r="AH317" s="22"/>
      <c r="AI317" s="25"/>
      <c r="AJ317" s="25"/>
      <c r="AK317" s="26"/>
    </row>
    <row r="318" spans="1:37" x14ac:dyDescent="0.25">
      <c r="A318" s="21" t="s">
        <v>29</v>
      </c>
      <c r="B318" s="22">
        <v>314304</v>
      </c>
      <c r="C318" s="22">
        <v>23210658</v>
      </c>
      <c r="D318" s="23">
        <v>541704038604</v>
      </c>
      <c r="E318" s="22" t="s">
        <v>2306</v>
      </c>
      <c r="F318" s="22" t="s">
        <v>2307</v>
      </c>
      <c r="G318" s="22">
        <v>20170402</v>
      </c>
      <c r="H318" s="22">
        <v>20170502</v>
      </c>
      <c r="I318" s="22" t="s">
        <v>53</v>
      </c>
      <c r="J318" s="22"/>
      <c r="K318" s="22"/>
      <c r="L318" s="22" t="s">
        <v>34</v>
      </c>
      <c r="M318" s="22" t="s">
        <v>34</v>
      </c>
      <c r="N318" s="22" t="s">
        <v>35</v>
      </c>
      <c r="O318" s="22" t="s">
        <v>35</v>
      </c>
      <c r="P318" s="22" t="s">
        <v>35</v>
      </c>
      <c r="Q318" s="22" t="s">
        <v>35</v>
      </c>
      <c r="R318" s="22" t="s">
        <v>35</v>
      </c>
      <c r="S318" s="22" t="s">
        <v>34</v>
      </c>
      <c r="T318" s="22"/>
      <c r="U318" s="22"/>
      <c r="V318" s="22"/>
      <c r="W318" s="22"/>
      <c r="X318" s="22"/>
      <c r="Y318" s="22"/>
      <c r="Z318" s="22"/>
      <c r="AA318" s="22"/>
      <c r="AB318" s="22"/>
      <c r="AC318" s="22" t="s">
        <v>1921</v>
      </c>
      <c r="AD318" s="22">
        <v>20170413</v>
      </c>
      <c r="AE318" s="22">
        <v>317</v>
      </c>
      <c r="AF318" s="22"/>
      <c r="AG318" s="22" t="str">
        <f>IFERROR(VLOOKUP(TblFeedFile[[#This Row],[Leave Type ]],LkupPayType[],2,FALSE),"TBD")</f>
        <v>Paid</v>
      </c>
      <c r="AH318" s="22"/>
      <c r="AI318" s="25"/>
      <c r="AJ318" s="25"/>
      <c r="AK318" s="26"/>
    </row>
    <row r="319" spans="1:37" x14ac:dyDescent="0.25">
      <c r="A319" s="21" t="s">
        <v>37</v>
      </c>
      <c r="B319" s="22">
        <v>314304</v>
      </c>
      <c r="C319" s="22">
        <v>23210658</v>
      </c>
      <c r="D319" s="23">
        <v>541704038604</v>
      </c>
      <c r="E319" s="22" t="s">
        <v>2306</v>
      </c>
      <c r="F319" s="22" t="s">
        <v>2307</v>
      </c>
      <c r="G319" s="22">
        <v>20170402</v>
      </c>
      <c r="H319" s="22">
        <v>20170503</v>
      </c>
      <c r="I319" s="22" t="s">
        <v>53</v>
      </c>
      <c r="J319" s="22"/>
      <c r="K319" s="22"/>
      <c r="L319" s="22" t="s">
        <v>34</v>
      </c>
      <c r="M319" s="22" t="s">
        <v>34</v>
      </c>
      <c r="N319" s="22" t="s">
        <v>35</v>
      </c>
      <c r="O319" s="22" t="s">
        <v>35</v>
      </c>
      <c r="P319" s="22" t="s">
        <v>35</v>
      </c>
      <c r="Q319" s="22" t="s">
        <v>35</v>
      </c>
      <c r="R319" s="22" t="s">
        <v>35</v>
      </c>
      <c r="S319" s="22" t="s">
        <v>34</v>
      </c>
      <c r="T319" s="22"/>
      <c r="U319" s="22"/>
      <c r="V319" s="22"/>
      <c r="W319" s="22"/>
      <c r="X319" s="22"/>
      <c r="Y319" s="22"/>
      <c r="Z319" s="22"/>
      <c r="AA319" s="22"/>
      <c r="AB319" s="22"/>
      <c r="AC319" s="22" t="s">
        <v>1921</v>
      </c>
      <c r="AD319" s="22">
        <v>20170413</v>
      </c>
      <c r="AE319" s="22">
        <v>318</v>
      </c>
      <c r="AF319" s="22"/>
      <c r="AG319" s="22" t="str">
        <f>IFERROR(VLOOKUP(TblFeedFile[[#This Row],[Leave Type ]],LkupPayType[],2,FALSE),"TBD")</f>
        <v>Paid</v>
      </c>
      <c r="AH319" s="22"/>
      <c r="AI319" s="25"/>
      <c r="AJ319" s="25"/>
      <c r="AK319" s="26"/>
    </row>
    <row r="320" spans="1:37" x14ac:dyDescent="0.25">
      <c r="A320" s="21" t="s">
        <v>37</v>
      </c>
      <c r="B320" s="22">
        <v>314304</v>
      </c>
      <c r="C320" s="22">
        <v>23210658</v>
      </c>
      <c r="D320" s="23">
        <v>541704038604</v>
      </c>
      <c r="E320" s="22" t="s">
        <v>2306</v>
      </c>
      <c r="F320" s="22" t="s">
        <v>2307</v>
      </c>
      <c r="G320" s="22">
        <v>20170409</v>
      </c>
      <c r="H320" s="22">
        <v>20170503</v>
      </c>
      <c r="I320" s="22" t="s">
        <v>40</v>
      </c>
      <c r="J320" s="22"/>
      <c r="K320" s="22"/>
      <c r="L320" s="22" t="s">
        <v>34</v>
      </c>
      <c r="M320" s="22" t="s">
        <v>34</v>
      </c>
      <c r="N320" s="22" t="s">
        <v>35</v>
      </c>
      <c r="O320" s="22" t="s">
        <v>35</v>
      </c>
      <c r="P320" s="22" t="s">
        <v>35</v>
      </c>
      <c r="Q320" s="22" t="s">
        <v>35</v>
      </c>
      <c r="R320" s="22" t="s">
        <v>35</v>
      </c>
      <c r="S320" s="22" t="s">
        <v>34</v>
      </c>
      <c r="T320" s="22"/>
      <c r="U320" s="22"/>
      <c r="V320" s="22"/>
      <c r="W320" s="22"/>
      <c r="X320" s="22"/>
      <c r="Y320" s="22"/>
      <c r="Z320" s="22"/>
      <c r="AA320" s="22"/>
      <c r="AB320" s="22"/>
      <c r="AC320" s="22" t="s">
        <v>1923</v>
      </c>
      <c r="AD320" s="22">
        <v>20170413</v>
      </c>
      <c r="AE320" s="22">
        <v>319</v>
      </c>
      <c r="AF320" s="22"/>
      <c r="AG320" s="22" t="str">
        <f>IFERROR(VLOOKUP(TblFeedFile[[#This Row],[Leave Type ]],LkupPayType[],2,FALSE),"TBD")</f>
        <v>Paid</v>
      </c>
      <c r="AH320" s="22"/>
      <c r="AI320" s="25"/>
      <c r="AJ320" s="25"/>
      <c r="AK320" s="26"/>
    </row>
    <row r="321" spans="1:37" x14ac:dyDescent="0.25">
      <c r="A321" s="21" t="s">
        <v>37</v>
      </c>
      <c r="B321" s="22">
        <v>314301</v>
      </c>
      <c r="C321" s="22">
        <v>23220761</v>
      </c>
      <c r="D321" s="23">
        <v>561703028286</v>
      </c>
      <c r="E321" s="22" t="s">
        <v>1246</v>
      </c>
      <c r="F321" s="22" t="s">
        <v>2308</v>
      </c>
      <c r="G321" s="22">
        <v>20170324</v>
      </c>
      <c r="H321" s="22">
        <v>20170714</v>
      </c>
      <c r="I321" s="22" t="s">
        <v>53</v>
      </c>
      <c r="J321" s="22"/>
      <c r="K321" s="22"/>
      <c r="L321" s="22" t="s">
        <v>34</v>
      </c>
      <c r="M321" s="22" t="s">
        <v>34</v>
      </c>
      <c r="N321" s="22" t="s">
        <v>35</v>
      </c>
      <c r="O321" s="22" t="s">
        <v>35</v>
      </c>
      <c r="P321" s="22" t="s">
        <v>35</v>
      </c>
      <c r="Q321" s="22" t="s">
        <v>35</v>
      </c>
      <c r="R321" s="22" t="s">
        <v>35</v>
      </c>
      <c r="S321" s="22" t="s">
        <v>34</v>
      </c>
      <c r="T321" s="22"/>
      <c r="U321" s="22"/>
      <c r="V321" s="22"/>
      <c r="W321" s="22"/>
      <c r="X321" s="22"/>
      <c r="Y321" s="22"/>
      <c r="Z321" s="22"/>
      <c r="AA321" s="22"/>
      <c r="AB321" s="22"/>
      <c r="AC321" s="22" t="s">
        <v>1912</v>
      </c>
      <c r="AD321" s="22">
        <v>20170413</v>
      </c>
      <c r="AE321" s="22">
        <v>320</v>
      </c>
      <c r="AF321" s="22"/>
      <c r="AG321" s="22" t="str">
        <f>IFERROR(VLOOKUP(TblFeedFile[[#This Row],[Leave Type ]],LkupPayType[],2,FALSE),"TBD")</f>
        <v>Paid</v>
      </c>
      <c r="AH321" s="22"/>
      <c r="AI321" s="25"/>
      <c r="AJ321" s="25"/>
      <c r="AK321" s="26"/>
    </row>
    <row r="322" spans="1:37" x14ac:dyDescent="0.25">
      <c r="A322" s="21" t="s">
        <v>37</v>
      </c>
      <c r="B322" s="22">
        <v>314304</v>
      </c>
      <c r="C322" s="22">
        <v>23272242</v>
      </c>
      <c r="D322" s="23">
        <v>511701238269</v>
      </c>
      <c r="E322" s="22" t="s">
        <v>781</v>
      </c>
      <c r="F322" s="22" t="s">
        <v>782</v>
      </c>
      <c r="G322" s="22">
        <v>20170317</v>
      </c>
      <c r="H322" s="22">
        <v>20170416</v>
      </c>
      <c r="I322" s="22" t="s">
        <v>1892</v>
      </c>
      <c r="J322" s="22"/>
      <c r="K322" s="22"/>
      <c r="L322" s="22" t="s">
        <v>34</v>
      </c>
      <c r="M322" s="22" t="s">
        <v>34</v>
      </c>
      <c r="N322" s="22" t="s">
        <v>35</v>
      </c>
      <c r="O322" s="22" t="s">
        <v>35</v>
      </c>
      <c r="P322" s="22" t="s">
        <v>35</v>
      </c>
      <c r="Q322" s="22" t="s">
        <v>35</v>
      </c>
      <c r="R322" s="22" t="s">
        <v>35</v>
      </c>
      <c r="S322" s="22" t="s">
        <v>34</v>
      </c>
      <c r="T322" s="22">
        <v>20170417</v>
      </c>
      <c r="U322" s="22"/>
      <c r="V322" s="22"/>
      <c r="W322" s="22"/>
      <c r="X322" s="22"/>
      <c r="Y322" s="22"/>
      <c r="Z322" s="22"/>
      <c r="AA322" s="22"/>
      <c r="AB322" s="22"/>
      <c r="AC322" s="22" t="s">
        <v>2309</v>
      </c>
      <c r="AD322" s="22">
        <v>20170413</v>
      </c>
      <c r="AE322" s="22">
        <v>321</v>
      </c>
      <c r="AF322" s="22"/>
      <c r="AG322" s="22" t="str">
        <f>IFERROR(VLOOKUP(TblFeedFile[[#This Row],[Leave Type ]],LkupPayType[],2,FALSE),"TBD")</f>
        <v>Paid</v>
      </c>
      <c r="AH322" s="22"/>
      <c r="AI322" s="25"/>
      <c r="AJ322" s="25"/>
      <c r="AK322" s="26" t="s">
        <v>35</v>
      </c>
    </row>
    <row r="323" spans="1:37" x14ac:dyDescent="0.25">
      <c r="A323" s="21" t="s">
        <v>37</v>
      </c>
      <c r="B323" s="22">
        <v>314304</v>
      </c>
      <c r="C323" s="22">
        <v>23289622</v>
      </c>
      <c r="D323" s="23" t="s">
        <v>2310</v>
      </c>
      <c r="E323" s="22" t="s">
        <v>142</v>
      </c>
      <c r="F323" s="22" t="s">
        <v>2311</v>
      </c>
      <c r="G323" s="22">
        <v>20170222</v>
      </c>
      <c r="H323" s="22">
        <v>20170414</v>
      </c>
      <c r="I323" s="22" t="s">
        <v>36</v>
      </c>
      <c r="J323" s="22"/>
      <c r="K323" s="22"/>
      <c r="L323" s="22" t="s">
        <v>34</v>
      </c>
      <c r="M323" s="22" t="s">
        <v>34</v>
      </c>
      <c r="N323" s="22" t="s">
        <v>35</v>
      </c>
      <c r="O323" s="22" t="s">
        <v>35</v>
      </c>
      <c r="P323" s="22" t="s">
        <v>35</v>
      </c>
      <c r="Q323" s="22" t="s">
        <v>35</v>
      </c>
      <c r="R323" s="22" t="s">
        <v>35</v>
      </c>
      <c r="S323" s="22" t="s">
        <v>34</v>
      </c>
      <c r="T323" s="22">
        <v>20170415</v>
      </c>
      <c r="U323" s="22"/>
      <c r="V323" s="22"/>
      <c r="W323" s="22"/>
      <c r="X323" s="22"/>
      <c r="Y323" s="22"/>
      <c r="Z323" s="22"/>
      <c r="AA323" s="22"/>
      <c r="AB323" s="22"/>
      <c r="AC323" s="22" t="s">
        <v>1922</v>
      </c>
      <c r="AD323" s="22">
        <v>20170413</v>
      </c>
      <c r="AE323" s="22">
        <v>322</v>
      </c>
      <c r="AF323" s="22"/>
      <c r="AG323" s="22" t="str">
        <f>IFERROR(VLOOKUP(TblFeedFile[[#This Row],[Leave Type ]],LkupPayType[],2,FALSE),"TBD")</f>
        <v>Unpaid</v>
      </c>
      <c r="AH323" s="22"/>
      <c r="AI323" s="25"/>
      <c r="AJ323" s="25"/>
      <c r="AK323" s="26" t="s">
        <v>35</v>
      </c>
    </row>
    <row r="324" spans="1:37" x14ac:dyDescent="0.25">
      <c r="A324" s="21" t="s">
        <v>37</v>
      </c>
      <c r="B324" s="22">
        <v>314304</v>
      </c>
      <c r="C324" s="22">
        <v>23292296</v>
      </c>
      <c r="D324" s="23" t="s">
        <v>2312</v>
      </c>
      <c r="E324" s="22" t="s">
        <v>1091</v>
      </c>
      <c r="F324" s="22" t="s">
        <v>2313</v>
      </c>
      <c r="G324" s="22">
        <v>20170413</v>
      </c>
      <c r="H324" s="22">
        <v>20170629</v>
      </c>
      <c r="I324" s="22" t="s">
        <v>36</v>
      </c>
      <c r="J324" s="22"/>
      <c r="K324" s="22"/>
      <c r="L324" s="22" t="s">
        <v>34</v>
      </c>
      <c r="M324" s="22" t="s">
        <v>34</v>
      </c>
      <c r="N324" s="22" t="s">
        <v>35</v>
      </c>
      <c r="O324" s="22" t="s">
        <v>35</v>
      </c>
      <c r="P324" s="22" t="s">
        <v>35</v>
      </c>
      <c r="Q324" s="22" t="s">
        <v>35</v>
      </c>
      <c r="R324" s="22" t="s">
        <v>35</v>
      </c>
      <c r="S324" s="22" t="s">
        <v>34</v>
      </c>
      <c r="T324" s="22"/>
      <c r="U324" s="22"/>
      <c r="V324" s="22"/>
      <c r="W324" s="22"/>
      <c r="X324" s="22"/>
      <c r="Y324" s="22"/>
      <c r="Z324" s="22"/>
      <c r="AA324" s="22"/>
      <c r="AB324" s="22"/>
      <c r="AC324" s="22" t="s">
        <v>1918</v>
      </c>
      <c r="AD324" s="22">
        <v>20170413</v>
      </c>
      <c r="AE324" s="22">
        <v>323</v>
      </c>
      <c r="AF324" s="22"/>
      <c r="AG324" s="22" t="str">
        <f>IFERROR(VLOOKUP(TblFeedFile[[#This Row],[Leave Type ]],LkupPayType[],2,FALSE),"TBD")</f>
        <v>Unpaid</v>
      </c>
      <c r="AH324" s="22"/>
      <c r="AI324" s="25"/>
      <c r="AJ324" s="25"/>
      <c r="AK324" s="26"/>
    </row>
    <row r="325" spans="1:37" x14ac:dyDescent="0.25">
      <c r="A325" s="21" t="s">
        <v>29</v>
      </c>
      <c r="B325" s="22">
        <v>314305</v>
      </c>
      <c r="C325" s="22">
        <v>23368452</v>
      </c>
      <c r="D325" s="23" t="s">
        <v>2314</v>
      </c>
      <c r="E325" s="22" t="s">
        <v>80</v>
      </c>
      <c r="F325" s="22" t="s">
        <v>786</v>
      </c>
      <c r="G325" s="22">
        <v>20170313</v>
      </c>
      <c r="H325" s="22">
        <v>20170319</v>
      </c>
      <c r="I325" s="22" t="s">
        <v>49</v>
      </c>
      <c r="J325" s="22"/>
      <c r="K325" s="22"/>
      <c r="L325" s="22" t="s">
        <v>34</v>
      </c>
      <c r="M325" s="22" t="s">
        <v>34</v>
      </c>
      <c r="N325" s="22" t="s">
        <v>35</v>
      </c>
      <c r="O325" s="22" t="s">
        <v>35</v>
      </c>
      <c r="P325" s="22" t="s">
        <v>35</v>
      </c>
      <c r="Q325" s="22" t="s">
        <v>35</v>
      </c>
      <c r="R325" s="22" t="s">
        <v>35</v>
      </c>
      <c r="S325" s="22" t="s">
        <v>34</v>
      </c>
      <c r="T325" s="22"/>
      <c r="U325" s="22"/>
      <c r="V325" s="22"/>
      <c r="W325" s="22"/>
      <c r="X325" s="22"/>
      <c r="Y325" s="22"/>
      <c r="Z325" s="22"/>
      <c r="AA325" s="22"/>
      <c r="AB325" s="22"/>
      <c r="AC325" s="22" t="s">
        <v>1921</v>
      </c>
      <c r="AD325" s="22">
        <v>20170413</v>
      </c>
      <c r="AE325" s="22">
        <v>324</v>
      </c>
      <c r="AF325" s="22"/>
      <c r="AG325" s="22" t="str">
        <f>IFERROR(VLOOKUP(TblFeedFile[[#This Row],[Leave Type ]],LkupPayType[],2,FALSE),"TBD")</f>
        <v>Unpaid</v>
      </c>
      <c r="AH325" s="22"/>
      <c r="AI325" s="25"/>
      <c r="AJ325" s="25"/>
      <c r="AK325" s="26"/>
    </row>
    <row r="326" spans="1:37" x14ac:dyDescent="0.25">
      <c r="A326" s="21" t="s">
        <v>29</v>
      </c>
      <c r="B326" s="22">
        <v>314305</v>
      </c>
      <c r="C326" s="22">
        <v>23368452</v>
      </c>
      <c r="D326" s="23" t="s">
        <v>2314</v>
      </c>
      <c r="E326" s="22" t="s">
        <v>80</v>
      </c>
      <c r="F326" s="22" t="s">
        <v>786</v>
      </c>
      <c r="G326" s="22">
        <v>20170313</v>
      </c>
      <c r="H326" s="22">
        <v>20170319</v>
      </c>
      <c r="I326" s="22" t="s">
        <v>49</v>
      </c>
      <c r="J326" s="22"/>
      <c r="K326" s="22"/>
      <c r="L326" s="22" t="s">
        <v>34</v>
      </c>
      <c r="M326" s="22" t="s">
        <v>34</v>
      </c>
      <c r="N326" s="22" t="s">
        <v>35</v>
      </c>
      <c r="O326" s="22" t="s">
        <v>35</v>
      </c>
      <c r="P326" s="22" t="s">
        <v>35</v>
      </c>
      <c r="Q326" s="22" t="s">
        <v>35</v>
      </c>
      <c r="R326" s="22" t="s">
        <v>35</v>
      </c>
      <c r="S326" s="22" t="s">
        <v>34</v>
      </c>
      <c r="T326" s="22">
        <v>20170320</v>
      </c>
      <c r="U326" s="22"/>
      <c r="V326" s="22"/>
      <c r="W326" s="22"/>
      <c r="X326" s="22"/>
      <c r="Y326" s="22"/>
      <c r="Z326" s="22"/>
      <c r="AA326" s="22"/>
      <c r="AB326" s="22"/>
      <c r="AC326" s="22" t="s">
        <v>1916</v>
      </c>
      <c r="AD326" s="22">
        <v>20170413</v>
      </c>
      <c r="AE326" s="22">
        <v>325</v>
      </c>
      <c r="AF326" s="22"/>
      <c r="AG326" s="22" t="str">
        <f>IFERROR(VLOOKUP(TblFeedFile[[#This Row],[Leave Type ]],LkupPayType[],2,FALSE),"TBD")</f>
        <v>Unpaid</v>
      </c>
      <c r="AH326" s="22"/>
      <c r="AI326" s="25"/>
      <c r="AJ326" s="25"/>
      <c r="AK326" s="26"/>
    </row>
    <row r="327" spans="1:37" x14ac:dyDescent="0.25">
      <c r="A327" s="21" t="s">
        <v>37</v>
      </c>
      <c r="B327" s="22">
        <v>314305</v>
      </c>
      <c r="C327" s="22">
        <v>23368452</v>
      </c>
      <c r="D327" s="23" t="s">
        <v>2314</v>
      </c>
      <c r="E327" s="22" t="s">
        <v>80</v>
      </c>
      <c r="F327" s="22" t="s">
        <v>786</v>
      </c>
      <c r="G327" s="22">
        <v>20170313</v>
      </c>
      <c r="H327" s="22">
        <v>20170313</v>
      </c>
      <c r="I327" s="22" t="s">
        <v>43</v>
      </c>
      <c r="J327" s="22"/>
      <c r="K327" s="22"/>
      <c r="L327" s="22" t="s">
        <v>34</v>
      </c>
      <c r="M327" s="22" t="s">
        <v>34</v>
      </c>
      <c r="N327" s="22" t="s">
        <v>35</v>
      </c>
      <c r="O327" s="22" t="s">
        <v>35</v>
      </c>
      <c r="P327" s="22" t="s">
        <v>35</v>
      </c>
      <c r="Q327" s="22" t="s">
        <v>35</v>
      </c>
      <c r="R327" s="22" t="s">
        <v>35</v>
      </c>
      <c r="S327" s="22" t="s">
        <v>34</v>
      </c>
      <c r="T327" s="22"/>
      <c r="U327" s="22"/>
      <c r="V327" s="22"/>
      <c r="W327" s="22"/>
      <c r="X327" s="22"/>
      <c r="Y327" s="22"/>
      <c r="Z327" s="22"/>
      <c r="AA327" s="22"/>
      <c r="AB327" s="22"/>
      <c r="AC327" s="22" t="s">
        <v>1935</v>
      </c>
      <c r="AD327" s="22">
        <v>20170413</v>
      </c>
      <c r="AE327" s="22">
        <v>326</v>
      </c>
      <c r="AF327" s="22"/>
      <c r="AG327" s="22" t="str">
        <f>IFERROR(VLOOKUP(TblFeedFile[[#This Row],[Leave Type ]],LkupPayType[],2,FALSE),"TBD")</f>
        <v>Denied</v>
      </c>
      <c r="AH327" s="22"/>
      <c r="AI327" s="25"/>
      <c r="AJ327" s="25"/>
      <c r="AK327" s="26"/>
    </row>
    <row r="328" spans="1:37" x14ac:dyDescent="0.25">
      <c r="A328" s="21" t="s">
        <v>37</v>
      </c>
      <c r="B328" s="22">
        <v>314304</v>
      </c>
      <c r="C328" s="22">
        <v>23368809</v>
      </c>
      <c r="D328" s="23" t="s">
        <v>2315</v>
      </c>
      <c r="E328" s="22" t="s">
        <v>2316</v>
      </c>
      <c r="F328" s="22" t="s">
        <v>2317</v>
      </c>
      <c r="G328" s="22">
        <v>20170413</v>
      </c>
      <c r="H328" s="22">
        <v>20170607</v>
      </c>
      <c r="I328" s="22" t="s">
        <v>155</v>
      </c>
      <c r="J328" s="22"/>
      <c r="K328" s="22"/>
      <c r="L328" s="22" t="s">
        <v>34</v>
      </c>
      <c r="M328" s="22" t="s">
        <v>34</v>
      </c>
      <c r="N328" s="22" t="s">
        <v>35</v>
      </c>
      <c r="O328" s="22" t="s">
        <v>35</v>
      </c>
      <c r="P328" s="22" t="s">
        <v>35</v>
      </c>
      <c r="Q328" s="22" t="s">
        <v>35</v>
      </c>
      <c r="R328" s="22" t="s">
        <v>35</v>
      </c>
      <c r="S328" s="22" t="s">
        <v>34</v>
      </c>
      <c r="T328" s="22"/>
      <c r="U328" s="22"/>
      <c r="V328" s="22"/>
      <c r="W328" s="22"/>
      <c r="X328" s="22"/>
      <c r="Y328" s="22"/>
      <c r="Z328" s="22"/>
      <c r="AA328" s="22"/>
      <c r="AB328" s="22"/>
      <c r="AC328" s="22" t="s">
        <v>1895</v>
      </c>
      <c r="AD328" s="22">
        <v>20170413</v>
      </c>
      <c r="AE328" s="22">
        <v>327</v>
      </c>
      <c r="AF328" s="22"/>
      <c r="AG328" s="22" t="str">
        <f>IFERROR(VLOOKUP(TblFeedFile[[#This Row],[Leave Type ]],LkupPayType[],2,FALSE),"TBD")</f>
        <v>Paid</v>
      </c>
      <c r="AH328" s="22"/>
      <c r="AI328" s="25"/>
      <c r="AJ328" s="25"/>
      <c r="AK328" s="26"/>
    </row>
    <row r="329" spans="1:37" x14ac:dyDescent="0.25">
      <c r="A329" s="21" t="s">
        <v>37</v>
      </c>
      <c r="B329" s="22">
        <v>314301</v>
      </c>
      <c r="C329" s="22">
        <v>23439817</v>
      </c>
      <c r="D329" s="23">
        <v>541702238864</v>
      </c>
      <c r="E329" s="22" t="s">
        <v>491</v>
      </c>
      <c r="F329" s="22" t="s">
        <v>2318</v>
      </c>
      <c r="G329" s="22">
        <v>20170308</v>
      </c>
      <c r="H329" s="22">
        <v>20170414</v>
      </c>
      <c r="I329" s="22" t="s">
        <v>40</v>
      </c>
      <c r="J329" s="22"/>
      <c r="K329" s="22"/>
      <c r="L329" s="22" t="s">
        <v>34</v>
      </c>
      <c r="M329" s="22" t="s">
        <v>34</v>
      </c>
      <c r="N329" s="22" t="s">
        <v>35</v>
      </c>
      <c r="O329" s="22" t="s">
        <v>35</v>
      </c>
      <c r="P329" s="22" t="s">
        <v>35</v>
      </c>
      <c r="Q329" s="22" t="s">
        <v>35</v>
      </c>
      <c r="R329" s="22" t="s">
        <v>35</v>
      </c>
      <c r="S329" s="22" t="s">
        <v>34</v>
      </c>
      <c r="T329" s="22">
        <v>20170417</v>
      </c>
      <c r="U329" s="22"/>
      <c r="V329" s="22"/>
      <c r="W329" s="22"/>
      <c r="X329" s="22"/>
      <c r="Y329" s="22"/>
      <c r="Z329" s="22"/>
      <c r="AA329" s="22"/>
      <c r="AB329" s="22"/>
      <c r="AC329" s="22" t="s">
        <v>1913</v>
      </c>
      <c r="AD329" s="22">
        <v>20170413</v>
      </c>
      <c r="AE329" s="22">
        <v>328</v>
      </c>
      <c r="AF329" s="22"/>
      <c r="AG329" s="22" t="str">
        <f>IFERROR(VLOOKUP(TblFeedFile[[#This Row],[Leave Type ]],LkupPayType[],2,FALSE),"TBD")</f>
        <v>Paid</v>
      </c>
      <c r="AH329" s="22"/>
      <c r="AI329" s="25"/>
      <c r="AJ329" s="25"/>
      <c r="AK329" s="26" t="s">
        <v>35</v>
      </c>
    </row>
    <row r="330" spans="1:37" x14ac:dyDescent="0.25">
      <c r="A330" s="21" t="s">
        <v>29</v>
      </c>
      <c r="B330" s="22">
        <v>314304</v>
      </c>
      <c r="C330" s="22">
        <v>23482565</v>
      </c>
      <c r="D330" s="23" t="s">
        <v>2319</v>
      </c>
      <c r="E330" s="22" t="s">
        <v>1992</v>
      </c>
      <c r="F330" s="22" t="s">
        <v>2320</v>
      </c>
      <c r="G330" s="22">
        <v>20170331</v>
      </c>
      <c r="H330" s="22">
        <v>20170430</v>
      </c>
      <c r="I330" s="22" t="s">
        <v>78</v>
      </c>
      <c r="J330" s="22"/>
      <c r="K330" s="22" t="s">
        <v>79</v>
      </c>
      <c r="L330" s="22" t="s">
        <v>34</v>
      </c>
      <c r="M330" s="22" t="s">
        <v>34</v>
      </c>
      <c r="N330" s="22" t="s">
        <v>35</v>
      </c>
      <c r="O330" s="22" t="s">
        <v>35</v>
      </c>
      <c r="P330" s="22" t="s">
        <v>35</v>
      </c>
      <c r="Q330" s="22" t="s">
        <v>35</v>
      </c>
      <c r="R330" s="22" t="s">
        <v>35</v>
      </c>
      <c r="S330" s="22" t="s">
        <v>34</v>
      </c>
      <c r="T330" s="22"/>
      <c r="U330" s="22"/>
      <c r="V330" s="22"/>
      <c r="W330" s="22"/>
      <c r="X330" s="22"/>
      <c r="Y330" s="22"/>
      <c r="Z330" s="22"/>
      <c r="AA330" s="22"/>
      <c r="AB330" s="22"/>
      <c r="AC330" s="22" t="s">
        <v>1922</v>
      </c>
      <c r="AD330" s="22">
        <v>20170413</v>
      </c>
      <c r="AE330" s="22">
        <v>329</v>
      </c>
      <c r="AF330" s="22"/>
      <c r="AG330" s="22" t="str">
        <f>IFERROR(VLOOKUP(TblFeedFile[[#This Row],[Leave Type ]],LkupPayType[],2,FALSE),"TBD")</f>
        <v>Unpaid</v>
      </c>
      <c r="AH330" s="22"/>
      <c r="AI330" s="25"/>
      <c r="AJ330" s="25"/>
      <c r="AK330" s="26"/>
    </row>
    <row r="331" spans="1:37" x14ac:dyDescent="0.25">
      <c r="A331" s="21" t="s">
        <v>29</v>
      </c>
      <c r="B331" s="22">
        <v>164331</v>
      </c>
      <c r="C331" s="22">
        <v>23482565</v>
      </c>
      <c r="D331" s="23">
        <v>511702073491</v>
      </c>
      <c r="E331" s="22" t="s">
        <v>1992</v>
      </c>
      <c r="F331" s="22" t="s">
        <v>2320</v>
      </c>
      <c r="G331" s="22">
        <v>20170313</v>
      </c>
      <c r="H331" s="22">
        <v>20170330</v>
      </c>
      <c r="I331" s="22" t="s">
        <v>78</v>
      </c>
      <c r="J331" s="22"/>
      <c r="K331" s="22" t="s">
        <v>79</v>
      </c>
      <c r="L331" s="22" t="s">
        <v>34</v>
      </c>
      <c r="M331" s="22" t="s">
        <v>34</v>
      </c>
      <c r="N331" s="22" t="s">
        <v>35</v>
      </c>
      <c r="O331" s="22" t="s">
        <v>35</v>
      </c>
      <c r="P331" s="22" t="s">
        <v>35</v>
      </c>
      <c r="Q331" s="22" t="s">
        <v>35</v>
      </c>
      <c r="R331" s="22" t="s">
        <v>35</v>
      </c>
      <c r="S331" s="22" t="s">
        <v>34</v>
      </c>
      <c r="T331" s="22"/>
      <c r="U331" s="22"/>
      <c r="V331" s="22"/>
      <c r="W331" s="22"/>
      <c r="X331" s="22"/>
      <c r="Y331" s="22"/>
      <c r="Z331" s="22"/>
      <c r="AA331" s="22"/>
      <c r="AB331" s="22"/>
      <c r="AC331" s="22" t="s">
        <v>1922</v>
      </c>
      <c r="AD331" s="22">
        <v>20170413</v>
      </c>
      <c r="AE331" s="22">
        <v>330</v>
      </c>
      <c r="AF331" s="22"/>
      <c r="AG331" s="22" t="str">
        <f>IFERROR(VLOOKUP(TblFeedFile[[#This Row],[Leave Type ]],LkupPayType[],2,FALSE),"TBD")</f>
        <v>Unpaid</v>
      </c>
      <c r="AH331" s="22"/>
      <c r="AI331" s="25"/>
      <c r="AJ331" s="25"/>
      <c r="AK331" s="26"/>
    </row>
    <row r="332" spans="1:37" x14ac:dyDescent="0.25">
      <c r="A332" s="21" t="s">
        <v>29</v>
      </c>
      <c r="B332" s="22">
        <v>314304</v>
      </c>
      <c r="C332" s="22">
        <v>23482565</v>
      </c>
      <c r="D332" s="23">
        <v>501702078070</v>
      </c>
      <c r="E332" s="22" t="s">
        <v>1992</v>
      </c>
      <c r="F332" s="22" t="s">
        <v>2320</v>
      </c>
      <c r="G332" s="22">
        <v>20170210</v>
      </c>
      <c r="H332" s="22">
        <v>20170430</v>
      </c>
      <c r="I332" s="22" t="s">
        <v>40</v>
      </c>
      <c r="J332" s="22"/>
      <c r="K332" s="22"/>
      <c r="L332" s="22" t="s">
        <v>34</v>
      </c>
      <c r="M332" s="22" t="s">
        <v>34</v>
      </c>
      <c r="N332" s="22" t="s">
        <v>35</v>
      </c>
      <c r="O332" s="22" t="s">
        <v>35</v>
      </c>
      <c r="P332" s="22" t="s">
        <v>35</v>
      </c>
      <c r="Q332" s="22" t="s">
        <v>35</v>
      </c>
      <c r="R332" s="22" t="s">
        <v>35</v>
      </c>
      <c r="S332" s="22" t="s">
        <v>34</v>
      </c>
      <c r="T332" s="22"/>
      <c r="U332" s="22"/>
      <c r="V332" s="22"/>
      <c r="W332" s="22"/>
      <c r="X332" s="22"/>
      <c r="Y332" s="22">
        <v>481</v>
      </c>
      <c r="Z332" s="22" t="s">
        <v>306</v>
      </c>
      <c r="AA332" s="22">
        <v>20170210</v>
      </c>
      <c r="AB332" s="22">
        <v>20170803</v>
      </c>
      <c r="AC332" s="22" t="s">
        <v>2069</v>
      </c>
      <c r="AD332" s="22">
        <v>20170413</v>
      </c>
      <c r="AE332" s="22">
        <v>331</v>
      </c>
      <c r="AF332" s="22"/>
      <c r="AG332" s="22" t="str">
        <f>IFERROR(VLOOKUP(TblFeedFile[[#This Row],[Leave Type ]],LkupPayType[],2,FALSE),"TBD")</f>
        <v>Paid</v>
      </c>
      <c r="AH332" s="22"/>
      <c r="AI332" s="25"/>
      <c r="AJ332" s="25"/>
      <c r="AK332" s="26"/>
    </row>
    <row r="333" spans="1:37" x14ac:dyDescent="0.25">
      <c r="A333" s="21" t="s">
        <v>29</v>
      </c>
      <c r="B333" s="22">
        <v>314304</v>
      </c>
      <c r="C333" s="22">
        <v>23482565</v>
      </c>
      <c r="D333" s="23" t="s">
        <v>2319</v>
      </c>
      <c r="E333" s="22" t="s">
        <v>1992</v>
      </c>
      <c r="F333" s="22" t="s">
        <v>2320</v>
      </c>
      <c r="G333" s="22">
        <v>20170201</v>
      </c>
      <c r="H333" s="22">
        <v>20170430</v>
      </c>
      <c r="I333" s="22" t="s">
        <v>78</v>
      </c>
      <c r="J333" s="22"/>
      <c r="K333" s="22" t="s">
        <v>79</v>
      </c>
      <c r="L333" s="22" t="s">
        <v>34</v>
      </c>
      <c r="M333" s="22" t="s">
        <v>34</v>
      </c>
      <c r="N333" s="22" t="s">
        <v>35</v>
      </c>
      <c r="O333" s="22" t="s">
        <v>35</v>
      </c>
      <c r="P333" s="22" t="s">
        <v>35</v>
      </c>
      <c r="Q333" s="22" t="s">
        <v>35</v>
      </c>
      <c r="R333" s="22" t="s">
        <v>35</v>
      </c>
      <c r="S333" s="22" t="s">
        <v>34</v>
      </c>
      <c r="T333" s="22"/>
      <c r="U333" s="22"/>
      <c r="V333" s="22"/>
      <c r="W333" s="22"/>
      <c r="X333" s="22"/>
      <c r="Y333" s="22"/>
      <c r="Z333" s="22"/>
      <c r="AA333" s="22"/>
      <c r="AB333" s="22"/>
      <c r="AC333" s="22" t="s">
        <v>1922</v>
      </c>
      <c r="AD333" s="22">
        <v>20170413</v>
      </c>
      <c r="AE333" s="22">
        <v>332</v>
      </c>
      <c r="AF333" s="22"/>
      <c r="AG333" s="22" t="str">
        <f>IFERROR(VLOOKUP(TblFeedFile[[#This Row],[Leave Type ]],LkupPayType[],2,FALSE),"TBD")</f>
        <v>Unpaid</v>
      </c>
      <c r="AH333" s="22"/>
      <c r="AI333" s="25"/>
      <c r="AJ333" s="25"/>
      <c r="AK333" s="26"/>
    </row>
    <row r="334" spans="1:37" x14ac:dyDescent="0.25">
      <c r="A334" s="21" t="s">
        <v>37</v>
      </c>
      <c r="B334" s="22">
        <v>314304</v>
      </c>
      <c r="C334" s="22">
        <v>23482565</v>
      </c>
      <c r="D334" s="23" t="s">
        <v>2319</v>
      </c>
      <c r="E334" s="22" t="s">
        <v>1992</v>
      </c>
      <c r="F334" s="22" t="s">
        <v>2320</v>
      </c>
      <c r="G334" s="22">
        <v>20170201</v>
      </c>
      <c r="H334" s="22">
        <v>20170524</v>
      </c>
      <c r="I334" s="22" t="s">
        <v>78</v>
      </c>
      <c r="J334" s="22"/>
      <c r="K334" s="22" t="s">
        <v>79</v>
      </c>
      <c r="L334" s="22" t="s">
        <v>34</v>
      </c>
      <c r="M334" s="22" t="s">
        <v>34</v>
      </c>
      <c r="N334" s="22" t="s">
        <v>35</v>
      </c>
      <c r="O334" s="22" t="s">
        <v>35</v>
      </c>
      <c r="P334" s="22" t="s">
        <v>35</v>
      </c>
      <c r="Q334" s="22" t="s">
        <v>35</v>
      </c>
      <c r="R334" s="22" t="s">
        <v>35</v>
      </c>
      <c r="S334" s="22" t="s">
        <v>34</v>
      </c>
      <c r="T334" s="22"/>
      <c r="U334" s="22"/>
      <c r="V334" s="22"/>
      <c r="W334" s="22"/>
      <c r="X334" s="22"/>
      <c r="Y334" s="22"/>
      <c r="Z334" s="22"/>
      <c r="AA334" s="22"/>
      <c r="AB334" s="22"/>
      <c r="AC334" s="22" t="s">
        <v>1922</v>
      </c>
      <c r="AD334" s="22">
        <v>20170413</v>
      </c>
      <c r="AE334" s="22">
        <v>333</v>
      </c>
      <c r="AF334" s="22"/>
      <c r="AG334" s="22" t="str">
        <f>IFERROR(VLOOKUP(TblFeedFile[[#This Row],[Leave Type ]],LkupPayType[],2,FALSE),"TBD")</f>
        <v>Unpaid</v>
      </c>
      <c r="AH334" s="22"/>
      <c r="AI334" s="25"/>
      <c r="AJ334" s="25"/>
      <c r="AK334" s="26"/>
    </row>
    <row r="335" spans="1:37" x14ac:dyDescent="0.25">
      <c r="A335" s="21" t="s">
        <v>37</v>
      </c>
      <c r="B335" s="22">
        <v>314304</v>
      </c>
      <c r="C335" s="22">
        <v>23482565</v>
      </c>
      <c r="D335" s="23">
        <v>501702078070</v>
      </c>
      <c r="E335" s="22" t="s">
        <v>1992</v>
      </c>
      <c r="F335" s="22" t="s">
        <v>2320</v>
      </c>
      <c r="G335" s="22">
        <v>20170210</v>
      </c>
      <c r="H335" s="22">
        <v>20170524</v>
      </c>
      <c r="I335" s="22" t="s">
        <v>40</v>
      </c>
      <c r="J335" s="22"/>
      <c r="K335" s="22"/>
      <c r="L335" s="22" t="s">
        <v>34</v>
      </c>
      <c r="M335" s="22" t="s">
        <v>34</v>
      </c>
      <c r="N335" s="22" t="s">
        <v>35</v>
      </c>
      <c r="O335" s="22" t="s">
        <v>35</v>
      </c>
      <c r="P335" s="22" t="s">
        <v>35</v>
      </c>
      <c r="Q335" s="22" t="s">
        <v>35</v>
      </c>
      <c r="R335" s="22" t="s">
        <v>35</v>
      </c>
      <c r="S335" s="22" t="s">
        <v>34</v>
      </c>
      <c r="T335" s="22"/>
      <c r="U335" s="22"/>
      <c r="V335" s="22"/>
      <c r="W335" s="22"/>
      <c r="X335" s="22"/>
      <c r="Y335" s="22">
        <v>481</v>
      </c>
      <c r="Z335" s="22" t="s">
        <v>306</v>
      </c>
      <c r="AA335" s="22">
        <v>20170210</v>
      </c>
      <c r="AB335" s="22">
        <v>20170803</v>
      </c>
      <c r="AC335" s="22" t="s">
        <v>2069</v>
      </c>
      <c r="AD335" s="22">
        <v>20170413</v>
      </c>
      <c r="AE335" s="22">
        <v>334</v>
      </c>
      <c r="AF335" s="22"/>
      <c r="AG335" s="22" t="str">
        <f>IFERROR(VLOOKUP(TblFeedFile[[#This Row],[Leave Type ]],LkupPayType[],2,FALSE),"TBD")</f>
        <v>Paid</v>
      </c>
      <c r="AH335" s="22"/>
      <c r="AI335" s="25"/>
      <c r="AJ335" s="25" t="s">
        <v>35</v>
      </c>
      <c r="AK335" s="26"/>
    </row>
    <row r="336" spans="1:37" x14ac:dyDescent="0.25">
      <c r="A336" s="21" t="s">
        <v>37</v>
      </c>
      <c r="B336" s="22">
        <v>164331</v>
      </c>
      <c r="C336" s="22">
        <v>23482565</v>
      </c>
      <c r="D336" s="23">
        <v>511702073491</v>
      </c>
      <c r="E336" s="22" t="s">
        <v>1992</v>
      </c>
      <c r="F336" s="22" t="s">
        <v>2320</v>
      </c>
      <c r="G336" s="22">
        <v>20170331</v>
      </c>
      <c r="H336" s="22">
        <v>20170524</v>
      </c>
      <c r="I336" s="22" t="s">
        <v>78</v>
      </c>
      <c r="J336" s="22"/>
      <c r="K336" s="22" t="s">
        <v>79</v>
      </c>
      <c r="L336" s="22" t="s">
        <v>34</v>
      </c>
      <c r="M336" s="22" t="s">
        <v>34</v>
      </c>
      <c r="N336" s="22" t="s">
        <v>35</v>
      </c>
      <c r="O336" s="22" t="s">
        <v>35</v>
      </c>
      <c r="P336" s="22" t="s">
        <v>35</v>
      </c>
      <c r="Q336" s="22" t="s">
        <v>35</v>
      </c>
      <c r="R336" s="22" t="s">
        <v>35</v>
      </c>
      <c r="S336" s="22" t="s">
        <v>34</v>
      </c>
      <c r="T336" s="22"/>
      <c r="U336" s="22"/>
      <c r="V336" s="22"/>
      <c r="W336" s="22"/>
      <c r="X336" s="22"/>
      <c r="Y336" s="22"/>
      <c r="Z336" s="22"/>
      <c r="AA336" s="22"/>
      <c r="AB336" s="22"/>
      <c r="AC336" s="22" t="s">
        <v>1922</v>
      </c>
      <c r="AD336" s="22">
        <v>20170413</v>
      </c>
      <c r="AE336" s="22">
        <v>335</v>
      </c>
      <c r="AF336" s="22"/>
      <c r="AG336" s="22" t="str">
        <f>IFERROR(VLOOKUP(TblFeedFile[[#This Row],[Leave Type ]],LkupPayType[],2,FALSE),"TBD")</f>
        <v>Unpaid</v>
      </c>
      <c r="AH336" s="22"/>
      <c r="AI336" s="25"/>
      <c r="AJ336" s="25"/>
      <c r="AK336" s="26"/>
    </row>
    <row r="337" spans="1:37" x14ac:dyDescent="0.25">
      <c r="A337" s="21" t="s">
        <v>37</v>
      </c>
      <c r="B337" s="22">
        <v>314304</v>
      </c>
      <c r="C337" s="22">
        <v>23499605</v>
      </c>
      <c r="D337" s="23" t="s">
        <v>2321</v>
      </c>
      <c r="E337" s="22" t="s">
        <v>673</v>
      </c>
      <c r="F337" s="22" t="s">
        <v>2322</v>
      </c>
      <c r="G337" s="22">
        <v>20170413</v>
      </c>
      <c r="H337" s="22">
        <v>20170413</v>
      </c>
      <c r="I337" s="22" t="s">
        <v>43</v>
      </c>
      <c r="J337" s="22"/>
      <c r="K337" s="22"/>
      <c r="L337" s="22" t="s">
        <v>34</v>
      </c>
      <c r="M337" s="22" t="s">
        <v>34</v>
      </c>
      <c r="N337" s="22" t="s">
        <v>35</v>
      </c>
      <c r="O337" s="22" t="s">
        <v>35</v>
      </c>
      <c r="P337" s="22" t="s">
        <v>35</v>
      </c>
      <c r="Q337" s="22" t="s">
        <v>35</v>
      </c>
      <c r="R337" s="22" t="s">
        <v>35</v>
      </c>
      <c r="S337" s="22" t="s">
        <v>34</v>
      </c>
      <c r="T337" s="22"/>
      <c r="U337" s="22"/>
      <c r="V337" s="22"/>
      <c r="W337" s="22"/>
      <c r="X337" s="22"/>
      <c r="Y337" s="22"/>
      <c r="Z337" s="22"/>
      <c r="AA337" s="22"/>
      <c r="AB337" s="22"/>
      <c r="AC337" s="22" t="s">
        <v>1920</v>
      </c>
      <c r="AD337" s="22">
        <v>20170413</v>
      </c>
      <c r="AE337" s="22">
        <v>336</v>
      </c>
      <c r="AF337" s="22"/>
      <c r="AG337" s="22" t="str">
        <f>IFERROR(VLOOKUP(TblFeedFile[[#This Row],[Leave Type ]],LkupPayType[],2,FALSE),"TBD")</f>
        <v>Denied</v>
      </c>
      <c r="AH337" s="22"/>
      <c r="AI337" s="25"/>
      <c r="AJ337" s="25"/>
      <c r="AK337" s="26"/>
    </row>
    <row r="338" spans="1:37" x14ac:dyDescent="0.25">
      <c r="A338" s="21" t="s">
        <v>29</v>
      </c>
      <c r="B338" s="22">
        <v>314304</v>
      </c>
      <c r="C338" s="22">
        <v>23559855</v>
      </c>
      <c r="D338" s="23" t="s">
        <v>1994</v>
      </c>
      <c r="E338" s="22" t="s">
        <v>1995</v>
      </c>
      <c r="F338" s="22" t="s">
        <v>1996</v>
      </c>
      <c r="G338" s="22">
        <v>20170412</v>
      </c>
      <c r="H338" s="22">
        <v>20170412</v>
      </c>
      <c r="I338" s="22" t="s">
        <v>33</v>
      </c>
      <c r="J338" s="22"/>
      <c r="K338" s="22"/>
      <c r="L338" s="22" t="s">
        <v>34</v>
      </c>
      <c r="M338" s="22" t="s">
        <v>34</v>
      </c>
      <c r="N338" s="22" t="s">
        <v>35</v>
      </c>
      <c r="O338" s="22" t="s">
        <v>35</v>
      </c>
      <c r="P338" s="22" t="s">
        <v>35</v>
      </c>
      <c r="Q338" s="22" t="s">
        <v>35</v>
      </c>
      <c r="R338" s="22" t="s">
        <v>35</v>
      </c>
      <c r="S338" s="22" t="s">
        <v>34</v>
      </c>
      <c r="T338" s="22"/>
      <c r="U338" s="22"/>
      <c r="V338" s="22"/>
      <c r="W338" s="22"/>
      <c r="X338" s="22"/>
      <c r="Y338" s="22"/>
      <c r="Z338" s="22"/>
      <c r="AA338" s="22"/>
      <c r="AB338" s="22"/>
      <c r="AC338" s="22" t="s">
        <v>1944</v>
      </c>
      <c r="AD338" s="22">
        <v>20170413</v>
      </c>
      <c r="AE338" s="22">
        <v>337</v>
      </c>
      <c r="AF338" s="22"/>
      <c r="AG338" s="22" t="str">
        <f>IFERROR(VLOOKUP(TblFeedFile[[#This Row],[Leave Type ]],LkupPayType[],2,FALSE),"TBD")</f>
        <v>Closed</v>
      </c>
      <c r="AH338" s="22"/>
      <c r="AI338" s="25"/>
      <c r="AJ338" s="25"/>
      <c r="AK338" s="26"/>
    </row>
    <row r="339" spans="1:37" x14ac:dyDescent="0.25">
      <c r="A339" s="21" t="s">
        <v>37</v>
      </c>
      <c r="B339" s="22">
        <v>314304</v>
      </c>
      <c r="C339" s="22">
        <v>23559855</v>
      </c>
      <c r="D339" s="23" t="s">
        <v>1994</v>
      </c>
      <c r="E339" s="22" t="s">
        <v>1995</v>
      </c>
      <c r="F339" s="22" t="s">
        <v>1996</v>
      </c>
      <c r="G339" s="22">
        <v>20170316</v>
      </c>
      <c r="H339" s="22">
        <v>20170411</v>
      </c>
      <c r="I339" s="22" t="s">
        <v>36</v>
      </c>
      <c r="J339" s="22"/>
      <c r="K339" s="22"/>
      <c r="L339" s="22" t="s">
        <v>34</v>
      </c>
      <c r="M339" s="22" t="s">
        <v>34</v>
      </c>
      <c r="N339" s="22" t="s">
        <v>35</v>
      </c>
      <c r="O339" s="22" t="s">
        <v>35</v>
      </c>
      <c r="P339" s="22" t="s">
        <v>35</v>
      </c>
      <c r="Q339" s="22" t="s">
        <v>35</v>
      </c>
      <c r="R339" s="22" t="s">
        <v>35</v>
      </c>
      <c r="S339" s="22" t="s">
        <v>34</v>
      </c>
      <c r="T339" s="22">
        <v>20170412</v>
      </c>
      <c r="U339" s="22"/>
      <c r="V339" s="22"/>
      <c r="W339" s="22"/>
      <c r="X339" s="22"/>
      <c r="Y339" s="22"/>
      <c r="Z339" s="22"/>
      <c r="AA339" s="22"/>
      <c r="AB339" s="22"/>
      <c r="AC339" s="22" t="s">
        <v>1901</v>
      </c>
      <c r="AD339" s="22">
        <v>20170413</v>
      </c>
      <c r="AE339" s="22">
        <v>338</v>
      </c>
      <c r="AF339" s="22"/>
      <c r="AG339" s="22" t="str">
        <f>IFERROR(VLOOKUP(TblFeedFile[[#This Row],[Leave Type ]],LkupPayType[],2,FALSE),"TBD")</f>
        <v>Unpaid</v>
      </c>
      <c r="AH339" s="22"/>
      <c r="AI339" s="25" t="s">
        <v>35</v>
      </c>
      <c r="AJ339" s="25"/>
      <c r="AK339" s="26" t="s">
        <v>35</v>
      </c>
    </row>
    <row r="340" spans="1:37" x14ac:dyDescent="0.25">
      <c r="A340" s="21" t="s">
        <v>29</v>
      </c>
      <c r="B340" s="22">
        <v>314304</v>
      </c>
      <c r="C340" s="22">
        <v>23588447</v>
      </c>
      <c r="D340" s="23" t="s">
        <v>1999</v>
      </c>
      <c r="E340" s="22" t="s">
        <v>2000</v>
      </c>
      <c r="F340" s="22" t="s">
        <v>2001</v>
      </c>
      <c r="G340" s="22">
        <v>20170308</v>
      </c>
      <c r="H340" s="22">
        <v>20170308</v>
      </c>
      <c r="I340" s="22" t="s">
        <v>33</v>
      </c>
      <c r="J340" s="22"/>
      <c r="K340" s="22"/>
      <c r="L340" s="22" t="s">
        <v>34</v>
      </c>
      <c r="M340" s="22" t="s">
        <v>34</v>
      </c>
      <c r="N340" s="22" t="s">
        <v>35</v>
      </c>
      <c r="O340" s="22" t="s">
        <v>35</v>
      </c>
      <c r="P340" s="22" t="s">
        <v>35</v>
      </c>
      <c r="Q340" s="22" t="s">
        <v>35</v>
      </c>
      <c r="R340" s="22" t="s">
        <v>35</v>
      </c>
      <c r="S340" s="22" t="s">
        <v>34</v>
      </c>
      <c r="T340" s="22"/>
      <c r="U340" s="22"/>
      <c r="V340" s="22"/>
      <c r="W340" s="22"/>
      <c r="X340" s="22"/>
      <c r="Y340" s="22"/>
      <c r="Z340" s="22"/>
      <c r="AA340" s="22"/>
      <c r="AB340" s="22"/>
      <c r="AC340" s="22" t="s">
        <v>1895</v>
      </c>
      <c r="AD340" s="22">
        <v>20170413</v>
      </c>
      <c r="AE340" s="22">
        <v>339</v>
      </c>
      <c r="AF340" s="22"/>
      <c r="AG340" s="22" t="str">
        <f>IFERROR(VLOOKUP(TblFeedFile[[#This Row],[Leave Type ]],LkupPayType[],2,FALSE),"TBD")</f>
        <v>Closed</v>
      </c>
      <c r="AH340" s="22"/>
      <c r="AI340" s="25"/>
      <c r="AJ340" s="25"/>
      <c r="AK340" s="26"/>
    </row>
    <row r="341" spans="1:37" x14ac:dyDescent="0.25">
      <c r="A341" s="21" t="s">
        <v>37</v>
      </c>
      <c r="B341" s="22">
        <v>314304</v>
      </c>
      <c r="C341" s="22">
        <v>23588447</v>
      </c>
      <c r="D341" s="23" t="s">
        <v>1999</v>
      </c>
      <c r="E341" s="22" t="s">
        <v>2000</v>
      </c>
      <c r="F341" s="22" t="s">
        <v>2001</v>
      </c>
      <c r="G341" s="22">
        <v>20170407</v>
      </c>
      <c r="H341" s="22">
        <v>20170407</v>
      </c>
      <c r="I341" s="22" t="s">
        <v>33</v>
      </c>
      <c r="J341" s="22"/>
      <c r="K341" s="22"/>
      <c r="L341" s="22" t="s">
        <v>34</v>
      </c>
      <c r="M341" s="22" t="s">
        <v>34</v>
      </c>
      <c r="N341" s="22" t="s">
        <v>35</v>
      </c>
      <c r="O341" s="22" t="s">
        <v>35</v>
      </c>
      <c r="P341" s="22" t="s">
        <v>35</v>
      </c>
      <c r="Q341" s="22" t="s">
        <v>35</v>
      </c>
      <c r="R341" s="22" t="s">
        <v>35</v>
      </c>
      <c r="S341" s="22" t="s">
        <v>34</v>
      </c>
      <c r="T341" s="22"/>
      <c r="U341" s="22"/>
      <c r="V341" s="22"/>
      <c r="W341" s="22"/>
      <c r="X341" s="22"/>
      <c r="Y341" s="22"/>
      <c r="Z341" s="22"/>
      <c r="AA341" s="22"/>
      <c r="AB341" s="22"/>
      <c r="AC341" s="22" t="s">
        <v>1895</v>
      </c>
      <c r="AD341" s="22">
        <v>20170413</v>
      </c>
      <c r="AE341" s="22">
        <v>340</v>
      </c>
      <c r="AF341" s="22"/>
      <c r="AG341" s="22" t="str">
        <f>IFERROR(VLOOKUP(TblFeedFile[[#This Row],[Leave Type ]],LkupPayType[],2,FALSE),"TBD")</f>
        <v>Closed</v>
      </c>
      <c r="AH341" s="22"/>
      <c r="AI341" s="25"/>
      <c r="AJ341" s="25"/>
      <c r="AK341" s="26"/>
    </row>
    <row r="342" spans="1:37" x14ac:dyDescent="0.25">
      <c r="A342" s="21" t="s">
        <v>29</v>
      </c>
      <c r="B342" s="22">
        <v>314301</v>
      </c>
      <c r="C342" s="22">
        <v>23597413</v>
      </c>
      <c r="D342" s="23">
        <v>561703148316</v>
      </c>
      <c r="E342" s="22" t="s">
        <v>2323</v>
      </c>
      <c r="F342" s="22" t="s">
        <v>2324</v>
      </c>
      <c r="G342" s="22">
        <v>20170314</v>
      </c>
      <c r="H342" s="22">
        <v>20170314</v>
      </c>
      <c r="I342" s="22" t="s">
        <v>43</v>
      </c>
      <c r="J342" s="22"/>
      <c r="K342" s="22"/>
      <c r="L342" s="22" t="s">
        <v>34</v>
      </c>
      <c r="M342" s="22" t="s">
        <v>34</v>
      </c>
      <c r="N342" s="22" t="s">
        <v>35</v>
      </c>
      <c r="O342" s="22" t="s">
        <v>35</v>
      </c>
      <c r="P342" s="22" t="s">
        <v>35</v>
      </c>
      <c r="Q342" s="22" t="s">
        <v>35</v>
      </c>
      <c r="R342" s="22" t="s">
        <v>35</v>
      </c>
      <c r="S342" s="22" t="s">
        <v>34</v>
      </c>
      <c r="T342" s="22"/>
      <c r="U342" s="22"/>
      <c r="V342" s="22"/>
      <c r="W342" s="22"/>
      <c r="X342" s="22"/>
      <c r="Y342" s="22"/>
      <c r="Z342" s="22"/>
      <c r="AA342" s="22"/>
      <c r="AB342" s="22"/>
      <c r="AC342" s="22" t="s">
        <v>1929</v>
      </c>
      <c r="AD342" s="22">
        <v>20170413</v>
      </c>
      <c r="AE342" s="22">
        <v>341</v>
      </c>
      <c r="AF342" s="22"/>
      <c r="AG342" s="22" t="str">
        <f>IFERROR(VLOOKUP(TblFeedFile[[#This Row],[Leave Type ]],LkupPayType[],2,FALSE),"TBD")</f>
        <v>Denied</v>
      </c>
      <c r="AH342" s="22"/>
      <c r="AI342" s="25"/>
      <c r="AJ342" s="25"/>
      <c r="AK342" s="26"/>
    </row>
    <row r="343" spans="1:37" x14ac:dyDescent="0.25">
      <c r="A343" s="21" t="s">
        <v>37</v>
      </c>
      <c r="B343" s="22">
        <v>314301</v>
      </c>
      <c r="C343" s="22">
        <v>23597413</v>
      </c>
      <c r="D343" s="23">
        <v>561703148316</v>
      </c>
      <c r="E343" s="22" t="s">
        <v>2323</v>
      </c>
      <c r="F343" s="22" t="s">
        <v>2324</v>
      </c>
      <c r="G343" s="22">
        <v>20170314</v>
      </c>
      <c r="H343" s="22">
        <v>20170528</v>
      </c>
      <c r="I343" s="22" t="s">
        <v>53</v>
      </c>
      <c r="J343" s="22"/>
      <c r="K343" s="22"/>
      <c r="L343" s="22" t="s">
        <v>34</v>
      </c>
      <c r="M343" s="22" t="s">
        <v>34</v>
      </c>
      <c r="N343" s="22" t="s">
        <v>35</v>
      </c>
      <c r="O343" s="22" t="s">
        <v>35</v>
      </c>
      <c r="P343" s="22" t="s">
        <v>35</v>
      </c>
      <c r="Q343" s="22" t="s">
        <v>35</v>
      </c>
      <c r="R343" s="22" t="s">
        <v>35</v>
      </c>
      <c r="S343" s="22" t="s">
        <v>34</v>
      </c>
      <c r="T343" s="22"/>
      <c r="U343" s="22"/>
      <c r="V343" s="22"/>
      <c r="W343" s="22"/>
      <c r="X343" s="22"/>
      <c r="Y343" s="22"/>
      <c r="Z343" s="22"/>
      <c r="AA343" s="22"/>
      <c r="AB343" s="22"/>
      <c r="AC343" s="22" t="s">
        <v>1900</v>
      </c>
      <c r="AD343" s="22">
        <v>20170413</v>
      </c>
      <c r="AE343" s="22">
        <v>342</v>
      </c>
      <c r="AF343" s="22"/>
      <c r="AG343" s="22" t="str">
        <f>IFERROR(VLOOKUP(TblFeedFile[[#This Row],[Leave Type ]],LkupPayType[],2,FALSE),"TBD")</f>
        <v>Paid</v>
      </c>
      <c r="AH343" s="22"/>
      <c r="AI343" s="25"/>
      <c r="AJ343" s="25"/>
      <c r="AK343" s="26"/>
    </row>
    <row r="344" spans="1:37" x14ac:dyDescent="0.25">
      <c r="A344" s="21" t="s">
        <v>37</v>
      </c>
      <c r="B344" s="22">
        <v>314301</v>
      </c>
      <c r="C344" s="22">
        <v>23597413</v>
      </c>
      <c r="D344" s="23">
        <v>561703148316</v>
      </c>
      <c r="E344" s="22" t="s">
        <v>2323</v>
      </c>
      <c r="F344" s="22" t="s">
        <v>2324</v>
      </c>
      <c r="G344" s="22">
        <v>20170324</v>
      </c>
      <c r="H344" s="22">
        <v>20170528</v>
      </c>
      <c r="I344" s="22" t="s">
        <v>40</v>
      </c>
      <c r="J344" s="22"/>
      <c r="K344" s="22"/>
      <c r="L344" s="22" t="s">
        <v>34</v>
      </c>
      <c r="M344" s="22" t="s">
        <v>34</v>
      </c>
      <c r="N344" s="22" t="s">
        <v>35</v>
      </c>
      <c r="O344" s="22" t="s">
        <v>35</v>
      </c>
      <c r="P344" s="22" t="s">
        <v>35</v>
      </c>
      <c r="Q344" s="22" t="s">
        <v>35</v>
      </c>
      <c r="R344" s="22" t="s">
        <v>35</v>
      </c>
      <c r="S344" s="22" t="s">
        <v>34</v>
      </c>
      <c r="T344" s="22"/>
      <c r="U344" s="22"/>
      <c r="V344" s="22"/>
      <c r="W344" s="22"/>
      <c r="X344" s="22"/>
      <c r="Y344" s="22"/>
      <c r="Z344" s="22"/>
      <c r="AA344" s="22"/>
      <c r="AB344" s="22"/>
      <c r="AC344" s="22" t="s">
        <v>1902</v>
      </c>
      <c r="AD344" s="22">
        <v>20170413</v>
      </c>
      <c r="AE344" s="22">
        <v>343</v>
      </c>
      <c r="AF344" s="22"/>
      <c r="AG344" s="22" t="str">
        <f>IFERROR(VLOOKUP(TblFeedFile[[#This Row],[Leave Type ]],LkupPayType[],2,FALSE),"TBD")</f>
        <v>Paid</v>
      </c>
      <c r="AH344" s="22"/>
      <c r="AI344" s="25"/>
      <c r="AJ344" s="25"/>
      <c r="AK344" s="26"/>
    </row>
    <row r="345" spans="1:37" x14ac:dyDescent="0.25">
      <c r="A345" s="21" t="s">
        <v>29</v>
      </c>
      <c r="B345" s="22">
        <v>314304</v>
      </c>
      <c r="C345" s="22">
        <v>23628026</v>
      </c>
      <c r="D345" s="23">
        <v>561704108876</v>
      </c>
      <c r="E345" s="22" t="s">
        <v>138</v>
      </c>
      <c r="F345" s="22" t="s">
        <v>808</v>
      </c>
      <c r="G345" s="22">
        <v>20170410</v>
      </c>
      <c r="H345" s="22">
        <v>20170702</v>
      </c>
      <c r="I345" s="22" t="s">
        <v>53</v>
      </c>
      <c r="J345" s="22"/>
      <c r="K345" s="22"/>
      <c r="L345" s="22" t="s">
        <v>34</v>
      </c>
      <c r="M345" s="22" t="s">
        <v>34</v>
      </c>
      <c r="N345" s="22" t="s">
        <v>35</v>
      </c>
      <c r="O345" s="22" t="s">
        <v>35</v>
      </c>
      <c r="P345" s="22" t="s">
        <v>35</v>
      </c>
      <c r="Q345" s="22" t="s">
        <v>35</v>
      </c>
      <c r="R345" s="22" t="s">
        <v>35</v>
      </c>
      <c r="S345" s="22" t="s">
        <v>34</v>
      </c>
      <c r="T345" s="22"/>
      <c r="U345" s="22"/>
      <c r="V345" s="22"/>
      <c r="W345" s="22"/>
      <c r="X345" s="22"/>
      <c r="Y345" s="22"/>
      <c r="Z345" s="22"/>
      <c r="AA345" s="22"/>
      <c r="AB345" s="22"/>
      <c r="AC345" s="22" t="s">
        <v>1922</v>
      </c>
      <c r="AD345" s="22">
        <v>20170413</v>
      </c>
      <c r="AE345" s="22">
        <v>344</v>
      </c>
      <c r="AF345" s="22"/>
      <c r="AG345" s="22" t="str">
        <f>IFERROR(VLOOKUP(TblFeedFile[[#This Row],[Leave Type ]],LkupPayType[],2,FALSE),"TBD")</f>
        <v>Paid</v>
      </c>
      <c r="AH345" s="22"/>
      <c r="AI345" s="25"/>
      <c r="AJ345" s="25"/>
      <c r="AK345" s="26"/>
    </row>
    <row r="346" spans="1:37" x14ac:dyDescent="0.25">
      <c r="A346" s="21" t="s">
        <v>37</v>
      </c>
      <c r="B346" s="22">
        <v>314304</v>
      </c>
      <c r="C346" s="22">
        <v>23628026</v>
      </c>
      <c r="D346" s="23">
        <v>561704108876</v>
      </c>
      <c r="E346" s="22" t="s">
        <v>138</v>
      </c>
      <c r="F346" s="22" t="s">
        <v>808</v>
      </c>
      <c r="G346" s="22">
        <v>20170410</v>
      </c>
      <c r="H346" s="22">
        <v>20170710</v>
      </c>
      <c r="I346" s="22" t="s">
        <v>53</v>
      </c>
      <c r="J346" s="22"/>
      <c r="K346" s="22"/>
      <c r="L346" s="22" t="s">
        <v>34</v>
      </c>
      <c r="M346" s="22" t="s">
        <v>34</v>
      </c>
      <c r="N346" s="22" t="s">
        <v>35</v>
      </c>
      <c r="O346" s="22" t="s">
        <v>35</v>
      </c>
      <c r="P346" s="22" t="s">
        <v>35</v>
      </c>
      <c r="Q346" s="22" t="s">
        <v>35</v>
      </c>
      <c r="R346" s="22" t="s">
        <v>35</v>
      </c>
      <c r="S346" s="22" t="s">
        <v>34</v>
      </c>
      <c r="T346" s="22"/>
      <c r="U346" s="22"/>
      <c r="V346" s="22"/>
      <c r="W346" s="22"/>
      <c r="X346" s="22"/>
      <c r="Y346" s="22"/>
      <c r="Z346" s="22"/>
      <c r="AA346" s="22"/>
      <c r="AB346" s="22"/>
      <c r="AC346" s="22" t="s">
        <v>1922</v>
      </c>
      <c r="AD346" s="22">
        <v>20170413</v>
      </c>
      <c r="AE346" s="22">
        <v>345</v>
      </c>
      <c r="AF346" s="22"/>
      <c r="AG346" s="22" t="str">
        <f>IFERROR(VLOOKUP(TblFeedFile[[#This Row],[Leave Type ]],LkupPayType[],2,FALSE),"TBD")</f>
        <v>Paid</v>
      </c>
      <c r="AH346" s="22"/>
      <c r="AI346" s="25"/>
      <c r="AJ346" s="25"/>
      <c r="AK346" s="26"/>
    </row>
    <row r="347" spans="1:37" x14ac:dyDescent="0.25">
      <c r="A347" s="21" t="s">
        <v>37</v>
      </c>
      <c r="B347" s="22">
        <v>314304</v>
      </c>
      <c r="C347" s="22">
        <v>23678426</v>
      </c>
      <c r="D347" s="23">
        <v>541703208184</v>
      </c>
      <c r="E347" s="22" t="s">
        <v>1225</v>
      </c>
      <c r="F347" s="22" t="s">
        <v>421</v>
      </c>
      <c r="G347" s="22">
        <v>20170330</v>
      </c>
      <c r="H347" s="22">
        <v>20170416</v>
      </c>
      <c r="I347" s="22" t="s">
        <v>40</v>
      </c>
      <c r="J347" s="22"/>
      <c r="K347" s="22"/>
      <c r="L347" s="22" t="s">
        <v>34</v>
      </c>
      <c r="M347" s="22" t="s">
        <v>34</v>
      </c>
      <c r="N347" s="22" t="s">
        <v>35</v>
      </c>
      <c r="O347" s="22" t="s">
        <v>35</v>
      </c>
      <c r="P347" s="22" t="s">
        <v>35</v>
      </c>
      <c r="Q347" s="22" t="s">
        <v>35</v>
      </c>
      <c r="R347" s="22" t="s">
        <v>35</v>
      </c>
      <c r="S347" s="22" t="s">
        <v>34</v>
      </c>
      <c r="T347" s="22">
        <v>20170417</v>
      </c>
      <c r="U347" s="22"/>
      <c r="V347" s="22"/>
      <c r="W347" s="22"/>
      <c r="X347" s="22"/>
      <c r="Y347" s="22"/>
      <c r="Z347" s="22"/>
      <c r="AA347" s="22"/>
      <c r="AB347" s="22"/>
      <c r="AC347" s="22" t="s">
        <v>1904</v>
      </c>
      <c r="AD347" s="22">
        <v>20170413</v>
      </c>
      <c r="AE347" s="22">
        <v>346</v>
      </c>
      <c r="AF347" s="22"/>
      <c r="AG347" s="22" t="str">
        <f>IFERROR(VLOOKUP(TblFeedFile[[#This Row],[Leave Type ]],LkupPayType[],2,FALSE),"TBD")</f>
        <v>Paid</v>
      </c>
      <c r="AH347" s="22"/>
      <c r="AI347" s="25"/>
      <c r="AJ347" s="25"/>
      <c r="AK347" s="26" t="s">
        <v>35</v>
      </c>
    </row>
    <row r="348" spans="1:37" x14ac:dyDescent="0.25">
      <c r="A348" s="21" t="s">
        <v>37</v>
      </c>
      <c r="B348" s="22">
        <v>314305</v>
      </c>
      <c r="C348" s="22">
        <v>23729685</v>
      </c>
      <c r="D348" s="23">
        <v>511703038491</v>
      </c>
      <c r="E348" s="22" t="s">
        <v>2003</v>
      </c>
      <c r="F348" s="22" t="s">
        <v>2004</v>
      </c>
      <c r="G348" s="22">
        <v>20170327</v>
      </c>
      <c r="H348" s="22">
        <v>20170512</v>
      </c>
      <c r="I348" s="22" t="s">
        <v>53</v>
      </c>
      <c r="J348" s="22"/>
      <c r="K348" s="22"/>
      <c r="L348" s="22" t="s">
        <v>34</v>
      </c>
      <c r="M348" s="22" t="s">
        <v>34</v>
      </c>
      <c r="N348" s="22" t="s">
        <v>35</v>
      </c>
      <c r="O348" s="22" t="s">
        <v>35</v>
      </c>
      <c r="P348" s="22" t="s">
        <v>35</v>
      </c>
      <c r="Q348" s="22" t="s">
        <v>35</v>
      </c>
      <c r="R348" s="22" t="s">
        <v>35</v>
      </c>
      <c r="S348" s="22" t="s">
        <v>34</v>
      </c>
      <c r="T348" s="22"/>
      <c r="U348" s="22"/>
      <c r="V348" s="22"/>
      <c r="W348" s="22"/>
      <c r="X348" s="22"/>
      <c r="Y348" s="22"/>
      <c r="Z348" s="22"/>
      <c r="AA348" s="22"/>
      <c r="AB348" s="22"/>
      <c r="AC348" s="22" t="s">
        <v>1921</v>
      </c>
      <c r="AD348" s="22">
        <v>20170413</v>
      </c>
      <c r="AE348" s="22">
        <v>347</v>
      </c>
      <c r="AF348" s="22"/>
      <c r="AG348" s="22" t="str">
        <f>IFERROR(VLOOKUP(TblFeedFile[[#This Row],[Leave Type ]],LkupPayType[],2,FALSE),"TBD")</f>
        <v>Paid</v>
      </c>
      <c r="AH348" s="22"/>
      <c r="AI348" s="25"/>
      <c r="AJ348" s="25"/>
      <c r="AK348" s="26"/>
    </row>
    <row r="349" spans="1:37" x14ac:dyDescent="0.25">
      <c r="A349" s="21" t="s">
        <v>37</v>
      </c>
      <c r="B349" s="22">
        <v>314305</v>
      </c>
      <c r="C349" s="22">
        <v>23729685</v>
      </c>
      <c r="D349" s="23">
        <v>511703038491</v>
      </c>
      <c r="E349" s="22" t="s">
        <v>2003</v>
      </c>
      <c r="F349" s="22" t="s">
        <v>2004</v>
      </c>
      <c r="G349" s="22">
        <v>20170403</v>
      </c>
      <c r="H349" s="22">
        <v>20170512</v>
      </c>
      <c r="I349" s="22" t="s">
        <v>40</v>
      </c>
      <c r="J349" s="22"/>
      <c r="K349" s="22"/>
      <c r="L349" s="22" t="s">
        <v>34</v>
      </c>
      <c r="M349" s="22" t="s">
        <v>34</v>
      </c>
      <c r="N349" s="22" t="s">
        <v>35</v>
      </c>
      <c r="O349" s="22" t="s">
        <v>35</v>
      </c>
      <c r="P349" s="22" t="s">
        <v>35</v>
      </c>
      <c r="Q349" s="22" t="s">
        <v>35</v>
      </c>
      <c r="R349" s="22" t="s">
        <v>35</v>
      </c>
      <c r="S349" s="22" t="s">
        <v>34</v>
      </c>
      <c r="T349" s="22">
        <v>20170412</v>
      </c>
      <c r="U349" s="22"/>
      <c r="V349" s="22"/>
      <c r="W349" s="22"/>
      <c r="X349" s="22"/>
      <c r="Y349" s="22"/>
      <c r="Z349" s="22"/>
      <c r="AA349" s="22"/>
      <c r="AB349" s="22"/>
      <c r="AC349" s="22" t="s">
        <v>1925</v>
      </c>
      <c r="AD349" s="22">
        <v>20170413</v>
      </c>
      <c r="AE349" s="22">
        <v>348</v>
      </c>
      <c r="AF349" s="22"/>
      <c r="AG349" s="22" t="str">
        <f>IFERROR(VLOOKUP(TblFeedFile[[#This Row],[Leave Type ]],LkupPayType[],2,FALSE),"TBD")</f>
        <v>Paid</v>
      </c>
      <c r="AH349" s="22"/>
      <c r="AI349" s="25"/>
      <c r="AJ349" s="25"/>
      <c r="AK349" s="26" t="s">
        <v>35</v>
      </c>
    </row>
    <row r="350" spans="1:37" x14ac:dyDescent="0.25">
      <c r="A350" s="21" t="s">
        <v>37</v>
      </c>
      <c r="B350" s="22">
        <v>314304</v>
      </c>
      <c r="C350" s="22">
        <v>23732282</v>
      </c>
      <c r="D350" s="23">
        <v>531704068503</v>
      </c>
      <c r="E350" s="22" t="s">
        <v>1953</v>
      </c>
      <c r="F350" s="22" t="s">
        <v>2325</v>
      </c>
      <c r="G350" s="22">
        <v>20170413</v>
      </c>
      <c r="H350" s="22">
        <v>20170604</v>
      </c>
      <c r="I350" s="22" t="s">
        <v>40</v>
      </c>
      <c r="J350" s="22"/>
      <c r="K350" s="22"/>
      <c r="L350" s="22" t="s">
        <v>34</v>
      </c>
      <c r="M350" s="22" t="s">
        <v>34</v>
      </c>
      <c r="N350" s="22" t="s">
        <v>35</v>
      </c>
      <c r="O350" s="22" t="s">
        <v>35</v>
      </c>
      <c r="P350" s="22" t="s">
        <v>35</v>
      </c>
      <c r="Q350" s="22" t="s">
        <v>35</v>
      </c>
      <c r="R350" s="22" t="s">
        <v>35</v>
      </c>
      <c r="S350" s="22" t="s">
        <v>34</v>
      </c>
      <c r="T350" s="22"/>
      <c r="U350" s="22"/>
      <c r="V350" s="22"/>
      <c r="W350" s="22"/>
      <c r="X350" s="22"/>
      <c r="Y350" s="22"/>
      <c r="Z350" s="22"/>
      <c r="AA350" s="22"/>
      <c r="AB350" s="22"/>
      <c r="AC350" s="22" t="s">
        <v>1902</v>
      </c>
      <c r="AD350" s="22">
        <v>20170413</v>
      </c>
      <c r="AE350" s="22">
        <v>349</v>
      </c>
      <c r="AF350" s="22"/>
      <c r="AG350" s="22" t="str">
        <f>IFERROR(VLOOKUP(TblFeedFile[[#This Row],[Leave Type ]],LkupPayType[],2,FALSE),"TBD")</f>
        <v>Paid</v>
      </c>
      <c r="AH350" s="22"/>
      <c r="AI350" s="25"/>
      <c r="AJ350" s="25"/>
      <c r="AK350" s="26"/>
    </row>
    <row r="351" spans="1:37" x14ac:dyDescent="0.25">
      <c r="A351" s="21" t="s">
        <v>29</v>
      </c>
      <c r="B351" s="22">
        <v>314304</v>
      </c>
      <c r="C351" s="22">
        <v>23732492</v>
      </c>
      <c r="D351" s="23">
        <v>501701178858</v>
      </c>
      <c r="E351" s="22" t="s">
        <v>2326</v>
      </c>
      <c r="F351" s="22" t="s">
        <v>2327</v>
      </c>
      <c r="G351" s="22">
        <v>20170323</v>
      </c>
      <c r="H351" s="22">
        <v>20170418</v>
      </c>
      <c r="I351" s="22" t="s">
        <v>1892</v>
      </c>
      <c r="J351" s="22"/>
      <c r="K351" s="22"/>
      <c r="L351" s="22" t="s">
        <v>34</v>
      </c>
      <c r="M351" s="22" t="s">
        <v>34</v>
      </c>
      <c r="N351" s="22" t="s">
        <v>35</v>
      </c>
      <c r="O351" s="22" t="s">
        <v>35</v>
      </c>
      <c r="P351" s="22" t="s">
        <v>35</v>
      </c>
      <c r="Q351" s="22" t="s">
        <v>35</v>
      </c>
      <c r="R351" s="22" t="s">
        <v>35</v>
      </c>
      <c r="S351" s="22" t="s">
        <v>34</v>
      </c>
      <c r="T351" s="22"/>
      <c r="U351" s="22"/>
      <c r="V351" s="22"/>
      <c r="W351" s="22"/>
      <c r="X351" s="22"/>
      <c r="Y351" s="22"/>
      <c r="Z351" s="22"/>
      <c r="AA351" s="22"/>
      <c r="AB351" s="22"/>
      <c r="AC351" s="22" t="s">
        <v>1945</v>
      </c>
      <c r="AD351" s="22">
        <v>20170413</v>
      </c>
      <c r="AE351" s="22">
        <v>350</v>
      </c>
      <c r="AF351" s="22"/>
      <c r="AG351" s="22" t="str">
        <f>IFERROR(VLOOKUP(TblFeedFile[[#This Row],[Leave Type ]],LkupPayType[],2,FALSE),"TBD")</f>
        <v>Paid</v>
      </c>
      <c r="AH351" s="22"/>
      <c r="AI351" s="25"/>
      <c r="AJ351" s="25"/>
      <c r="AK351" s="26"/>
    </row>
    <row r="352" spans="1:37" x14ac:dyDescent="0.25">
      <c r="A352" s="21" t="s">
        <v>37</v>
      </c>
      <c r="B352" s="22">
        <v>314304</v>
      </c>
      <c r="C352" s="22">
        <v>23732492</v>
      </c>
      <c r="D352" s="23">
        <v>501701178858</v>
      </c>
      <c r="E352" s="22" t="s">
        <v>2326</v>
      </c>
      <c r="F352" s="22" t="s">
        <v>2327</v>
      </c>
      <c r="G352" s="22">
        <v>20170323</v>
      </c>
      <c r="H352" s="22">
        <v>20170517</v>
      </c>
      <c r="I352" s="22" t="s">
        <v>1892</v>
      </c>
      <c r="J352" s="22"/>
      <c r="K352" s="22"/>
      <c r="L352" s="22" t="s">
        <v>34</v>
      </c>
      <c r="M352" s="22" t="s">
        <v>34</v>
      </c>
      <c r="N352" s="22" t="s">
        <v>35</v>
      </c>
      <c r="O352" s="22" t="s">
        <v>35</v>
      </c>
      <c r="P352" s="22" t="s">
        <v>35</v>
      </c>
      <c r="Q352" s="22" t="s">
        <v>35</v>
      </c>
      <c r="R352" s="22" t="s">
        <v>35</v>
      </c>
      <c r="S352" s="22" t="s">
        <v>34</v>
      </c>
      <c r="T352" s="22"/>
      <c r="U352" s="22"/>
      <c r="V352" s="22"/>
      <c r="W352" s="22"/>
      <c r="X352" s="22"/>
      <c r="Y352" s="22"/>
      <c r="Z352" s="22"/>
      <c r="AA352" s="22"/>
      <c r="AB352" s="22"/>
      <c r="AC352" s="22" t="s">
        <v>1945</v>
      </c>
      <c r="AD352" s="22">
        <v>20170413</v>
      </c>
      <c r="AE352" s="22">
        <v>351</v>
      </c>
      <c r="AF352" s="22"/>
      <c r="AG352" s="22" t="str">
        <f>IFERROR(VLOOKUP(TblFeedFile[[#This Row],[Leave Type ]],LkupPayType[],2,FALSE),"TBD")</f>
        <v>Paid</v>
      </c>
      <c r="AH352" s="22"/>
      <c r="AI352" s="25"/>
      <c r="AJ352" s="25"/>
      <c r="AK352" s="26"/>
    </row>
    <row r="353" spans="1:37" x14ac:dyDescent="0.25">
      <c r="A353" s="21" t="s">
        <v>29</v>
      </c>
      <c r="B353" s="22">
        <v>314304</v>
      </c>
      <c r="C353" s="22">
        <v>23735912</v>
      </c>
      <c r="D353" s="23" t="s">
        <v>2328</v>
      </c>
      <c r="E353" s="22" t="s">
        <v>2329</v>
      </c>
      <c r="F353" s="22" t="s">
        <v>2330</v>
      </c>
      <c r="G353" s="22">
        <v>20170320</v>
      </c>
      <c r="H353" s="22">
        <v>20170416</v>
      </c>
      <c r="I353" s="22" t="s">
        <v>49</v>
      </c>
      <c r="J353" s="22"/>
      <c r="K353" s="22"/>
      <c r="L353" s="22" t="s">
        <v>35</v>
      </c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 t="s">
        <v>1905</v>
      </c>
      <c r="AD353" s="22">
        <v>20170413</v>
      </c>
      <c r="AE353" s="22">
        <v>352</v>
      </c>
      <c r="AF353" s="22"/>
      <c r="AG353" s="22" t="str">
        <f>IFERROR(VLOOKUP(TblFeedFile[[#This Row],[Leave Type ]],LkupPayType[],2,FALSE),"TBD")</f>
        <v>Unpaid</v>
      </c>
      <c r="AH353" s="22"/>
      <c r="AI353" s="25"/>
      <c r="AJ353" s="25"/>
      <c r="AK353" s="26"/>
    </row>
    <row r="354" spans="1:37" x14ac:dyDescent="0.25">
      <c r="A354" s="21" t="s">
        <v>37</v>
      </c>
      <c r="B354" s="22">
        <v>314304</v>
      </c>
      <c r="C354" s="22">
        <v>23735912</v>
      </c>
      <c r="D354" s="23" t="s">
        <v>2328</v>
      </c>
      <c r="E354" s="22" t="s">
        <v>2329</v>
      </c>
      <c r="F354" s="22" t="s">
        <v>2330</v>
      </c>
      <c r="G354" s="22">
        <v>20170320</v>
      </c>
      <c r="H354" s="22">
        <v>20170430</v>
      </c>
      <c r="I354" s="22" t="s">
        <v>49</v>
      </c>
      <c r="J354" s="22"/>
      <c r="K354" s="22"/>
      <c r="L354" s="22" t="s">
        <v>35</v>
      </c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 t="s">
        <v>1905</v>
      </c>
      <c r="AD354" s="22">
        <v>20170413</v>
      </c>
      <c r="AE354" s="22">
        <v>353</v>
      </c>
      <c r="AF354" s="22"/>
      <c r="AG354" s="22" t="str">
        <f>IFERROR(VLOOKUP(TblFeedFile[[#This Row],[Leave Type ]],LkupPayType[],2,FALSE),"TBD")</f>
        <v>Unpaid</v>
      </c>
      <c r="AH354" s="22"/>
      <c r="AI354" s="25"/>
      <c r="AJ354" s="25"/>
      <c r="AK354" s="26"/>
    </row>
    <row r="355" spans="1:37" x14ac:dyDescent="0.25">
      <c r="A355" s="21" t="s">
        <v>29</v>
      </c>
      <c r="B355" s="22">
        <v>314304</v>
      </c>
      <c r="C355" s="22">
        <v>23751716</v>
      </c>
      <c r="D355" s="23">
        <v>551702078135</v>
      </c>
      <c r="E355" s="22" t="s">
        <v>2331</v>
      </c>
      <c r="F355" s="22" t="s">
        <v>2332</v>
      </c>
      <c r="G355" s="22">
        <v>20170214</v>
      </c>
      <c r="H355" s="22">
        <v>20170326</v>
      </c>
      <c r="I355" s="22" t="s">
        <v>40</v>
      </c>
      <c r="J355" s="22"/>
      <c r="K355" s="22"/>
      <c r="L355" s="22" t="s">
        <v>34</v>
      </c>
      <c r="M355" s="22" t="s">
        <v>34</v>
      </c>
      <c r="N355" s="22" t="s">
        <v>35</v>
      </c>
      <c r="O355" s="22" t="s">
        <v>35</v>
      </c>
      <c r="P355" s="22" t="s">
        <v>35</v>
      </c>
      <c r="Q355" s="22" t="s">
        <v>35</v>
      </c>
      <c r="R355" s="22" t="s">
        <v>35</v>
      </c>
      <c r="S355" s="22" t="s">
        <v>34</v>
      </c>
      <c r="T355" s="22">
        <v>20170327</v>
      </c>
      <c r="U355" s="22"/>
      <c r="V355" s="22"/>
      <c r="W355" s="22"/>
      <c r="X355" s="22"/>
      <c r="Y355" s="22"/>
      <c r="Z355" s="22"/>
      <c r="AA355" s="22"/>
      <c r="AB355" s="22"/>
      <c r="AC355" s="22" t="s">
        <v>1915</v>
      </c>
      <c r="AD355" s="22">
        <v>20170413</v>
      </c>
      <c r="AE355" s="22">
        <v>354</v>
      </c>
      <c r="AF355" s="22"/>
      <c r="AG355" s="22" t="str">
        <f>IFERROR(VLOOKUP(TblFeedFile[[#This Row],[Leave Type ]],LkupPayType[],2,FALSE),"TBD")</f>
        <v>Paid</v>
      </c>
      <c r="AH355" s="22"/>
      <c r="AI355" s="25"/>
      <c r="AJ355" s="25"/>
      <c r="AK355" s="26"/>
    </row>
    <row r="356" spans="1:37" x14ac:dyDescent="0.25">
      <c r="A356" s="21" t="s">
        <v>37</v>
      </c>
      <c r="B356" s="22">
        <v>314304</v>
      </c>
      <c r="C356" s="22">
        <v>23751716</v>
      </c>
      <c r="D356" s="23">
        <v>551702078135</v>
      </c>
      <c r="E356" s="22" t="s">
        <v>2331</v>
      </c>
      <c r="F356" s="22" t="s">
        <v>2332</v>
      </c>
      <c r="G356" s="22">
        <v>20170214</v>
      </c>
      <c r="H356" s="22">
        <v>20170416</v>
      </c>
      <c r="I356" s="22" t="s">
        <v>40</v>
      </c>
      <c r="J356" s="22"/>
      <c r="K356" s="22"/>
      <c r="L356" s="22" t="s">
        <v>34</v>
      </c>
      <c r="M356" s="22" t="s">
        <v>34</v>
      </c>
      <c r="N356" s="22" t="s">
        <v>35</v>
      </c>
      <c r="O356" s="22" t="s">
        <v>35</v>
      </c>
      <c r="P356" s="22" t="s">
        <v>35</v>
      </c>
      <c r="Q356" s="22" t="s">
        <v>35</v>
      </c>
      <c r="R356" s="22" t="s">
        <v>35</v>
      </c>
      <c r="S356" s="22" t="s">
        <v>34</v>
      </c>
      <c r="T356" s="22"/>
      <c r="U356" s="22"/>
      <c r="V356" s="22"/>
      <c r="W356" s="22"/>
      <c r="X356" s="22"/>
      <c r="Y356" s="22"/>
      <c r="Z356" s="22"/>
      <c r="AA356" s="22"/>
      <c r="AB356" s="22"/>
      <c r="AC356" s="22" t="s">
        <v>1908</v>
      </c>
      <c r="AD356" s="22">
        <v>20170413</v>
      </c>
      <c r="AE356" s="22">
        <v>355</v>
      </c>
      <c r="AF356" s="22"/>
      <c r="AG356" s="22" t="str">
        <f>IFERROR(VLOOKUP(TblFeedFile[[#This Row],[Leave Type ]],LkupPayType[],2,FALSE),"TBD")</f>
        <v>Paid</v>
      </c>
      <c r="AH356" s="22"/>
      <c r="AI356" s="25"/>
      <c r="AJ356" s="25"/>
      <c r="AK356" s="26"/>
    </row>
    <row r="357" spans="1:37" x14ac:dyDescent="0.25">
      <c r="A357" s="21" t="s">
        <v>37</v>
      </c>
      <c r="B357" s="22">
        <v>314304</v>
      </c>
      <c r="C357" s="22">
        <v>23751716</v>
      </c>
      <c r="D357" s="23" t="s">
        <v>2333</v>
      </c>
      <c r="E357" s="22" t="s">
        <v>2331</v>
      </c>
      <c r="F357" s="22" t="s">
        <v>2332</v>
      </c>
      <c r="G357" s="22">
        <v>20170327</v>
      </c>
      <c r="H357" s="22">
        <v>20170416</v>
      </c>
      <c r="I357" s="22" t="s">
        <v>36</v>
      </c>
      <c r="J357" s="22"/>
      <c r="K357" s="22"/>
      <c r="L357" s="22" t="s">
        <v>34</v>
      </c>
      <c r="M357" s="22" t="s">
        <v>34</v>
      </c>
      <c r="N357" s="22" t="s">
        <v>35</v>
      </c>
      <c r="O357" s="22" t="s">
        <v>35</v>
      </c>
      <c r="P357" s="22" t="s">
        <v>35</v>
      </c>
      <c r="Q357" s="22" t="s">
        <v>35</v>
      </c>
      <c r="R357" s="22" t="s">
        <v>35</v>
      </c>
      <c r="S357" s="22" t="s">
        <v>34</v>
      </c>
      <c r="T357" s="22">
        <v>20170417</v>
      </c>
      <c r="U357" s="22"/>
      <c r="V357" s="22"/>
      <c r="W357" s="22"/>
      <c r="X357" s="22"/>
      <c r="Y357" s="22"/>
      <c r="Z357" s="22"/>
      <c r="AA357" s="22"/>
      <c r="AB357" s="22"/>
      <c r="AC357" s="22" t="s">
        <v>1923</v>
      </c>
      <c r="AD357" s="22">
        <v>20170413</v>
      </c>
      <c r="AE357" s="22">
        <v>356</v>
      </c>
      <c r="AF357" s="22"/>
      <c r="AG357" s="22" t="str">
        <f>IFERROR(VLOOKUP(TblFeedFile[[#This Row],[Leave Type ]],LkupPayType[],2,FALSE),"TBD")</f>
        <v>Unpaid</v>
      </c>
      <c r="AH357" s="22"/>
      <c r="AI357" s="25"/>
      <c r="AJ357" s="25"/>
      <c r="AK357" s="26" t="s">
        <v>35</v>
      </c>
    </row>
    <row r="358" spans="1:37" x14ac:dyDescent="0.25">
      <c r="A358" s="21" t="s">
        <v>37</v>
      </c>
      <c r="B358" s="22">
        <v>314304</v>
      </c>
      <c r="C358" s="22">
        <v>23799900</v>
      </c>
      <c r="D358" s="23">
        <v>511702208231</v>
      </c>
      <c r="E358" s="22" t="s">
        <v>2334</v>
      </c>
      <c r="F358" s="22" t="s">
        <v>1973</v>
      </c>
      <c r="G358" s="22">
        <v>20170317</v>
      </c>
      <c r="H358" s="22">
        <v>20170409</v>
      </c>
      <c r="I358" s="22" t="s">
        <v>40</v>
      </c>
      <c r="J358" s="22"/>
      <c r="K358" s="22"/>
      <c r="L358" s="22" t="s">
        <v>34</v>
      </c>
      <c r="M358" s="22" t="s">
        <v>34</v>
      </c>
      <c r="N358" s="22" t="s">
        <v>35</v>
      </c>
      <c r="O358" s="22" t="s">
        <v>35</v>
      </c>
      <c r="P358" s="22" t="s">
        <v>35</v>
      </c>
      <c r="Q358" s="22" t="s">
        <v>35</v>
      </c>
      <c r="R358" s="22" t="s">
        <v>35</v>
      </c>
      <c r="S358" s="22" t="s">
        <v>34</v>
      </c>
      <c r="T358" s="22">
        <v>20170410</v>
      </c>
      <c r="U358" s="22"/>
      <c r="V358" s="22"/>
      <c r="W358" s="22"/>
      <c r="X358" s="22"/>
      <c r="Y358" s="22"/>
      <c r="Z358" s="22"/>
      <c r="AA358" s="22"/>
      <c r="AB358" s="22"/>
      <c r="AC358" s="22" t="s">
        <v>1914</v>
      </c>
      <c r="AD358" s="22">
        <v>20170413</v>
      </c>
      <c r="AE358" s="22">
        <v>357</v>
      </c>
      <c r="AF358" s="22"/>
      <c r="AG358" s="22" t="str">
        <f>IFERROR(VLOOKUP(TblFeedFile[[#This Row],[Leave Type ]],LkupPayType[],2,FALSE),"TBD")</f>
        <v>Paid</v>
      </c>
      <c r="AH358" s="22"/>
      <c r="AI358" s="25"/>
      <c r="AJ358" s="25"/>
      <c r="AK358" s="26" t="s">
        <v>35</v>
      </c>
    </row>
    <row r="359" spans="1:37" x14ac:dyDescent="0.25">
      <c r="A359" s="21" t="s">
        <v>29</v>
      </c>
      <c r="B359" s="22">
        <v>314304</v>
      </c>
      <c r="C359" s="22">
        <v>23812747</v>
      </c>
      <c r="D359" s="23" t="s">
        <v>2335</v>
      </c>
      <c r="E359" s="22" t="s">
        <v>2336</v>
      </c>
      <c r="F359" s="22" t="s">
        <v>1954</v>
      </c>
      <c r="G359" s="22">
        <v>20170206</v>
      </c>
      <c r="H359" s="22">
        <v>20170319</v>
      </c>
      <c r="I359" s="22" t="s">
        <v>36</v>
      </c>
      <c r="J359" s="22"/>
      <c r="K359" s="22"/>
      <c r="L359" s="22" t="s">
        <v>34</v>
      </c>
      <c r="M359" s="22" t="s">
        <v>34</v>
      </c>
      <c r="N359" s="22" t="s">
        <v>35</v>
      </c>
      <c r="O359" s="22" t="s">
        <v>35</v>
      </c>
      <c r="P359" s="22" t="s">
        <v>35</v>
      </c>
      <c r="Q359" s="22" t="s">
        <v>35</v>
      </c>
      <c r="R359" s="22" t="s">
        <v>35</v>
      </c>
      <c r="S359" s="22" t="s">
        <v>34</v>
      </c>
      <c r="T359" s="22">
        <v>20170403</v>
      </c>
      <c r="U359" s="22"/>
      <c r="V359" s="22"/>
      <c r="W359" s="22"/>
      <c r="X359" s="22"/>
      <c r="Y359" s="22"/>
      <c r="Z359" s="22"/>
      <c r="AA359" s="22"/>
      <c r="AB359" s="22"/>
      <c r="AC359" s="22" t="s">
        <v>1921</v>
      </c>
      <c r="AD359" s="22">
        <v>20170413</v>
      </c>
      <c r="AE359" s="22">
        <v>358</v>
      </c>
      <c r="AF359" s="22"/>
      <c r="AG359" s="22" t="str">
        <f>IFERROR(VLOOKUP(TblFeedFile[[#This Row],[Leave Type ]],LkupPayType[],2,FALSE),"TBD")</f>
        <v>Unpaid</v>
      </c>
      <c r="AH359" s="22"/>
      <c r="AI359" s="25"/>
      <c r="AJ359" s="25"/>
      <c r="AK359" s="26"/>
    </row>
    <row r="360" spans="1:37" x14ac:dyDescent="0.25">
      <c r="A360" s="21" t="s">
        <v>37</v>
      </c>
      <c r="B360" s="22">
        <v>314304</v>
      </c>
      <c r="C360" s="22">
        <v>23812747</v>
      </c>
      <c r="D360" s="23" t="s">
        <v>2335</v>
      </c>
      <c r="E360" s="22" t="s">
        <v>2336</v>
      </c>
      <c r="F360" s="22" t="s">
        <v>1954</v>
      </c>
      <c r="G360" s="22">
        <v>20170206</v>
      </c>
      <c r="H360" s="22">
        <v>20170401</v>
      </c>
      <c r="I360" s="22" t="s">
        <v>36</v>
      </c>
      <c r="J360" s="22"/>
      <c r="K360" s="22"/>
      <c r="L360" s="22" t="s">
        <v>34</v>
      </c>
      <c r="M360" s="22" t="s">
        <v>34</v>
      </c>
      <c r="N360" s="22" t="s">
        <v>35</v>
      </c>
      <c r="O360" s="22" t="s">
        <v>35</v>
      </c>
      <c r="P360" s="22" t="s">
        <v>35</v>
      </c>
      <c r="Q360" s="22" t="s">
        <v>35</v>
      </c>
      <c r="R360" s="22" t="s">
        <v>35</v>
      </c>
      <c r="S360" s="22" t="s">
        <v>34</v>
      </c>
      <c r="T360" s="22">
        <v>20170403</v>
      </c>
      <c r="U360" s="22"/>
      <c r="V360" s="22"/>
      <c r="W360" s="22"/>
      <c r="X360" s="22"/>
      <c r="Y360" s="22"/>
      <c r="Z360" s="22"/>
      <c r="AA360" s="22"/>
      <c r="AB360" s="22"/>
      <c r="AC360" s="22" t="s">
        <v>1921</v>
      </c>
      <c r="AD360" s="22">
        <v>20170413</v>
      </c>
      <c r="AE360" s="22">
        <v>359</v>
      </c>
      <c r="AF360" s="22"/>
      <c r="AG360" s="22" t="str">
        <f>IFERROR(VLOOKUP(TblFeedFile[[#This Row],[Leave Type ]],LkupPayType[],2,FALSE),"TBD")</f>
        <v>Unpaid</v>
      </c>
      <c r="AH360" s="22"/>
      <c r="AI360" s="25"/>
      <c r="AJ360" s="25"/>
      <c r="AK360" s="26" t="s">
        <v>35</v>
      </c>
    </row>
    <row r="361" spans="1:37" x14ac:dyDescent="0.25">
      <c r="A361" s="21" t="s">
        <v>29</v>
      </c>
      <c r="B361" s="22">
        <v>314304</v>
      </c>
      <c r="C361" s="22">
        <v>23819999</v>
      </c>
      <c r="D361" s="23">
        <v>551702028255</v>
      </c>
      <c r="E361" s="22" t="s">
        <v>728</v>
      </c>
      <c r="F361" s="22" t="s">
        <v>2337</v>
      </c>
      <c r="G361" s="22">
        <v>20170330</v>
      </c>
      <c r="H361" s="22">
        <v>20170402</v>
      </c>
      <c r="I361" s="22" t="s">
        <v>1892</v>
      </c>
      <c r="J361" s="22"/>
      <c r="K361" s="22"/>
      <c r="L361" s="22" t="s">
        <v>34</v>
      </c>
      <c r="M361" s="22" t="s">
        <v>34</v>
      </c>
      <c r="N361" s="22" t="s">
        <v>35</v>
      </c>
      <c r="O361" s="22" t="s">
        <v>35</v>
      </c>
      <c r="P361" s="22" t="s">
        <v>35</v>
      </c>
      <c r="Q361" s="22" t="s">
        <v>35</v>
      </c>
      <c r="R361" s="22" t="s">
        <v>35</v>
      </c>
      <c r="S361" s="22" t="s">
        <v>34</v>
      </c>
      <c r="T361" s="22"/>
      <c r="U361" s="22"/>
      <c r="V361" s="22"/>
      <c r="W361" s="22"/>
      <c r="X361" s="22"/>
      <c r="Y361" s="22"/>
      <c r="Z361" s="22"/>
      <c r="AA361" s="22"/>
      <c r="AB361" s="22"/>
      <c r="AC361" s="22" t="s">
        <v>1945</v>
      </c>
      <c r="AD361" s="22">
        <v>20170413</v>
      </c>
      <c r="AE361" s="22">
        <v>360</v>
      </c>
      <c r="AF361" s="22"/>
      <c r="AG361" s="22" t="str">
        <f>IFERROR(VLOOKUP(TblFeedFile[[#This Row],[Leave Type ]],LkupPayType[],2,FALSE),"TBD")</f>
        <v>Paid</v>
      </c>
      <c r="AH361" s="22"/>
      <c r="AI361" s="25"/>
      <c r="AJ361" s="25"/>
      <c r="AK361" s="26"/>
    </row>
    <row r="362" spans="1:37" x14ac:dyDescent="0.25">
      <c r="A362" s="21" t="s">
        <v>37</v>
      </c>
      <c r="B362" s="22">
        <v>314304</v>
      </c>
      <c r="C362" s="22">
        <v>23819999</v>
      </c>
      <c r="D362" s="23">
        <v>551702028255</v>
      </c>
      <c r="E362" s="22" t="s">
        <v>728</v>
      </c>
      <c r="F362" s="22" t="s">
        <v>2337</v>
      </c>
      <c r="G362" s="22">
        <v>20170330</v>
      </c>
      <c r="H362" s="22">
        <v>20170430</v>
      </c>
      <c r="I362" s="22" t="s">
        <v>1892</v>
      </c>
      <c r="J362" s="22"/>
      <c r="K362" s="22"/>
      <c r="L362" s="22" t="s">
        <v>34</v>
      </c>
      <c r="M362" s="22" t="s">
        <v>34</v>
      </c>
      <c r="N362" s="22" t="s">
        <v>35</v>
      </c>
      <c r="O362" s="22" t="s">
        <v>35</v>
      </c>
      <c r="P362" s="22" t="s">
        <v>35</v>
      </c>
      <c r="Q362" s="22" t="s">
        <v>35</v>
      </c>
      <c r="R362" s="22" t="s">
        <v>35</v>
      </c>
      <c r="S362" s="22" t="s">
        <v>34</v>
      </c>
      <c r="T362" s="22"/>
      <c r="U362" s="22"/>
      <c r="V362" s="22"/>
      <c r="W362" s="22"/>
      <c r="X362" s="22"/>
      <c r="Y362" s="22"/>
      <c r="Z362" s="22"/>
      <c r="AA362" s="22"/>
      <c r="AB362" s="22"/>
      <c r="AC362" s="22" t="s">
        <v>1945</v>
      </c>
      <c r="AD362" s="22">
        <v>20170413</v>
      </c>
      <c r="AE362" s="22">
        <v>361</v>
      </c>
      <c r="AF362" s="22"/>
      <c r="AG362" s="22" t="str">
        <f>IFERROR(VLOOKUP(TblFeedFile[[#This Row],[Leave Type ]],LkupPayType[],2,FALSE),"TBD")</f>
        <v>Paid</v>
      </c>
      <c r="AH362" s="22"/>
      <c r="AI362" s="25"/>
      <c r="AJ362" s="25"/>
      <c r="AK362" s="26"/>
    </row>
    <row r="363" spans="1:37" x14ac:dyDescent="0.25">
      <c r="A363" s="21" t="s">
        <v>37</v>
      </c>
      <c r="B363" s="22">
        <v>314304</v>
      </c>
      <c r="C363" s="22">
        <v>23821011</v>
      </c>
      <c r="D363" s="23">
        <v>501703068880</v>
      </c>
      <c r="E363" s="22" t="s">
        <v>98</v>
      </c>
      <c r="F363" s="22" t="s">
        <v>2115</v>
      </c>
      <c r="G363" s="22">
        <v>20170311</v>
      </c>
      <c r="H363" s="22">
        <v>20170416</v>
      </c>
      <c r="I363" s="22" t="s">
        <v>40</v>
      </c>
      <c r="J363" s="22"/>
      <c r="K363" s="22"/>
      <c r="L363" s="22" t="s">
        <v>34</v>
      </c>
      <c r="M363" s="22" t="s">
        <v>34</v>
      </c>
      <c r="N363" s="22" t="s">
        <v>35</v>
      </c>
      <c r="O363" s="22" t="s">
        <v>35</v>
      </c>
      <c r="P363" s="22" t="s">
        <v>35</v>
      </c>
      <c r="Q363" s="22" t="s">
        <v>35</v>
      </c>
      <c r="R363" s="22" t="s">
        <v>35</v>
      </c>
      <c r="S363" s="22" t="s">
        <v>34</v>
      </c>
      <c r="T363" s="22">
        <v>20170417</v>
      </c>
      <c r="U363" s="22"/>
      <c r="V363" s="22"/>
      <c r="W363" s="22"/>
      <c r="X363" s="22" t="s">
        <v>35</v>
      </c>
      <c r="Y363" s="22"/>
      <c r="Z363" s="22"/>
      <c r="AA363" s="22"/>
      <c r="AB363" s="22"/>
      <c r="AC363" s="22" t="s">
        <v>1904</v>
      </c>
      <c r="AD363" s="22">
        <v>20170413</v>
      </c>
      <c r="AE363" s="22">
        <v>362</v>
      </c>
      <c r="AF363" s="22"/>
      <c r="AG363" s="22" t="str">
        <f>IFERROR(VLOOKUP(TblFeedFile[[#This Row],[Leave Type ]],LkupPayType[],2,FALSE),"TBD")</f>
        <v>Paid</v>
      </c>
      <c r="AH363" s="22"/>
      <c r="AI363" s="25"/>
      <c r="AJ363" s="25"/>
      <c r="AK363" s="26" t="s">
        <v>35</v>
      </c>
    </row>
    <row r="364" spans="1:37" x14ac:dyDescent="0.25">
      <c r="A364" s="21" t="s">
        <v>37</v>
      </c>
      <c r="B364" s="22">
        <v>314304</v>
      </c>
      <c r="C364" s="22">
        <v>23829898</v>
      </c>
      <c r="D364" s="23" t="s">
        <v>2338</v>
      </c>
      <c r="E364" s="22" t="s">
        <v>2339</v>
      </c>
      <c r="F364" s="22" t="s">
        <v>2340</v>
      </c>
      <c r="G364" s="22">
        <v>20161226</v>
      </c>
      <c r="H364" s="22">
        <v>20170416</v>
      </c>
      <c r="I364" s="22" t="s">
        <v>223</v>
      </c>
      <c r="J364" s="22"/>
      <c r="K364" s="22"/>
      <c r="L364" s="22" t="s">
        <v>34</v>
      </c>
      <c r="M364" s="22" t="s">
        <v>34</v>
      </c>
      <c r="N364" s="22" t="s">
        <v>35</v>
      </c>
      <c r="O364" s="22" t="s">
        <v>35</v>
      </c>
      <c r="P364" s="22" t="s">
        <v>35</v>
      </c>
      <c r="Q364" s="22" t="s">
        <v>35</v>
      </c>
      <c r="R364" s="22" t="s">
        <v>35</v>
      </c>
      <c r="S364" s="22" t="s">
        <v>34</v>
      </c>
      <c r="T364" s="22">
        <v>20170417</v>
      </c>
      <c r="U364" s="22"/>
      <c r="V364" s="22"/>
      <c r="W364" s="22"/>
      <c r="X364" s="22"/>
      <c r="Y364" s="22"/>
      <c r="Z364" s="22"/>
      <c r="AA364" s="22"/>
      <c r="AB364" s="22"/>
      <c r="AC364" s="22" t="s">
        <v>2341</v>
      </c>
      <c r="AD364" s="22">
        <v>20170413</v>
      </c>
      <c r="AE364" s="22">
        <v>363</v>
      </c>
      <c r="AF364" s="22"/>
      <c r="AG364" s="22" t="str">
        <f>IFERROR(VLOOKUP(TblFeedFile[[#This Row],[Leave Type ]],LkupPayType[],2,FALSE),"TBD")</f>
        <v>Paid</v>
      </c>
      <c r="AH364" s="22"/>
      <c r="AI364" s="25"/>
      <c r="AJ364" s="25"/>
      <c r="AK364" s="26" t="s">
        <v>35</v>
      </c>
    </row>
    <row r="365" spans="1:37" x14ac:dyDescent="0.25">
      <c r="A365" s="21" t="s">
        <v>29</v>
      </c>
      <c r="B365" s="22">
        <v>314304</v>
      </c>
      <c r="C365" s="22">
        <v>23831007</v>
      </c>
      <c r="D365" s="23">
        <v>511703148289</v>
      </c>
      <c r="E365" s="22" t="s">
        <v>112</v>
      </c>
      <c r="F365" s="22" t="s">
        <v>2342</v>
      </c>
      <c r="G365" s="22">
        <v>20170405</v>
      </c>
      <c r="H365" s="22">
        <v>20170510</v>
      </c>
      <c r="I365" s="22" t="s">
        <v>40</v>
      </c>
      <c r="J365" s="22"/>
      <c r="K365" s="22"/>
      <c r="L365" s="22" t="s">
        <v>34</v>
      </c>
      <c r="M365" s="22" t="s">
        <v>34</v>
      </c>
      <c r="N365" s="22" t="s">
        <v>35</v>
      </c>
      <c r="O365" s="22" t="s">
        <v>35</v>
      </c>
      <c r="P365" s="22" t="s">
        <v>35</v>
      </c>
      <c r="Q365" s="22" t="s">
        <v>35</v>
      </c>
      <c r="R365" s="22" t="s">
        <v>35</v>
      </c>
      <c r="S365" s="22" t="s">
        <v>34</v>
      </c>
      <c r="T365" s="22"/>
      <c r="U365" s="22"/>
      <c r="V365" s="22"/>
      <c r="W365" s="22"/>
      <c r="X365" s="22"/>
      <c r="Y365" s="22"/>
      <c r="Z365" s="22"/>
      <c r="AA365" s="22"/>
      <c r="AB365" s="22"/>
      <c r="AC365" s="22" t="s">
        <v>1912</v>
      </c>
      <c r="AD365" s="22">
        <v>20170413</v>
      </c>
      <c r="AE365" s="22">
        <v>364</v>
      </c>
      <c r="AF365" s="22"/>
      <c r="AG365" s="22" t="str">
        <f>IFERROR(VLOOKUP(TblFeedFile[[#This Row],[Leave Type ]],LkupPayType[],2,FALSE),"TBD")</f>
        <v>Paid</v>
      </c>
      <c r="AH365" s="22"/>
      <c r="AI365" s="25"/>
      <c r="AJ365" s="25"/>
      <c r="AK365" s="26"/>
    </row>
    <row r="366" spans="1:37" x14ac:dyDescent="0.25">
      <c r="A366" s="21" t="s">
        <v>37</v>
      </c>
      <c r="B366" s="22">
        <v>314304</v>
      </c>
      <c r="C366" s="22">
        <v>23831007</v>
      </c>
      <c r="D366" s="23">
        <v>511703148289</v>
      </c>
      <c r="E366" s="22" t="s">
        <v>112</v>
      </c>
      <c r="F366" s="22" t="s">
        <v>2342</v>
      </c>
      <c r="G366" s="22">
        <v>20170405</v>
      </c>
      <c r="H366" s="22">
        <v>20170509</v>
      </c>
      <c r="I366" s="22" t="s">
        <v>40</v>
      </c>
      <c r="J366" s="22"/>
      <c r="K366" s="22"/>
      <c r="L366" s="22" t="s">
        <v>34</v>
      </c>
      <c r="M366" s="22" t="s">
        <v>34</v>
      </c>
      <c r="N366" s="22" t="s">
        <v>35</v>
      </c>
      <c r="O366" s="22" t="s">
        <v>35</v>
      </c>
      <c r="P366" s="22" t="s">
        <v>35</v>
      </c>
      <c r="Q366" s="22" t="s">
        <v>35</v>
      </c>
      <c r="R366" s="22" t="s">
        <v>35</v>
      </c>
      <c r="S366" s="22" t="s">
        <v>34</v>
      </c>
      <c r="T366" s="22"/>
      <c r="U366" s="22"/>
      <c r="V366" s="22"/>
      <c r="W366" s="22"/>
      <c r="X366" s="22"/>
      <c r="Y366" s="22"/>
      <c r="Z366" s="22"/>
      <c r="AA366" s="22"/>
      <c r="AB366" s="22"/>
      <c r="AC366" s="22" t="s">
        <v>1912</v>
      </c>
      <c r="AD366" s="22">
        <v>20170413</v>
      </c>
      <c r="AE366" s="22">
        <v>365</v>
      </c>
      <c r="AF366" s="22"/>
      <c r="AG366" s="22" t="str">
        <f>IFERROR(VLOOKUP(TblFeedFile[[#This Row],[Leave Type ]],LkupPayType[],2,FALSE),"TBD")</f>
        <v>Paid</v>
      </c>
      <c r="AH366" s="22"/>
      <c r="AI366" s="25"/>
      <c r="AJ366" s="25"/>
      <c r="AK366" s="26"/>
    </row>
    <row r="367" spans="1:37" x14ac:dyDescent="0.25">
      <c r="A367" s="21" t="s">
        <v>37</v>
      </c>
      <c r="B367" s="22">
        <v>314304</v>
      </c>
      <c r="C367" s="22">
        <v>23838132</v>
      </c>
      <c r="D367" s="23" t="s">
        <v>2343</v>
      </c>
      <c r="E367" s="22" t="s">
        <v>1732</v>
      </c>
      <c r="F367" s="22" t="s">
        <v>2005</v>
      </c>
      <c r="G367" s="22">
        <v>20170413</v>
      </c>
      <c r="H367" s="22">
        <v>20170413</v>
      </c>
      <c r="I367" s="22" t="s">
        <v>33</v>
      </c>
      <c r="J367" s="22"/>
      <c r="K367" s="22"/>
      <c r="L367" s="22" t="s">
        <v>34</v>
      </c>
      <c r="M367" s="22" t="s">
        <v>34</v>
      </c>
      <c r="N367" s="22" t="s">
        <v>35</v>
      </c>
      <c r="O367" s="22" t="s">
        <v>35</v>
      </c>
      <c r="P367" s="22" t="s">
        <v>35</v>
      </c>
      <c r="Q367" s="22" t="s">
        <v>35</v>
      </c>
      <c r="R367" s="22" t="s">
        <v>35</v>
      </c>
      <c r="S367" s="22" t="s">
        <v>34</v>
      </c>
      <c r="T367" s="22"/>
      <c r="U367" s="22"/>
      <c r="V367" s="22"/>
      <c r="W367" s="22"/>
      <c r="X367" s="22"/>
      <c r="Y367" s="22"/>
      <c r="Z367" s="22"/>
      <c r="AA367" s="22"/>
      <c r="AB367" s="22"/>
      <c r="AC367" s="22" t="s">
        <v>1920</v>
      </c>
      <c r="AD367" s="22">
        <v>20170413</v>
      </c>
      <c r="AE367" s="22">
        <v>366</v>
      </c>
      <c r="AF367" s="22"/>
      <c r="AG367" s="22" t="str">
        <f>IFERROR(VLOOKUP(TblFeedFile[[#This Row],[Leave Type ]],LkupPayType[],2,FALSE),"TBD")</f>
        <v>Closed</v>
      </c>
      <c r="AH367" s="22"/>
      <c r="AI367" s="25"/>
      <c r="AJ367" s="25"/>
      <c r="AK367" s="26"/>
    </row>
    <row r="368" spans="1:37" x14ac:dyDescent="0.25">
      <c r="A368" s="21" t="s">
        <v>29</v>
      </c>
      <c r="B368" s="22">
        <v>314304</v>
      </c>
      <c r="C368" s="22">
        <v>23845050</v>
      </c>
      <c r="D368" s="23">
        <v>551703208345</v>
      </c>
      <c r="E368" s="22" t="s">
        <v>430</v>
      </c>
      <c r="F368" s="22" t="s">
        <v>526</v>
      </c>
      <c r="G368" s="22">
        <v>20170321</v>
      </c>
      <c r="H368" s="22">
        <v>20170607</v>
      </c>
      <c r="I368" s="22" t="s">
        <v>53</v>
      </c>
      <c r="J368" s="22"/>
      <c r="K368" s="22"/>
      <c r="L368" s="22" t="s">
        <v>34</v>
      </c>
      <c r="M368" s="22" t="s">
        <v>34</v>
      </c>
      <c r="N368" s="22" t="s">
        <v>35</v>
      </c>
      <c r="O368" s="22" t="s">
        <v>35</v>
      </c>
      <c r="P368" s="22" t="s">
        <v>35</v>
      </c>
      <c r="Q368" s="22" t="s">
        <v>35</v>
      </c>
      <c r="R368" s="22" t="s">
        <v>35</v>
      </c>
      <c r="S368" s="22" t="s">
        <v>34</v>
      </c>
      <c r="T368" s="22"/>
      <c r="U368" s="22"/>
      <c r="V368" s="22"/>
      <c r="W368" s="22"/>
      <c r="X368" s="22"/>
      <c r="Y368" s="22"/>
      <c r="Z368" s="22"/>
      <c r="AA368" s="22"/>
      <c r="AB368" s="22"/>
      <c r="AC368" s="22" t="s">
        <v>1902</v>
      </c>
      <c r="AD368" s="22">
        <v>20170413</v>
      </c>
      <c r="AE368" s="22">
        <v>367</v>
      </c>
      <c r="AF368" s="22"/>
      <c r="AG368" s="22" t="str">
        <f>IFERROR(VLOOKUP(TblFeedFile[[#This Row],[Leave Type ]],LkupPayType[],2,FALSE),"TBD")</f>
        <v>Paid</v>
      </c>
      <c r="AH368" s="22"/>
      <c r="AI368" s="25"/>
      <c r="AJ368" s="25"/>
      <c r="AK368" s="26"/>
    </row>
    <row r="369" spans="1:37" x14ac:dyDescent="0.25">
      <c r="A369" s="21" t="s">
        <v>37</v>
      </c>
      <c r="B369" s="22">
        <v>314304</v>
      </c>
      <c r="C369" s="22">
        <v>23845050</v>
      </c>
      <c r="D369" s="23">
        <v>551703208345</v>
      </c>
      <c r="E369" s="22" t="s">
        <v>430</v>
      </c>
      <c r="F369" s="22" t="s">
        <v>526</v>
      </c>
      <c r="G369" s="22">
        <v>20170321</v>
      </c>
      <c r="H369" s="22">
        <v>20170507</v>
      </c>
      <c r="I369" s="22" t="s">
        <v>53</v>
      </c>
      <c r="J369" s="22"/>
      <c r="K369" s="22"/>
      <c r="L369" s="22" t="s">
        <v>34</v>
      </c>
      <c r="M369" s="22" t="s">
        <v>34</v>
      </c>
      <c r="N369" s="22" t="s">
        <v>35</v>
      </c>
      <c r="O369" s="22" t="s">
        <v>35</v>
      </c>
      <c r="P369" s="22" t="s">
        <v>35</v>
      </c>
      <c r="Q369" s="22" t="s">
        <v>35</v>
      </c>
      <c r="R369" s="22" t="s">
        <v>35</v>
      </c>
      <c r="S369" s="22" t="s">
        <v>34</v>
      </c>
      <c r="T369" s="22"/>
      <c r="U369" s="22"/>
      <c r="V369" s="22"/>
      <c r="W369" s="22"/>
      <c r="X369" s="22"/>
      <c r="Y369" s="22"/>
      <c r="Z369" s="22"/>
      <c r="AA369" s="22"/>
      <c r="AB369" s="22"/>
      <c r="AC369" s="22" t="s">
        <v>1902</v>
      </c>
      <c r="AD369" s="22">
        <v>20170413</v>
      </c>
      <c r="AE369" s="22">
        <v>368</v>
      </c>
      <c r="AF369" s="22"/>
      <c r="AG369" s="22" t="str">
        <f>IFERROR(VLOOKUP(TblFeedFile[[#This Row],[Leave Type ]],LkupPayType[],2,FALSE),"TBD")</f>
        <v>Paid</v>
      </c>
      <c r="AH369" s="22"/>
      <c r="AI369" s="25"/>
      <c r="AJ369" s="25"/>
      <c r="AK369" s="26"/>
    </row>
    <row r="370" spans="1:37" x14ac:dyDescent="0.25">
      <c r="A370" s="21" t="s">
        <v>37</v>
      </c>
      <c r="B370" s="22">
        <v>314304</v>
      </c>
      <c r="C370" s="22">
        <v>23845050</v>
      </c>
      <c r="D370" s="23">
        <v>551703208345</v>
      </c>
      <c r="E370" s="22" t="s">
        <v>430</v>
      </c>
      <c r="F370" s="22" t="s">
        <v>526</v>
      </c>
      <c r="G370" s="22">
        <v>20170328</v>
      </c>
      <c r="H370" s="22">
        <v>20170507</v>
      </c>
      <c r="I370" s="22" t="s">
        <v>40</v>
      </c>
      <c r="J370" s="22"/>
      <c r="K370" s="22"/>
      <c r="L370" s="22" t="s">
        <v>34</v>
      </c>
      <c r="M370" s="22" t="s">
        <v>34</v>
      </c>
      <c r="N370" s="22" t="s">
        <v>35</v>
      </c>
      <c r="O370" s="22" t="s">
        <v>35</v>
      </c>
      <c r="P370" s="22" t="s">
        <v>35</v>
      </c>
      <c r="Q370" s="22" t="s">
        <v>35</v>
      </c>
      <c r="R370" s="22" t="s">
        <v>35</v>
      </c>
      <c r="S370" s="22" t="s">
        <v>34</v>
      </c>
      <c r="T370" s="22"/>
      <c r="U370" s="22"/>
      <c r="V370" s="22"/>
      <c r="W370" s="22"/>
      <c r="X370" s="22"/>
      <c r="Y370" s="22"/>
      <c r="Z370" s="22"/>
      <c r="AA370" s="22"/>
      <c r="AB370" s="22"/>
      <c r="AC370" s="22" t="s">
        <v>1916</v>
      </c>
      <c r="AD370" s="22">
        <v>20170413</v>
      </c>
      <c r="AE370" s="22">
        <v>369</v>
      </c>
      <c r="AF370" s="22"/>
      <c r="AG370" s="22" t="str">
        <f>IFERROR(VLOOKUP(TblFeedFile[[#This Row],[Leave Type ]],LkupPayType[],2,FALSE),"TBD")</f>
        <v>Paid</v>
      </c>
      <c r="AH370" s="22"/>
      <c r="AI370" s="25"/>
      <c r="AJ370" s="25"/>
      <c r="AK370" s="26"/>
    </row>
    <row r="371" spans="1:37" x14ac:dyDescent="0.25">
      <c r="A371" s="21" t="s">
        <v>29</v>
      </c>
      <c r="B371" s="22">
        <v>314304</v>
      </c>
      <c r="C371" s="22">
        <v>23873872</v>
      </c>
      <c r="D371" s="23">
        <v>501701238088</v>
      </c>
      <c r="E371" s="22" t="s">
        <v>846</v>
      </c>
      <c r="F371" s="22" t="s">
        <v>847</v>
      </c>
      <c r="G371" s="22">
        <v>20170127</v>
      </c>
      <c r="H371" s="22">
        <v>20170221</v>
      </c>
      <c r="I371" s="22" t="s">
        <v>40</v>
      </c>
      <c r="J371" s="22"/>
      <c r="K371" s="22"/>
      <c r="L371" s="22" t="s">
        <v>34</v>
      </c>
      <c r="M371" s="22" t="s">
        <v>34</v>
      </c>
      <c r="N371" s="22" t="s">
        <v>35</v>
      </c>
      <c r="O371" s="22" t="s">
        <v>35</v>
      </c>
      <c r="P371" s="22" t="s">
        <v>35</v>
      </c>
      <c r="Q371" s="22" t="s">
        <v>35</v>
      </c>
      <c r="R371" s="22" t="s">
        <v>35</v>
      </c>
      <c r="S371" s="22" t="s">
        <v>34</v>
      </c>
      <c r="T371" s="22">
        <v>20170222</v>
      </c>
      <c r="U371" s="22"/>
      <c r="V371" s="22"/>
      <c r="W371" s="22"/>
      <c r="X371" s="22"/>
      <c r="Y371" s="22"/>
      <c r="Z371" s="22"/>
      <c r="AA371" s="22"/>
      <c r="AB371" s="22"/>
      <c r="AC371" s="22" t="s">
        <v>2029</v>
      </c>
      <c r="AD371" s="22">
        <v>20170413</v>
      </c>
      <c r="AE371" s="22">
        <v>370</v>
      </c>
      <c r="AF371" s="22"/>
      <c r="AG371" s="22" t="str">
        <f>IFERROR(VLOOKUP(TblFeedFile[[#This Row],[Leave Type ]],LkupPayType[],2,FALSE),"TBD")</f>
        <v>Paid</v>
      </c>
      <c r="AH371" s="22"/>
      <c r="AI371" s="25"/>
      <c r="AJ371" s="25"/>
      <c r="AK371" s="26"/>
    </row>
    <row r="372" spans="1:37" x14ac:dyDescent="0.25">
      <c r="A372" s="21" t="s">
        <v>37</v>
      </c>
      <c r="B372" s="22">
        <v>314304</v>
      </c>
      <c r="C372" s="22">
        <v>23873872</v>
      </c>
      <c r="D372" s="23">
        <v>501701238088</v>
      </c>
      <c r="E372" s="22" t="s">
        <v>846</v>
      </c>
      <c r="F372" s="22" t="s">
        <v>847</v>
      </c>
      <c r="G372" s="22">
        <v>20170127</v>
      </c>
      <c r="H372" s="22">
        <v>20170221</v>
      </c>
      <c r="I372" s="22" t="s">
        <v>40</v>
      </c>
      <c r="J372" s="22"/>
      <c r="K372" s="22"/>
      <c r="L372" s="22" t="s">
        <v>34</v>
      </c>
      <c r="M372" s="22" t="s">
        <v>35</v>
      </c>
      <c r="N372" s="22" t="s">
        <v>35</v>
      </c>
      <c r="O372" s="22" t="s">
        <v>35</v>
      </c>
      <c r="P372" s="22" t="s">
        <v>35</v>
      </c>
      <c r="Q372" s="22" t="s">
        <v>35</v>
      </c>
      <c r="R372" s="22" t="s">
        <v>34</v>
      </c>
      <c r="S372" s="22" t="s">
        <v>34</v>
      </c>
      <c r="T372" s="22">
        <v>20170222</v>
      </c>
      <c r="U372" s="22"/>
      <c r="V372" s="22"/>
      <c r="W372" s="22"/>
      <c r="X372" s="22"/>
      <c r="Y372" s="22"/>
      <c r="Z372" s="22"/>
      <c r="AA372" s="22"/>
      <c r="AB372" s="22"/>
      <c r="AC372" s="22" t="s">
        <v>2029</v>
      </c>
      <c r="AD372" s="22">
        <v>20170413</v>
      </c>
      <c r="AE372" s="22">
        <v>371</v>
      </c>
      <c r="AF372" s="22"/>
      <c r="AG372" s="22" t="str">
        <f>IFERROR(VLOOKUP(TblFeedFile[[#This Row],[Leave Type ]],LkupPayType[],2,FALSE),"TBD")</f>
        <v>Paid</v>
      </c>
      <c r="AH372" s="22"/>
      <c r="AI372" s="25"/>
      <c r="AJ372" s="25"/>
      <c r="AK372" s="26" t="s">
        <v>35</v>
      </c>
    </row>
    <row r="373" spans="1:37" x14ac:dyDescent="0.25">
      <c r="A373" s="21" t="s">
        <v>29</v>
      </c>
      <c r="B373" s="22">
        <v>314304</v>
      </c>
      <c r="C373" s="22">
        <v>23884542</v>
      </c>
      <c r="D373" s="23">
        <v>551702238815</v>
      </c>
      <c r="E373" s="22" t="s">
        <v>142</v>
      </c>
      <c r="F373" s="22" t="s">
        <v>2006</v>
      </c>
      <c r="G373" s="22">
        <v>20170214</v>
      </c>
      <c r="H373" s="22">
        <v>20170214</v>
      </c>
      <c r="I373" s="22" t="s">
        <v>43</v>
      </c>
      <c r="J373" s="22"/>
      <c r="K373" s="22"/>
      <c r="L373" s="22" t="s">
        <v>34</v>
      </c>
      <c r="M373" s="22" t="s">
        <v>34</v>
      </c>
      <c r="N373" s="22" t="s">
        <v>35</v>
      </c>
      <c r="O373" s="22" t="s">
        <v>35</v>
      </c>
      <c r="P373" s="22" t="s">
        <v>35</v>
      </c>
      <c r="Q373" s="22" t="s">
        <v>35</v>
      </c>
      <c r="R373" s="22" t="s">
        <v>35</v>
      </c>
      <c r="S373" s="22" t="s">
        <v>34</v>
      </c>
      <c r="T373" s="22"/>
      <c r="U373" s="22"/>
      <c r="V373" s="22"/>
      <c r="W373" s="22"/>
      <c r="X373" s="22"/>
      <c r="Y373" s="22"/>
      <c r="Z373" s="22"/>
      <c r="AA373" s="22"/>
      <c r="AB373" s="22"/>
      <c r="AC373" s="22" t="s">
        <v>1935</v>
      </c>
      <c r="AD373" s="22">
        <v>20170413</v>
      </c>
      <c r="AE373" s="22">
        <v>372</v>
      </c>
      <c r="AF373" s="22"/>
      <c r="AG373" s="22" t="str">
        <f>IFERROR(VLOOKUP(TblFeedFile[[#This Row],[Leave Type ]],LkupPayType[],2,FALSE),"TBD")</f>
        <v>Denied</v>
      </c>
      <c r="AH373" s="22"/>
      <c r="AI373" s="25"/>
      <c r="AJ373" s="25"/>
      <c r="AK373" s="26"/>
    </row>
    <row r="374" spans="1:37" x14ac:dyDescent="0.25">
      <c r="A374" s="21" t="s">
        <v>37</v>
      </c>
      <c r="B374" s="22">
        <v>314304</v>
      </c>
      <c r="C374" s="22">
        <v>23884542</v>
      </c>
      <c r="D374" s="23">
        <v>551702238815</v>
      </c>
      <c r="E374" s="22" t="s">
        <v>142</v>
      </c>
      <c r="F374" s="22" t="s">
        <v>2006</v>
      </c>
      <c r="G374" s="22">
        <v>20170214</v>
      </c>
      <c r="H374" s="22">
        <v>20170501</v>
      </c>
      <c r="I374" s="22" t="s">
        <v>53</v>
      </c>
      <c r="J374" s="22"/>
      <c r="K374" s="22"/>
      <c r="L374" s="22" t="s">
        <v>34</v>
      </c>
      <c r="M374" s="22" t="s">
        <v>34</v>
      </c>
      <c r="N374" s="22" t="s">
        <v>35</v>
      </c>
      <c r="O374" s="22" t="s">
        <v>35</v>
      </c>
      <c r="P374" s="22" t="s">
        <v>35</v>
      </c>
      <c r="Q374" s="22" t="s">
        <v>35</v>
      </c>
      <c r="R374" s="22" t="s">
        <v>35</v>
      </c>
      <c r="S374" s="22" t="s">
        <v>34</v>
      </c>
      <c r="T374" s="22"/>
      <c r="U374" s="22"/>
      <c r="V374" s="22"/>
      <c r="W374" s="22"/>
      <c r="X374" s="22"/>
      <c r="Y374" s="22"/>
      <c r="Z374" s="22"/>
      <c r="AA374" s="22"/>
      <c r="AB374" s="22"/>
      <c r="AC374" s="22" t="s">
        <v>1902</v>
      </c>
      <c r="AD374" s="22">
        <v>20170413</v>
      </c>
      <c r="AE374" s="22">
        <v>373</v>
      </c>
      <c r="AF374" s="22"/>
      <c r="AG374" s="22" t="str">
        <f>IFERROR(VLOOKUP(TblFeedFile[[#This Row],[Leave Type ]],LkupPayType[],2,FALSE),"TBD")</f>
        <v>Paid</v>
      </c>
      <c r="AH374" s="22"/>
      <c r="AI374" s="25"/>
      <c r="AJ374" s="25"/>
      <c r="AK374" s="26"/>
    </row>
    <row r="375" spans="1:37" x14ac:dyDescent="0.25">
      <c r="A375" s="21" t="s">
        <v>37</v>
      </c>
      <c r="B375" s="22">
        <v>314304</v>
      </c>
      <c r="C375" s="22">
        <v>23884542</v>
      </c>
      <c r="D375" s="23" t="s">
        <v>2344</v>
      </c>
      <c r="E375" s="22" t="s">
        <v>142</v>
      </c>
      <c r="F375" s="22" t="s">
        <v>2006</v>
      </c>
      <c r="G375" s="22">
        <v>20170221</v>
      </c>
      <c r="H375" s="22">
        <v>20170501</v>
      </c>
      <c r="I375" s="22" t="s">
        <v>36</v>
      </c>
      <c r="J375" s="22"/>
      <c r="K375" s="22"/>
      <c r="L375" s="22" t="s">
        <v>34</v>
      </c>
      <c r="M375" s="22" t="s">
        <v>34</v>
      </c>
      <c r="N375" s="22" t="s">
        <v>35</v>
      </c>
      <c r="O375" s="22" t="s">
        <v>35</v>
      </c>
      <c r="P375" s="22" t="s">
        <v>35</v>
      </c>
      <c r="Q375" s="22" t="s">
        <v>35</v>
      </c>
      <c r="R375" s="22" t="s">
        <v>35</v>
      </c>
      <c r="S375" s="22" t="s">
        <v>34</v>
      </c>
      <c r="T375" s="22"/>
      <c r="U375" s="22"/>
      <c r="V375" s="22"/>
      <c r="W375" s="22"/>
      <c r="X375" s="22"/>
      <c r="Y375" s="22"/>
      <c r="Z375" s="22"/>
      <c r="AA375" s="22"/>
      <c r="AB375" s="22"/>
      <c r="AC375" s="22" t="s">
        <v>1927</v>
      </c>
      <c r="AD375" s="22">
        <v>20170413</v>
      </c>
      <c r="AE375" s="22">
        <v>374</v>
      </c>
      <c r="AF375" s="22"/>
      <c r="AG375" s="22" t="str">
        <f>IFERROR(VLOOKUP(TblFeedFile[[#This Row],[Leave Type ]],LkupPayType[],2,FALSE),"TBD")</f>
        <v>Unpaid</v>
      </c>
      <c r="AH375" s="22"/>
      <c r="AI375" s="25"/>
      <c r="AJ375" s="25"/>
      <c r="AK375" s="26"/>
    </row>
    <row r="376" spans="1:37" x14ac:dyDescent="0.25">
      <c r="A376" s="21" t="s">
        <v>29</v>
      </c>
      <c r="B376" s="22">
        <v>314304</v>
      </c>
      <c r="C376" s="22">
        <v>23921024</v>
      </c>
      <c r="D376" s="23" t="s">
        <v>2345</v>
      </c>
      <c r="E376" s="22" t="s">
        <v>47</v>
      </c>
      <c r="F376" s="22" t="s">
        <v>2346</v>
      </c>
      <c r="G376" s="22">
        <v>20170410</v>
      </c>
      <c r="H376" s="22">
        <v>20170501</v>
      </c>
      <c r="I376" s="22" t="s">
        <v>78</v>
      </c>
      <c r="J376" s="22"/>
      <c r="K376" s="22" t="s">
        <v>79</v>
      </c>
      <c r="L376" s="22" t="s">
        <v>35</v>
      </c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 t="s">
        <v>1945</v>
      </c>
      <c r="AD376" s="22">
        <v>20170413</v>
      </c>
      <c r="AE376" s="22">
        <v>375</v>
      </c>
      <c r="AF376" s="22"/>
      <c r="AG376" s="22" t="str">
        <f>IFERROR(VLOOKUP(TblFeedFile[[#This Row],[Leave Type ]],LkupPayType[],2,FALSE),"TBD")</f>
        <v>Unpaid</v>
      </c>
      <c r="AH376" s="22"/>
      <c r="AI376" s="25"/>
      <c r="AJ376" s="25"/>
      <c r="AK376" s="26"/>
    </row>
    <row r="377" spans="1:37" x14ac:dyDescent="0.25">
      <c r="A377" s="21" t="s">
        <v>37</v>
      </c>
      <c r="B377" s="22">
        <v>314304</v>
      </c>
      <c r="C377" s="22">
        <v>23921024</v>
      </c>
      <c r="D377" s="23" t="s">
        <v>2345</v>
      </c>
      <c r="E377" s="22" t="s">
        <v>47</v>
      </c>
      <c r="F377" s="22" t="s">
        <v>2346</v>
      </c>
      <c r="G377" s="22">
        <v>20170410</v>
      </c>
      <c r="H377" s="22">
        <v>20170501</v>
      </c>
      <c r="I377" s="22" t="s">
        <v>36</v>
      </c>
      <c r="J377" s="22"/>
      <c r="K377" s="22"/>
      <c r="L377" s="22" t="s">
        <v>35</v>
      </c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 t="s">
        <v>1924</v>
      </c>
      <c r="AD377" s="22">
        <v>20170413</v>
      </c>
      <c r="AE377" s="22">
        <v>376</v>
      </c>
      <c r="AF377" s="22"/>
      <c r="AG377" s="22" t="str">
        <f>IFERROR(VLOOKUP(TblFeedFile[[#This Row],[Leave Type ]],LkupPayType[],2,FALSE),"TBD")</f>
        <v>Unpaid</v>
      </c>
      <c r="AH377" s="22"/>
      <c r="AI377" s="25"/>
      <c r="AJ377" s="25"/>
      <c r="AK377" s="26"/>
    </row>
    <row r="378" spans="1:37" x14ac:dyDescent="0.25">
      <c r="A378" s="21" t="s">
        <v>29</v>
      </c>
      <c r="B378" s="22">
        <v>314304</v>
      </c>
      <c r="C378" s="22">
        <v>23925689</v>
      </c>
      <c r="D378" s="23" t="s">
        <v>2347</v>
      </c>
      <c r="E378" s="22" t="s">
        <v>95</v>
      </c>
      <c r="F378" s="22" t="s">
        <v>2348</v>
      </c>
      <c r="G378" s="22">
        <v>20170322</v>
      </c>
      <c r="H378" s="22">
        <v>20170412</v>
      </c>
      <c r="I378" s="22" t="s">
        <v>36</v>
      </c>
      <c r="J378" s="22"/>
      <c r="K378" s="22"/>
      <c r="L378" s="22" t="s">
        <v>34</v>
      </c>
      <c r="M378" s="22" t="s">
        <v>34</v>
      </c>
      <c r="N378" s="22" t="s">
        <v>35</v>
      </c>
      <c r="O378" s="22" t="s">
        <v>35</v>
      </c>
      <c r="P378" s="22" t="s">
        <v>35</v>
      </c>
      <c r="Q378" s="22" t="s">
        <v>35</v>
      </c>
      <c r="R378" s="22" t="s">
        <v>35</v>
      </c>
      <c r="S378" s="22" t="s">
        <v>34</v>
      </c>
      <c r="T378" s="22"/>
      <c r="U378" s="22"/>
      <c r="V378" s="22"/>
      <c r="W378" s="22"/>
      <c r="X378" s="22"/>
      <c r="Y378" s="22"/>
      <c r="Z378" s="22"/>
      <c r="AA378" s="22"/>
      <c r="AB378" s="22"/>
      <c r="AC378" s="22" t="s">
        <v>1901</v>
      </c>
      <c r="AD378" s="22">
        <v>20170413</v>
      </c>
      <c r="AE378" s="22">
        <v>377</v>
      </c>
      <c r="AF378" s="22"/>
      <c r="AG378" s="22" t="str">
        <f>IFERROR(VLOOKUP(TblFeedFile[[#This Row],[Leave Type ]],LkupPayType[],2,FALSE),"TBD")</f>
        <v>Unpaid</v>
      </c>
      <c r="AH378" s="22"/>
      <c r="AI378" s="25"/>
      <c r="AJ378" s="25"/>
      <c r="AK378" s="26"/>
    </row>
    <row r="379" spans="1:37" x14ac:dyDescent="0.25">
      <c r="A379" s="21" t="s">
        <v>37</v>
      </c>
      <c r="B379" s="22">
        <v>314304</v>
      </c>
      <c r="C379" s="22">
        <v>23925689</v>
      </c>
      <c r="D379" s="23" t="s">
        <v>2347</v>
      </c>
      <c r="E379" s="22" t="s">
        <v>95</v>
      </c>
      <c r="F379" s="22" t="s">
        <v>2348</v>
      </c>
      <c r="G379" s="22">
        <v>20170413</v>
      </c>
      <c r="H379" s="22">
        <v>20170413</v>
      </c>
      <c r="I379" s="22" t="s">
        <v>33</v>
      </c>
      <c r="J379" s="22"/>
      <c r="K379" s="22"/>
      <c r="L379" s="22" t="s">
        <v>34</v>
      </c>
      <c r="M379" s="22" t="s">
        <v>34</v>
      </c>
      <c r="N379" s="22" t="s">
        <v>35</v>
      </c>
      <c r="O379" s="22" t="s">
        <v>35</v>
      </c>
      <c r="P379" s="22" t="s">
        <v>35</v>
      </c>
      <c r="Q379" s="22" t="s">
        <v>35</v>
      </c>
      <c r="R379" s="22" t="s">
        <v>35</v>
      </c>
      <c r="S379" s="22" t="s">
        <v>34</v>
      </c>
      <c r="T379" s="22"/>
      <c r="U379" s="22"/>
      <c r="V379" s="22"/>
      <c r="W379" s="22"/>
      <c r="X379" s="22"/>
      <c r="Y379" s="22"/>
      <c r="Z379" s="22"/>
      <c r="AA379" s="22"/>
      <c r="AB379" s="22"/>
      <c r="AC379" s="22" t="s">
        <v>1911</v>
      </c>
      <c r="AD379" s="22">
        <v>20170413</v>
      </c>
      <c r="AE379" s="22">
        <v>378</v>
      </c>
      <c r="AF379" s="22"/>
      <c r="AG379" s="22" t="str">
        <f>IFERROR(VLOOKUP(TblFeedFile[[#This Row],[Leave Type ]],LkupPayType[],2,FALSE),"TBD")</f>
        <v>Closed</v>
      </c>
      <c r="AH379" s="22"/>
      <c r="AI379" s="25"/>
      <c r="AJ379" s="25"/>
      <c r="AK379" s="26"/>
    </row>
    <row r="380" spans="1:37" x14ac:dyDescent="0.25">
      <c r="A380" s="21" t="s">
        <v>37</v>
      </c>
      <c r="B380" s="22">
        <v>314304</v>
      </c>
      <c r="C380" s="22">
        <v>23947691</v>
      </c>
      <c r="D380" s="23">
        <v>531703308293</v>
      </c>
      <c r="E380" s="22" t="s">
        <v>2349</v>
      </c>
      <c r="F380" s="22" t="s">
        <v>2350</v>
      </c>
      <c r="G380" s="22">
        <v>20170409</v>
      </c>
      <c r="H380" s="22">
        <v>20170523</v>
      </c>
      <c r="I380" s="22" t="s">
        <v>53</v>
      </c>
      <c r="J380" s="22"/>
      <c r="K380" s="22"/>
      <c r="L380" s="22" t="s">
        <v>34</v>
      </c>
      <c r="M380" s="22" t="s">
        <v>34</v>
      </c>
      <c r="N380" s="22" t="s">
        <v>35</v>
      </c>
      <c r="O380" s="22" t="s">
        <v>35</v>
      </c>
      <c r="P380" s="22" t="s">
        <v>35</v>
      </c>
      <c r="Q380" s="22" t="s">
        <v>35</v>
      </c>
      <c r="R380" s="22" t="s">
        <v>35</v>
      </c>
      <c r="S380" s="22" t="s">
        <v>34</v>
      </c>
      <c r="T380" s="22"/>
      <c r="U380" s="22"/>
      <c r="V380" s="22"/>
      <c r="W380" s="22"/>
      <c r="X380" s="22"/>
      <c r="Y380" s="22"/>
      <c r="Z380" s="22"/>
      <c r="AA380" s="22"/>
      <c r="AB380" s="22"/>
      <c r="AC380" s="22" t="s">
        <v>1900</v>
      </c>
      <c r="AD380" s="22">
        <v>20170413</v>
      </c>
      <c r="AE380" s="22">
        <v>379</v>
      </c>
      <c r="AF380" s="22"/>
      <c r="AG380" s="22" t="str">
        <f>IFERROR(VLOOKUP(TblFeedFile[[#This Row],[Leave Type ]],LkupPayType[],2,FALSE),"TBD")</f>
        <v>Paid</v>
      </c>
      <c r="AH380" s="22"/>
      <c r="AI380" s="25"/>
      <c r="AJ380" s="25"/>
      <c r="AK380" s="26"/>
    </row>
    <row r="381" spans="1:37" x14ac:dyDescent="0.25">
      <c r="A381" s="21" t="s">
        <v>37</v>
      </c>
      <c r="B381" s="22">
        <v>314304</v>
      </c>
      <c r="C381" s="22">
        <v>23970970</v>
      </c>
      <c r="D381" s="23">
        <v>511703318441</v>
      </c>
      <c r="E381" s="22" t="s">
        <v>2071</v>
      </c>
      <c r="F381" s="22" t="s">
        <v>2351</v>
      </c>
      <c r="G381" s="22">
        <v>20170327</v>
      </c>
      <c r="H381" s="22">
        <v>20170609</v>
      </c>
      <c r="I381" s="22" t="s">
        <v>40</v>
      </c>
      <c r="J381" s="22"/>
      <c r="K381" s="22"/>
      <c r="L381" s="22" t="s">
        <v>34</v>
      </c>
      <c r="M381" s="22" t="s">
        <v>34</v>
      </c>
      <c r="N381" s="22" t="s">
        <v>35</v>
      </c>
      <c r="O381" s="22" t="s">
        <v>35</v>
      </c>
      <c r="P381" s="22" t="s">
        <v>35</v>
      </c>
      <c r="Q381" s="22" t="s">
        <v>35</v>
      </c>
      <c r="R381" s="22" t="s">
        <v>35</v>
      </c>
      <c r="S381" s="22" t="s">
        <v>34</v>
      </c>
      <c r="T381" s="22"/>
      <c r="U381" s="22"/>
      <c r="V381" s="22"/>
      <c r="W381" s="22"/>
      <c r="X381" s="22"/>
      <c r="Y381" s="22"/>
      <c r="Z381" s="22"/>
      <c r="AA381" s="22"/>
      <c r="AB381" s="22"/>
      <c r="AC381" s="22" t="s">
        <v>1923</v>
      </c>
      <c r="AD381" s="22">
        <v>20170413</v>
      </c>
      <c r="AE381" s="22">
        <v>380</v>
      </c>
      <c r="AF381" s="22"/>
      <c r="AG381" s="22" t="str">
        <f>IFERROR(VLOOKUP(TblFeedFile[[#This Row],[Leave Type ]],LkupPayType[],2,FALSE),"TBD")</f>
        <v>Paid</v>
      </c>
      <c r="AH381" s="22"/>
      <c r="AI381" s="25"/>
      <c r="AJ381" s="25"/>
      <c r="AK381" s="26"/>
    </row>
    <row r="382" spans="1:37" x14ac:dyDescent="0.25">
      <c r="A382" s="21" t="s">
        <v>37</v>
      </c>
      <c r="B382" s="22">
        <v>314304</v>
      </c>
      <c r="C382" s="22">
        <v>24079736</v>
      </c>
      <c r="D382" s="23" t="s">
        <v>2352</v>
      </c>
      <c r="E382" s="22" t="s">
        <v>2353</v>
      </c>
      <c r="F382" s="22" t="s">
        <v>677</v>
      </c>
      <c r="G382" s="22">
        <v>20170330</v>
      </c>
      <c r="H382" s="22">
        <v>20170414</v>
      </c>
      <c r="I382" s="22" t="s">
        <v>36</v>
      </c>
      <c r="J382" s="22"/>
      <c r="K382" s="22"/>
      <c r="L382" s="22" t="s">
        <v>34</v>
      </c>
      <c r="M382" s="22" t="s">
        <v>34</v>
      </c>
      <c r="N382" s="22" t="s">
        <v>35</v>
      </c>
      <c r="O382" s="22" t="s">
        <v>35</v>
      </c>
      <c r="P382" s="22" t="s">
        <v>35</v>
      </c>
      <c r="Q382" s="22" t="s">
        <v>35</v>
      </c>
      <c r="R382" s="22" t="s">
        <v>35</v>
      </c>
      <c r="S382" s="22" t="s">
        <v>34</v>
      </c>
      <c r="T382" s="22"/>
      <c r="U382" s="22"/>
      <c r="V382" s="22"/>
      <c r="W382" s="22"/>
      <c r="X382" s="22"/>
      <c r="Y382" s="22"/>
      <c r="Z382" s="22"/>
      <c r="AA382" s="22"/>
      <c r="AB382" s="22"/>
      <c r="AC382" s="22" t="s">
        <v>1895</v>
      </c>
      <c r="AD382" s="22">
        <v>20170413</v>
      </c>
      <c r="AE382" s="22">
        <v>381</v>
      </c>
      <c r="AF382" s="22"/>
      <c r="AG382" s="22" t="str">
        <f>IFERROR(VLOOKUP(TblFeedFile[[#This Row],[Leave Type ]],LkupPayType[],2,FALSE),"TBD")</f>
        <v>Unpaid</v>
      </c>
      <c r="AH382" s="22"/>
      <c r="AI382" s="25"/>
      <c r="AJ382" s="25"/>
      <c r="AK382" s="26"/>
    </row>
    <row r="383" spans="1:37" x14ac:dyDescent="0.25">
      <c r="A383" s="21" t="s">
        <v>37</v>
      </c>
      <c r="B383" s="22">
        <v>314304</v>
      </c>
      <c r="C383" s="22">
        <v>24094380</v>
      </c>
      <c r="D383" s="23" t="s">
        <v>2354</v>
      </c>
      <c r="E383" s="22" t="s">
        <v>331</v>
      </c>
      <c r="F383" s="22" t="s">
        <v>2355</v>
      </c>
      <c r="G383" s="22">
        <v>20170410</v>
      </c>
      <c r="H383" s="22">
        <v>20170414</v>
      </c>
      <c r="I383" s="22" t="s">
        <v>78</v>
      </c>
      <c r="J383" s="22"/>
      <c r="K383" s="22" t="s">
        <v>79</v>
      </c>
      <c r="L383" s="22" t="s">
        <v>34</v>
      </c>
      <c r="M383" s="22" t="s">
        <v>34</v>
      </c>
      <c r="N383" s="22" t="s">
        <v>35</v>
      </c>
      <c r="O383" s="22" t="s">
        <v>35</v>
      </c>
      <c r="P383" s="22" t="s">
        <v>35</v>
      </c>
      <c r="Q383" s="22" t="s">
        <v>35</v>
      </c>
      <c r="R383" s="22" t="s">
        <v>35</v>
      </c>
      <c r="S383" s="22" t="s">
        <v>34</v>
      </c>
      <c r="T383" s="22"/>
      <c r="U383" s="22"/>
      <c r="V383" s="22"/>
      <c r="W383" s="22"/>
      <c r="X383" s="22"/>
      <c r="Y383" s="22"/>
      <c r="Z383" s="22"/>
      <c r="AA383" s="22"/>
      <c r="AB383" s="22"/>
      <c r="AC383" s="22" t="s">
        <v>1908</v>
      </c>
      <c r="AD383" s="22">
        <v>20170413</v>
      </c>
      <c r="AE383" s="22">
        <v>382</v>
      </c>
      <c r="AF383" s="22"/>
      <c r="AG383" s="22" t="str">
        <f>IFERROR(VLOOKUP(TblFeedFile[[#This Row],[Leave Type ]],LkupPayType[],2,FALSE),"TBD")</f>
        <v>Unpaid</v>
      </c>
      <c r="AH383" s="22"/>
      <c r="AI383" s="25"/>
      <c r="AJ383" s="25"/>
      <c r="AK383" s="26"/>
    </row>
    <row r="384" spans="1:37" x14ac:dyDescent="0.25">
      <c r="A384" s="21" t="s">
        <v>37</v>
      </c>
      <c r="B384" s="22">
        <v>314304</v>
      </c>
      <c r="C384" s="22">
        <v>24117767</v>
      </c>
      <c r="D384" s="23" t="s">
        <v>2356</v>
      </c>
      <c r="E384" s="22" t="s">
        <v>55</v>
      </c>
      <c r="F384" s="22" t="s">
        <v>2357</v>
      </c>
      <c r="G384" s="22">
        <v>20170327</v>
      </c>
      <c r="H384" s="22">
        <v>20170413</v>
      </c>
      <c r="I384" s="22" t="s">
        <v>423</v>
      </c>
      <c r="J384" s="22"/>
      <c r="K384" s="22"/>
      <c r="L384" s="22" t="s">
        <v>34</v>
      </c>
      <c r="M384" s="22" t="s">
        <v>34</v>
      </c>
      <c r="N384" s="22" t="s">
        <v>35</v>
      </c>
      <c r="O384" s="22" t="s">
        <v>35</v>
      </c>
      <c r="P384" s="22" t="s">
        <v>35</v>
      </c>
      <c r="Q384" s="22" t="s">
        <v>35</v>
      </c>
      <c r="R384" s="22" t="s">
        <v>35</v>
      </c>
      <c r="S384" s="22" t="s">
        <v>34</v>
      </c>
      <c r="T384" s="22">
        <v>20170414</v>
      </c>
      <c r="U384" s="22"/>
      <c r="V384" s="22"/>
      <c r="W384" s="22"/>
      <c r="X384" s="22"/>
      <c r="Y384" s="22"/>
      <c r="Z384" s="22"/>
      <c r="AA384" s="22"/>
      <c r="AB384" s="22"/>
      <c r="AC384" s="22" t="s">
        <v>1897</v>
      </c>
      <c r="AD384" s="22">
        <v>20170413</v>
      </c>
      <c r="AE384" s="22">
        <v>383</v>
      </c>
      <c r="AF384" s="22"/>
      <c r="AG384" s="22" t="str">
        <f>IFERROR(VLOOKUP(TblFeedFile[[#This Row],[Leave Type ]],LkupPayType[],2,FALSE),"TBD")</f>
        <v>Paid</v>
      </c>
      <c r="AH384" s="22"/>
      <c r="AI384" s="25"/>
      <c r="AJ384" s="25"/>
      <c r="AK384" s="26" t="s">
        <v>35</v>
      </c>
    </row>
    <row r="385" spans="1:37" x14ac:dyDescent="0.25">
      <c r="A385" s="21" t="s">
        <v>29</v>
      </c>
      <c r="B385" s="22">
        <v>314304</v>
      </c>
      <c r="C385" s="22">
        <v>24129224</v>
      </c>
      <c r="D385" s="23">
        <v>501703278608</v>
      </c>
      <c r="E385" s="22" t="s">
        <v>405</v>
      </c>
      <c r="F385" s="22" t="s">
        <v>2358</v>
      </c>
      <c r="G385" s="22">
        <v>20170327</v>
      </c>
      <c r="H385" s="22">
        <v>20170426</v>
      </c>
      <c r="I385" s="22" t="s">
        <v>40</v>
      </c>
      <c r="J385" s="22"/>
      <c r="K385" s="22"/>
      <c r="L385" s="22" t="s">
        <v>34</v>
      </c>
      <c r="M385" s="22" t="s">
        <v>34</v>
      </c>
      <c r="N385" s="22" t="s">
        <v>35</v>
      </c>
      <c r="O385" s="22" t="s">
        <v>35</v>
      </c>
      <c r="P385" s="22" t="s">
        <v>35</v>
      </c>
      <c r="Q385" s="22" t="s">
        <v>35</v>
      </c>
      <c r="R385" s="22" t="s">
        <v>35</v>
      </c>
      <c r="S385" s="22" t="s">
        <v>34</v>
      </c>
      <c r="T385" s="22"/>
      <c r="U385" s="22"/>
      <c r="V385" s="22"/>
      <c r="W385" s="22"/>
      <c r="X385" s="22"/>
      <c r="Y385" s="22"/>
      <c r="Z385" s="22"/>
      <c r="AA385" s="22"/>
      <c r="AB385" s="22"/>
      <c r="AC385" s="22" t="s">
        <v>1922</v>
      </c>
      <c r="AD385" s="22">
        <v>20170413</v>
      </c>
      <c r="AE385" s="22">
        <v>384</v>
      </c>
      <c r="AF385" s="22"/>
      <c r="AG385" s="22" t="str">
        <f>IFERROR(VLOOKUP(TblFeedFile[[#This Row],[Leave Type ]],LkupPayType[],2,FALSE),"TBD")</f>
        <v>Paid</v>
      </c>
      <c r="AH385" s="22"/>
      <c r="AI385" s="25"/>
      <c r="AJ385" s="25"/>
      <c r="AK385" s="26"/>
    </row>
    <row r="386" spans="1:37" x14ac:dyDescent="0.25">
      <c r="A386" s="21" t="s">
        <v>37</v>
      </c>
      <c r="B386" s="22">
        <v>314304</v>
      </c>
      <c r="C386" s="22">
        <v>24129224</v>
      </c>
      <c r="D386" s="23">
        <v>501703278608</v>
      </c>
      <c r="E386" s="22" t="s">
        <v>405</v>
      </c>
      <c r="F386" s="22" t="s">
        <v>2358</v>
      </c>
      <c r="G386" s="22">
        <v>20170327</v>
      </c>
      <c r="H386" s="22">
        <v>20170409</v>
      </c>
      <c r="I386" s="22" t="s">
        <v>40</v>
      </c>
      <c r="J386" s="22"/>
      <c r="K386" s="22"/>
      <c r="L386" s="22" t="s">
        <v>34</v>
      </c>
      <c r="M386" s="22" t="s">
        <v>34</v>
      </c>
      <c r="N386" s="22" t="s">
        <v>35</v>
      </c>
      <c r="O386" s="22" t="s">
        <v>35</v>
      </c>
      <c r="P386" s="22" t="s">
        <v>35</v>
      </c>
      <c r="Q386" s="22" t="s">
        <v>35</v>
      </c>
      <c r="R386" s="22" t="s">
        <v>35</v>
      </c>
      <c r="S386" s="22" t="s">
        <v>34</v>
      </c>
      <c r="T386" s="22">
        <v>20170410</v>
      </c>
      <c r="U386" s="22"/>
      <c r="V386" s="22"/>
      <c r="W386" s="22"/>
      <c r="X386" s="22"/>
      <c r="Y386" s="22"/>
      <c r="Z386" s="22"/>
      <c r="AA386" s="22"/>
      <c r="AB386" s="22"/>
      <c r="AC386" s="22" t="s">
        <v>1904</v>
      </c>
      <c r="AD386" s="22">
        <v>20170413</v>
      </c>
      <c r="AE386" s="22">
        <v>385</v>
      </c>
      <c r="AF386" s="22"/>
      <c r="AG386" s="22" t="str">
        <f>IFERROR(VLOOKUP(TblFeedFile[[#This Row],[Leave Type ]],LkupPayType[],2,FALSE),"TBD")</f>
        <v>Paid</v>
      </c>
      <c r="AH386" s="22"/>
      <c r="AI386" s="25"/>
      <c r="AJ386" s="25"/>
      <c r="AK386" s="26" t="s">
        <v>35</v>
      </c>
    </row>
    <row r="387" spans="1:37" x14ac:dyDescent="0.25">
      <c r="A387" s="21" t="s">
        <v>37</v>
      </c>
      <c r="B387" s="22">
        <v>314301</v>
      </c>
      <c r="C387" s="22">
        <v>24131386</v>
      </c>
      <c r="D387" s="23" t="s">
        <v>2359</v>
      </c>
      <c r="E387" s="22" t="s">
        <v>2360</v>
      </c>
      <c r="F387" s="22" t="s">
        <v>2361</v>
      </c>
      <c r="G387" s="22">
        <v>20170330</v>
      </c>
      <c r="H387" s="22">
        <v>20170608</v>
      </c>
      <c r="I387" s="22" t="s">
        <v>156</v>
      </c>
      <c r="J387" s="22"/>
      <c r="K387" s="22"/>
      <c r="L387" s="22" t="s">
        <v>34</v>
      </c>
      <c r="M387" s="22" t="s">
        <v>34</v>
      </c>
      <c r="N387" s="22" t="s">
        <v>35</v>
      </c>
      <c r="O387" s="22" t="s">
        <v>35</v>
      </c>
      <c r="P387" s="22" t="s">
        <v>35</v>
      </c>
      <c r="Q387" s="22" t="s">
        <v>35</v>
      </c>
      <c r="R387" s="22" t="s">
        <v>35</v>
      </c>
      <c r="S387" s="22" t="s">
        <v>34</v>
      </c>
      <c r="T387" s="22"/>
      <c r="U387" s="22"/>
      <c r="V387" s="22"/>
      <c r="W387" s="22"/>
      <c r="X387" s="22"/>
      <c r="Y387" s="22"/>
      <c r="Z387" s="22"/>
      <c r="AA387" s="22"/>
      <c r="AB387" s="22"/>
      <c r="AC387" s="22" t="s">
        <v>1935</v>
      </c>
      <c r="AD387" s="22">
        <v>20170413</v>
      </c>
      <c r="AE387" s="22">
        <v>386</v>
      </c>
      <c r="AF387" s="22"/>
      <c r="AG387" s="22" t="str">
        <f>IFERROR(VLOOKUP(TblFeedFile[[#This Row],[Leave Type ]],LkupPayType[],2,FALSE),"TBD")</f>
        <v>Unpaid</v>
      </c>
      <c r="AH387" s="22"/>
      <c r="AI387" s="25"/>
      <c r="AJ387" s="25"/>
      <c r="AK387" s="26"/>
    </row>
    <row r="388" spans="1:37" x14ac:dyDescent="0.25">
      <c r="A388" s="21" t="s">
        <v>37</v>
      </c>
      <c r="B388" s="22">
        <v>314301</v>
      </c>
      <c r="C388" s="22">
        <v>24137227</v>
      </c>
      <c r="D388" s="23" t="s">
        <v>2362</v>
      </c>
      <c r="E388" s="22" t="s">
        <v>1140</v>
      </c>
      <c r="F388" s="22" t="s">
        <v>2363</v>
      </c>
      <c r="G388" s="22">
        <v>20170410</v>
      </c>
      <c r="H388" s="22">
        <v>20170730</v>
      </c>
      <c r="I388" s="22" t="s">
        <v>223</v>
      </c>
      <c r="J388" s="22"/>
      <c r="K388" s="22"/>
      <c r="L388" s="22" t="s">
        <v>34</v>
      </c>
      <c r="M388" s="22" t="s">
        <v>34</v>
      </c>
      <c r="N388" s="22" t="s">
        <v>35</v>
      </c>
      <c r="O388" s="22" t="s">
        <v>35</v>
      </c>
      <c r="P388" s="22" t="s">
        <v>35</v>
      </c>
      <c r="Q388" s="22" t="s">
        <v>35</v>
      </c>
      <c r="R388" s="22" t="s">
        <v>35</v>
      </c>
      <c r="S388" s="22" t="s">
        <v>34</v>
      </c>
      <c r="T388" s="22"/>
      <c r="U388" s="22"/>
      <c r="V388" s="22"/>
      <c r="W388" s="22"/>
      <c r="X388" s="22"/>
      <c r="Y388" s="22"/>
      <c r="Z388" s="22"/>
      <c r="AA388" s="22"/>
      <c r="AB388" s="22"/>
      <c r="AC388" s="22" t="s">
        <v>1943</v>
      </c>
      <c r="AD388" s="22">
        <v>20170413</v>
      </c>
      <c r="AE388" s="22">
        <v>387</v>
      </c>
      <c r="AF388" s="22"/>
      <c r="AG388" s="22" t="str">
        <f>IFERROR(VLOOKUP(TblFeedFile[[#This Row],[Leave Type ]],LkupPayType[],2,FALSE),"TBD")</f>
        <v>Paid</v>
      </c>
      <c r="AH388" s="22"/>
      <c r="AI388" s="25"/>
      <c r="AJ388" s="25"/>
      <c r="AK388" s="26"/>
    </row>
    <row r="389" spans="1:37" x14ac:dyDescent="0.25">
      <c r="A389" s="21" t="s">
        <v>29</v>
      </c>
      <c r="B389" s="22">
        <v>314304</v>
      </c>
      <c r="C389" s="22">
        <v>24146198</v>
      </c>
      <c r="D389" s="23" t="s">
        <v>2364</v>
      </c>
      <c r="E389" s="22" t="s">
        <v>766</v>
      </c>
      <c r="F389" s="22" t="s">
        <v>2365</v>
      </c>
      <c r="G389" s="22">
        <v>20161222</v>
      </c>
      <c r="H389" s="22">
        <v>20170412</v>
      </c>
      <c r="I389" s="22" t="s">
        <v>185</v>
      </c>
      <c r="J389" s="22"/>
      <c r="K389" s="22"/>
      <c r="L389" s="22" t="s">
        <v>34</v>
      </c>
      <c r="M389" s="22" t="s">
        <v>34</v>
      </c>
      <c r="N389" s="22" t="s">
        <v>35</v>
      </c>
      <c r="O389" s="22" t="s">
        <v>35</v>
      </c>
      <c r="P389" s="22" t="s">
        <v>35</v>
      </c>
      <c r="Q389" s="22" t="s">
        <v>35</v>
      </c>
      <c r="R389" s="22" t="s">
        <v>35</v>
      </c>
      <c r="S389" s="22" t="s">
        <v>34</v>
      </c>
      <c r="T389" s="22"/>
      <c r="U389" s="22"/>
      <c r="V389" s="22"/>
      <c r="W389" s="22"/>
      <c r="X389" s="22"/>
      <c r="Y389" s="22"/>
      <c r="Z389" s="22"/>
      <c r="AA389" s="22"/>
      <c r="AB389" s="22"/>
      <c r="AC389" s="22" t="s">
        <v>1972</v>
      </c>
      <c r="AD389" s="22">
        <v>20170413</v>
      </c>
      <c r="AE389" s="22">
        <v>388</v>
      </c>
      <c r="AF389" s="22"/>
      <c r="AG389" s="22" t="str">
        <f>IFERROR(VLOOKUP(TblFeedFile[[#This Row],[Leave Type ]],LkupPayType[],2,FALSE),"TBD")</f>
        <v>Unpaid</v>
      </c>
      <c r="AH389" s="22"/>
      <c r="AI389" s="25"/>
      <c r="AJ389" s="25"/>
      <c r="AK389" s="26"/>
    </row>
    <row r="390" spans="1:37" x14ac:dyDescent="0.25">
      <c r="A390" s="21" t="s">
        <v>37</v>
      </c>
      <c r="B390" s="22">
        <v>314304</v>
      </c>
      <c r="C390" s="22">
        <v>24146198</v>
      </c>
      <c r="D390" s="23" t="s">
        <v>2364</v>
      </c>
      <c r="E390" s="22" t="s">
        <v>766</v>
      </c>
      <c r="F390" s="22" t="s">
        <v>2365</v>
      </c>
      <c r="G390" s="22">
        <v>20161222</v>
      </c>
      <c r="H390" s="22">
        <v>20170412</v>
      </c>
      <c r="I390" s="22" t="s">
        <v>223</v>
      </c>
      <c r="J390" s="22"/>
      <c r="K390" s="22"/>
      <c r="L390" s="22" t="s">
        <v>34</v>
      </c>
      <c r="M390" s="22" t="s">
        <v>34</v>
      </c>
      <c r="N390" s="22" t="s">
        <v>35</v>
      </c>
      <c r="O390" s="22" t="s">
        <v>35</v>
      </c>
      <c r="P390" s="22" t="s">
        <v>35</v>
      </c>
      <c r="Q390" s="22" t="s">
        <v>35</v>
      </c>
      <c r="R390" s="22" t="s">
        <v>35</v>
      </c>
      <c r="S390" s="22" t="s">
        <v>34</v>
      </c>
      <c r="T390" s="22">
        <v>20170412</v>
      </c>
      <c r="U390" s="22"/>
      <c r="V390" s="22"/>
      <c r="W390" s="22"/>
      <c r="X390" s="22"/>
      <c r="Y390" s="22"/>
      <c r="Z390" s="22"/>
      <c r="AA390" s="22"/>
      <c r="AB390" s="22"/>
      <c r="AC390" s="22" t="s">
        <v>2366</v>
      </c>
      <c r="AD390" s="22">
        <v>20170413</v>
      </c>
      <c r="AE390" s="22">
        <v>389</v>
      </c>
      <c r="AF390" s="22"/>
      <c r="AG390" s="22" t="str">
        <f>IFERROR(VLOOKUP(TblFeedFile[[#This Row],[Leave Type ]],LkupPayType[],2,FALSE),"TBD")</f>
        <v>Paid</v>
      </c>
      <c r="AH390" s="22"/>
      <c r="AI390" s="25"/>
      <c r="AJ390" s="25"/>
      <c r="AK390" s="26" t="s">
        <v>35</v>
      </c>
    </row>
    <row r="391" spans="1:37" x14ac:dyDescent="0.25">
      <c r="A391" s="21" t="s">
        <v>37</v>
      </c>
      <c r="B391" s="22">
        <v>314304</v>
      </c>
      <c r="C391" s="22">
        <v>24168877</v>
      </c>
      <c r="D391" s="23">
        <v>511704068631</v>
      </c>
      <c r="E391" s="22" t="s">
        <v>2367</v>
      </c>
      <c r="F391" s="22" t="s">
        <v>2368</v>
      </c>
      <c r="G391" s="22">
        <v>20170411</v>
      </c>
      <c r="H391" s="22">
        <v>20171010</v>
      </c>
      <c r="I391" s="22" t="s">
        <v>53</v>
      </c>
      <c r="J391" s="22"/>
      <c r="K391" s="22"/>
      <c r="L391" s="22" t="s">
        <v>34</v>
      </c>
      <c r="M391" s="22" t="s">
        <v>34</v>
      </c>
      <c r="N391" s="22" t="s">
        <v>35</v>
      </c>
      <c r="O391" s="22" t="s">
        <v>35</v>
      </c>
      <c r="P391" s="22" t="s">
        <v>35</v>
      </c>
      <c r="Q391" s="22" t="s">
        <v>35</v>
      </c>
      <c r="R391" s="22" t="s">
        <v>35</v>
      </c>
      <c r="S391" s="22" t="s">
        <v>34</v>
      </c>
      <c r="T391" s="22"/>
      <c r="U391" s="22"/>
      <c r="V391" s="22"/>
      <c r="W391" s="22"/>
      <c r="X391" s="22"/>
      <c r="Y391" s="22"/>
      <c r="Z391" s="22"/>
      <c r="AA391" s="22"/>
      <c r="AB391" s="22"/>
      <c r="AC391" s="22" t="s">
        <v>1896</v>
      </c>
      <c r="AD391" s="22">
        <v>20170413</v>
      </c>
      <c r="AE391" s="22">
        <v>390</v>
      </c>
      <c r="AF391" s="22"/>
      <c r="AG391" s="22" t="str">
        <f>IFERROR(VLOOKUP(TblFeedFile[[#This Row],[Leave Type ]],LkupPayType[],2,FALSE),"TBD")</f>
        <v>Paid</v>
      </c>
      <c r="AH391" s="22"/>
      <c r="AI391" s="25"/>
      <c r="AJ391" s="25"/>
      <c r="AK391" s="26"/>
    </row>
    <row r="392" spans="1:37" x14ac:dyDescent="0.25">
      <c r="A392" s="21" t="s">
        <v>37</v>
      </c>
      <c r="B392" s="22">
        <v>314304</v>
      </c>
      <c r="C392" s="22">
        <v>24213528</v>
      </c>
      <c r="D392" s="23">
        <v>501702148288</v>
      </c>
      <c r="E392" s="22" t="s">
        <v>2369</v>
      </c>
      <c r="F392" s="22" t="s">
        <v>2370</v>
      </c>
      <c r="G392" s="22">
        <v>20170221</v>
      </c>
      <c r="H392" s="22">
        <v>20170416</v>
      </c>
      <c r="I392" s="22" t="s">
        <v>40</v>
      </c>
      <c r="J392" s="22"/>
      <c r="K392" s="22"/>
      <c r="L392" s="22" t="s">
        <v>34</v>
      </c>
      <c r="M392" s="22" t="s">
        <v>34</v>
      </c>
      <c r="N392" s="22" t="s">
        <v>35</v>
      </c>
      <c r="O392" s="22" t="s">
        <v>35</v>
      </c>
      <c r="P392" s="22" t="s">
        <v>35</v>
      </c>
      <c r="Q392" s="22" t="s">
        <v>35</v>
      </c>
      <c r="R392" s="22" t="s">
        <v>35</v>
      </c>
      <c r="S392" s="22" t="s">
        <v>34</v>
      </c>
      <c r="T392" s="22">
        <v>20170417</v>
      </c>
      <c r="U392" s="22"/>
      <c r="V392" s="22"/>
      <c r="W392" s="22"/>
      <c r="X392" s="22"/>
      <c r="Y392" s="22"/>
      <c r="Z392" s="22"/>
      <c r="AA392" s="22"/>
      <c r="AB392" s="22"/>
      <c r="AC392" s="22" t="s">
        <v>1945</v>
      </c>
      <c r="AD392" s="22">
        <v>20170413</v>
      </c>
      <c r="AE392" s="22">
        <v>391</v>
      </c>
      <c r="AF392" s="22"/>
      <c r="AG392" s="22" t="str">
        <f>IFERROR(VLOOKUP(TblFeedFile[[#This Row],[Leave Type ]],LkupPayType[],2,FALSE),"TBD")</f>
        <v>Paid</v>
      </c>
      <c r="AH392" s="22"/>
      <c r="AI392" s="25"/>
      <c r="AJ392" s="25"/>
      <c r="AK392" s="26" t="s">
        <v>35</v>
      </c>
    </row>
    <row r="393" spans="1:37" x14ac:dyDescent="0.25">
      <c r="A393" s="21" t="s">
        <v>37</v>
      </c>
      <c r="B393" s="22">
        <v>314304</v>
      </c>
      <c r="C393" s="22">
        <v>24241152</v>
      </c>
      <c r="D393" s="23" t="s">
        <v>2371</v>
      </c>
      <c r="E393" s="22" t="s">
        <v>2372</v>
      </c>
      <c r="F393" s="22" t="s">
        <v>1426</v>
      </c>
      <c r="G393" s="22">
        <v>20170413</v>
      </c>
      <c r="H393" s="22">
        <v>20170608</v>
      </c>
      <c r="I393" s="22" t="s">
        <v>78</v>
      </c>
      <c r="J393" s="22"/>
      <c r="K393" s="22" t="s">
        <v>79</v>
      </c>
      <c r="L393" s="22" t="s">
        <v>35</v>
      </c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 t="s">
        <v>1901</v>
      </c>
      <c r="AD393" s="22">
        <v>20170413</v>
      </c>
      <c r="AE393" s="22">
        <v>392</v>
      </c>
      <c r="AF393" s="22"/>
      <c r="AG393" s="22" t="str">
        <f>IFERROR(VLOOKUP(TblFeedFile[[#This Row],[Leave Type ]],LkupPayType[],2,FALSE),"TBD")</f>
        <v>Unpaid</v>
      </c>
      <c r="AH393" s="22"/>
      <c r="AI393" s="25"/>
      <c r="AJ393" s="25"/>
      <c r="AK393" s="26"/>
    </row>
    <row r="394" spans="1:37" x14ac:dyDescent="0.25">
      <c r="A394" s="21" t="s">
        <v>37</v>
      </c>
      <c r="B394" s="22">
        <v>314304</v>
      </c>
      <c r="C394" s="22">
        <v>24249268</v>
      </c>
      <c r="D394" s="23">
        <v>551704078655</v>
      </c>
      <c r="E394" s="22" t="s">
        <v>740</v>
      </c>
      <c r="F394" s="22" t="s">
        <v>263</v>
      </c>
      <c r="G394" s="22">
        <v>20170413</v>
      </c>
      <c r="H394" s="22">
        <v>20170507</v>
      </c>
      <c r="I394" s="22" t="s">
        <v>40</v>
      </c>
      <c r="J394" s="22"/>
      <c r="K394" s="22"/>
      <c r="L394" s="22" t="s">
        <v>34</v>
      </c>
      <c r="M394" s="22" t="s">
        <v>34</v>
      </c>
      <c r="N394" s="22" t="s">
        <v>35</v>
      </c>
      <c r="O394" s="22" t="s">
        <v>35</v>
      </c>
      <c r="P394" s="22" t="s">
        <v>35</v>
      </c>
      <c r="Q394" s="22" t="s">
        <v>35</v>
      </c>
      <c r="R394" s="22" t="s">
        <v>35</v>
      </c>
      <c r="S394" s="22" t="s">
        <v>34</v>
      </c>
      <c r="T394" s="22"/>
      <c r="U394" s="22"/>
      <c r="V394" s="22"/>
      <c r="W394" s="22"/>
      <c r="X394" s="22"/>
      <c r="Y394" s="22"/>
      <c r="Z394" s="22"/>
      <c r="AA394" s="22"/>
      <c r="AB394" s="22"/>
      <c r="AC394" s="22" t="s">
        <v>1902</v>
      </c>
      <c r="AD394" s="22">
        <v>20170413</v>
      </c>
      <c r="AE394" s="22">
        <v>393</v>
      </c>
      <c r="AF394" s="22"/>
      <c r="AG394" s="22" t="str">
        <f>IFERROR(VLOOKUP(TblFeedFile[[#This Row],[Leave Type ]],LkupPayType[],2,FALSE),"TBD")</f>
        <v>Paid</v>
      </c>
      <c r="AH394" s="22"/>
      <c r="AI394" s="25"/>
      <c r="AJ394" s="25"/>
      <c r="AK394" s="26"/>
    </row>
    <row r="395" spans="1:37" x14ac:dyDescent="0.25">
      <c r="A395" s="21" t="s">
        <v>29</v>
      </c>
      <c r="B395" s="22">
        <v>314301</v>
      </c>
      <c r="C395" s="22">
        <v>24263198</v>
      </c>
      <c r="D395" s="23">
        <v>511703218351</v>
      </c>
      <c r="E395" s="22" t="s">
        <v>2007</v>
      </c>
      <c r="F395" s="22" t="s">
        <v>2008</v>
      </c>
      <c r="G395" s="22">
        <v>20170411</v>
      </c>
      <c r="H395" s="22">
        <v>20170516</v>
      </c>
      <c r="I395" s="22" t="s">
        <v>53</v>
      </c>
      <c r="J395" s="22"/>
      <c r="K395" s="22"/>
      <c r="L395" s="22" t="s">
        <v>34</v>
      </c>
      <c r="M395" s="22" t="s">
        <v>34</v>
      </c>
      <c r="N395" s="22" t="s">
        <v>35</v>
      </c>
      <c r="O395" s="22" t="s">
        <v>35</v>
      </c>
      <c r="P395" s="22" t="s">
        <v>35</v>
      </c>
      <c r="Q395" s="22" t="s">
        <v>35</v>
      </c>
      <c r="R395" s="22" t="s">
        <v>35</v>
      </c>
      <c r="S395" s="22" t="s">
        <v>34</v>
      </c>
      <c r="T395" s="22"/>
      <c r="U395" s="22"/>
      <c r="V395" s="22"/>
      <c r="W395" s="22"/>
      <c r="X395" s="22"/>
      <c r="Y395" s="22"/>
      <c r="Z395" s="22"/>
      <c r="AA395" s="22"/>
      <c r="AB395" s="22"/>
      <c r="AC395" s="22" t="s">
        <v>1900</v>
      </c>
      <c r="AD395" s="22">
        <v>20170413</v>
      </c>
      <c r="AE395" s="22">
        <v>394</v>
      </c>
      <c r="AF395" s="22"/>
      <c r="AG395" s="22" t="str">
        <f>IFERROR(VLOOKUP(TblFeedFile[[#This Row],[Leave Type ]],LkupPayType[],2,FALSE),"TBD")</f>
        <v>Paid</v>
      </c>
      <c r="AH395" s="22"/>
      <c r="AI395" s="25"/>
      <c r="AJ395" s="25"/>
      <c r="AK395" s="26"/>
    </row>
    <row r="396" spans="1:37" x14ac:dyDescent="0.25">
      <c r="A396" s="21" t="s">
        <v>37</v>
      </c>
      <c r="B396" s="22">
        <v>314301</v>
      </c>
      <c r="C396" s="22">
        <v>24263198</v>
      </c>
      <c r="D396" s="23">
        <v>511703218351</v>
      </c>
      <c r="E396" s="22" t="s">
        <v>2007</v>
      </c>
      <c r="F396" s="22" t="s">
        <v>2008</v>
      </c>
      <c r="G396" s="22">
        <v>20170410</v>
      </c>
      <c r="H396" s="22">
        <v>20170516</v>
      </c>
      <c r="I396" s="22" t="s">
        <v>53</v>
      </c>
      <c r="J396" s="22"/>
      <c r="K396" s="22"/>
      <c r="L396" s="22" t="s">
        <v>34</v>
      </c>
      <c r="M396" s="22" t="s">
        <v>34</v>
      </c>
      <c r="N396" s="22" t="s">
        <v>35</v>
      </c>
      <c r="O396" s="22" t="s">
        <v>35</v>
      </c>
      <c r="P396" s="22" t="s">
        <v>35</v>
      </c>
      <c r="Q396" s="22" t="s">
        <v>35</v>
      </c>
      <c r="R396" s="22" t="s">
        <v>35</v>
      </c>
      <c r="S396" s="22" t="s">
        <v>34</v>
      </c>
      <c r="T396" s="22"/>
      <c r="U396" s="22"/>
      <c r="V396" s="22"/>
      <c r="W396" s="22"/>
      <c r="X396" s="22"/>
      <c r="Y396" s="22"/>
      <c r="Z396" s="22"/>
      <c r="AA396" s="22"/>
      <c r="AB396" s="22"/>
      <c r="AC396" s="22" t="s">
        <v>1900</v>
      </c>
      <c r="AD396" s="22">
        <v>20170413</v>
      </c>
      <c r="AE396" s="22">
        <v>395</v>
      </c>
      <c r="AF396" s="22"/>
      <c r="AG396" s="22" t="str">
        <f>IFERROR(VLOOKUP(TblFeedFile[[#This Row],[Leave Type ]],LkupPayType[],2,FALSE),"TBD")</f>
        <v>Paid</v>
      </c>
      <c r="AH396" s="22"/>
      <c r="AI396" s="25"/>
      <c r="AJ396" s="25"/>
      <c r="AK396" s="26"/>
    </row>
    <row r="397" spans="1:37" x14ac:dyDescent="0.25">
      <c r="A397" s="21" t="s">
        <v>29</v>
      </c>
      <c r="B397" s="22">
        <v>314301</v>
      </c>
      <c r="C397" s="22">
        <v>24285851</v>
      </c>
      <c r="D397" s="23">
        <v>521704048082</v>
      </c>
      <c r="E397" s="22" t="s">
        <v>2373</v>
      </c>
      <c r="F397" s="22" t="s">
        <v>2374</v>
      </c>
      <c r="G397" s="22">
        <v>20170221</v>
      </c>
      <c r="H397" s="22">
        <v>20170607</v>
      </c>
      <c r="I397" s="22" t="s">
        <v>40</v>
      </c>
      <c r="J397" s="22"/>
      <c r="K397" s="22"/>
      <c r="L397" s="22" t="s">
        <v>34</v>
      </c>
      <c r="M397" s="22" t="s">
        <v>34</v>
      </c>
      <c r="N397" s="22" t="s">
        <v>35</v>
      </c>
      <c r="O397" s="22" t="s">
        <v>35</v>
      </c>
      <c r="P397" s="22" t="s">
        <v>35</v>
      </c>
      <c r="Q397" s="22" t="s">
        <v>35</v>
      </c>
      <c r="R397" s="22" t="s">
        <v>35</v>
      </c>
      <c r="S397" s="22" t="s">
        <v>34</v>
      </c>
      <c r="T397" s="22"/>
      <c r="U397" s="22"/>
      <c r="V397" s="22"/>
      <c r="W397" s="22"/>
      <c r="X397" s="22"/>
      <c r="Y397" s="22"/>
      <c r="Z397" s="22"/>
      <c r="AA397" s="22"/>
      <c r="AB397" s="22"/>
      <c r="AC397" s="22" t="s">
        <v>1900</v>
      </c>
      <c r="AD397" s="22">
        <v>20170413</v>
      </c>
      <c r="AE397" s="22">
        <v>396</v>
      </c>
      <c r="AF397" s="22"/>
      <c r="AG397" s="22" t="str">
        <f>IFERROR(VLOOKUP(TblFeedFile[[#This Row],[Leave Type ]],LkupPayType[],2,FALSE),"TBD")</f>
        <v>Paid</v>
      </c>
      <c r="AH397" s="22"/>
      <c r="AI397" s="25"/>
      <c r="AJ397" s="25"/>
      <c r="AK397" s="26"/>
    </row>
    <row r="398" spans="1:37" x14ac:dyDescent="0.25">
      <c r="A398" s="21" t="s">
        <v>37</v>
      </c>
      <c r="B398" s="22">
        <v>314301</v>
      </c>
      <c r="C398" s="22">
        <v>24285851</v>
      </c>
      <c r="D398" s="23">
        <v>521704048082</v>
      </c>
      <c r="E398" s="22" t="s">
        <v>2373</v>
      </c>
      <c r="F398" s="22" t="s">
        <v>2374</v>
      </c>
      <c r="G398" s="22">
        <v>20170221</v>
      </c>
      <c r="H398" s="22">
        <v>20170607</v>
      </c>
      <c r="I398" s="22" t="s">
        <v>40</v>
      </c>
      <c r="J398" s="22"/>
      <c r="K398" s="22"/>
      <c r="L398" s="22" t="s">
        <v>34</v>
      </c>
      <c r="M398" s="22" t="s">
        <v>34</v>
      </c>
      <c r="N398" s="22" t="s">
        <v>35</v>
      </c>
      <c r="O398" s="22" t="s">
        <v>35</v>
      </c>
      <c r="P398" s="22" t="s">
        <v>35</v>
      </c>
      <c r="Q398" s="22" t="s">
        <v>35</v>
      </c>
      <c r="R398" s="22" t="s">
        <v>35</v>
      </c>
      <c r="S398" s="22" t="s">
        <v>34</v>
      </c>
      <c r="T398" s="22"/>
      <c r="U398" s="22"/>
      <c r="V398" s="22"/>
      <c r="W398" s="22"/>
      <c r="X398" s="22"/>
      <c r="Y398" s="22">
        <v>170</v>
      </c>
      <c r="Z398" s="22" t="s">
        <v>341</v>
      </c>
      <c r="AA398" s="22">
        <v>20170221</v>
      </c>
      <c r="AB398" s="22">
        <v>20170814</v>
      </c>
      <c r="AC398" s="22" t="s">
        <v>2375</v>
      </c>
      <c r="AD398" s="22">
        <v>20170413</v>
      </c>
      <c r="AE398" s="22">
        <v>397</v>
      </c>
      <c r="AF398" s="22"/>
      <c r="AG398" s="22" t="str">
        <f>IFERROR(VLOOKUP(TblFeedFile[[#This Row],[Leave Type ]],LkupPayType[],2,FALSE),"TBD")</f>
        <v>Paid</v>
      </c>
      <c r="AH398" s="22"/>
      <c r="AI398" s="25"/>
      <c r="AJ398" s="25"/>
      <c r="AK398" s="26"/>
    </row>
    <row r="399" spans="1:37" x14ac:dyDescent="0.25">
      <c r="A399" s="21" t="s">
        <v>37</v>
      </c>
      <c r="B399" s="22">
        <v>314304</v>
      </c>
      <c r="C399" s="22">
        <v>24288281</v>
      </c>
      <c r="D399" s="23">
        <v>561702158446</v>
      </c>
      <c r="E399" s="22" t="s">
        <v>2024</v>
      </c>
      <c r="F399" s="22" t="s">
        <v>2376</v>
      </c>
      <c r="G399" s="22">
        <v>20170310</v>
      </c>
      <c r="H399" s="22">
        <v>20170416</v>
      </c>
      <c r="I399" s="22" t="s">
        <v>40</v>
      </c>
      <c r="J399" s="22"/>
      <c r="K399" s="22"/>
      <c r="L399" s="22" t="s">
        <v>34</v>
      </c>
      <c r="M399" s="22" t="s">
        <v>34</v>
      </c>
      <c r="N399" s="22" t="s">
        <v>35</v>
      </c>
      <c r="O399" s="22" t="s">
        <v>35</v>
      </c>
      <c r="P399" s="22" t="s">
        <v>35</v>
      </c>
      <c r="Q399" s="22" t="s">
        <v>35</v>
      </c>
      <c r="R399" s="22" t="s">
        <v>35</v>
      </c>
      <c r="S399" s="22" t="s">
        <v>34</v>
      </c>
      <c r="T399" s="22">
        <v>20170417</v>
      </c>
      <c r="U399" s="22"/>
      <c r="V399" s="22"/>
      <c r="W399" s="22"/>
      <c r="X399" s="22"/>
      <c r="Y399" s="22"/>
      <c r="Z399" s="22"/>
      <c r="AA399" s="22"/>
      <c r="AB399" s="22"/>
      <c r="AC399" s="22" t="s">
        <v>1951</v>
      </c>
      <c r="AD399" s="22">
        <v>20170413</v>
      </c>
      <c r="AE399" s="22">
        <v>398</v>
      </c>
      <c r="AF399" s="22"/>
      <c r="AG399" s="22" t="str">
        <f>IFERROR(VLOOKUP(TblFeedFile[[#This Row],[Leave Type ]],LkupPayType[],2,FALSE),"TBD")</f>
        <v>Paid</v>
      </c>
      <c r="AH399" s="22"/>
      <c r="AI399" s="25"/>
      <c r="AJ399" s="25"/>
      <c r="AK399" s="26" t="s">
        <v>35</v>
      </c>
    </row>
    <row r="400" spans="1:37" x14ac:dyDescent="0.25">
      <c r="A400" s="21" t="s">
        <v>37</v>
      </c>
      <c r="B400" s="22">
        <v>314304</v>
      </c>
      <c r="C400" s="22">
        <v>24310758</v>
      </c>
      <c r="D400" s="23">
        <v>511703208191</v>
      </c>
      <c r="E400" s="22" t="s">
        <v>436</v>
      </c>
      <c r="F400" s="22" t="s">
        <v>2377</v>
      </c>
      <c r="G400" s="22">
        <v>20170410</v>
      </c>
      <c r="H400" s="22">
        <v>20170531</v>
      </c>
      <c r="I400" s="22" t="s">
        <v>53</v>
      </c>
      <c r="J400" s="22"/>
      <c r="K400" s="22"/>
      <c r="L400" s="22" t="s">
        <v>34</v>
      </c>
      <c r="M400" s="22" t="s">
        <v>34</v>
      </c>
      <c r="N400" s="22" t="s">
        <v>35</v>
      </c>
      <c r="O400" s="22" t="s">
        <v>35</v>
      </c>
      <c r="P400" s="22" t="s">
        <v>35</v>
      </c>
      <c r="Q400" s="22" t="s">
        <v>35</v>
      </c>
      <c r="R400" s="22" t="s">
        <v>35</v>
      </c>
      <c r="S400" s="22" t="s">
        <v>34</v>
      </c>
      <c r="T400" s="22"/>
      <c r="U400" s="22"/>
      <c r="V400" s="22"/>
      <c r="W400" s="22"/>
      <c r="X400" s="22"/>
      <c r="Y400" s="22"/>
      <c r="Z400" s="22"/>
      <c r="AA400" s="22"/>
      <c r="AB400" s="22"/>
      <c r="AC400" s="22" t="s">
        <v>1921</v>
      </c>
      <c r="AD400" s="22">
        <v>20170413</v>
      </c>
      <c r="AE400" s="22">
        <v>399</v>
      </c>
      <c r="AF400" s="22"/>
      <c r="AG400" s="22" t="str">
        <f>IFERROR(VLOOKUP(TblFeedFile[[#This Row],[Leave Type ]],LkupPayType[],2,FALSE),"TBD")</f>
        <v>Paid</v>
      </c>
      <c r="AH400" s="22"/>
      <c r="AI400" s="25"/>
      <c r="AJ400" s="25"/>
      <c r="AK400" s="26"/>
    </row>
    <row r="401" spans="1:37" x14ac:dyDescent="0.25">
      <c r="A401" s="21" t="s">
        <v>29</v>
      </c>
      <c r="B401" s="22">
        <v>314304</v>
      </c>
      <c r="C401" s="22">
        <v>24312709</v>
      </c>
      <c r="D401" s="23">
        <v>521703298002</v>
      </c>
      <c r="E401" s="22" t="s">
        <v>2010</v>
      </c>
      <c r="F401" s="22" t="s">
        <v>2011</v>
      </c>
      <c r="G401" s="22">
        <v>20170410</v>
      </c>
      <c r="H401" s="22">
        <v>20170512</v>
      </c>
      <c r="I401" s="22" t="s">
        <v>53</v>
      </c>
      <c r="J401" s="22"/>
      <c r="K401" s="22"/>
      <c r="L401" s="22" t="s">
        <v>34</v>
      </c>
      <c r="M401" s="22" t="s">
        <v>34</v>
      </c>
      <c r="N401" s="22" t="s">
        <v>35</v>
      </c>
      <c r="O401" s="22" t="s">
        <v>35</v>
      </c>
      <c r="P401" s="22" t="s">
        <v>35</v>
      </c>
      <c r="Q401" s="22" t="s">
        <v>35</v>
      </c>
      <c r="R401" s="22" t="s">
        <v>35</v>
      </c>
      <c r="S401" s="22" t="s">
        <v>34</v>
      </c>
      <c r="T401" s="22"/>
      <c r="U401" s="22"/>
      <c r="V401" s="22"/>
      <c r="W401" s="22"/>
      <c r="X401" s="22" t="s">
        <v>35</v>
      </c>
      <c r="Y401" s="22"/>
      <c r="Z401" s="22"/>
      <c r="AA401" s="22"/>
      <c r="AB401" s="22"/>
      <c r="AC401" s="22" t="s">
        <v>1900</v>
      </c>
      <c r="AD401" s="22">
        <v>20170413</v>
      </c>
      <c r="AE401" s="22">
        <v>400</v>
      </c>
      <c r="AF401" s="22"/>
      <c r="AG401" s="22" t="str">
        <f>IFERROR(VLOOKUP(TblFeedFile[[#This Row],[Leave Type ]],LkupPayType[],2,FALSE),"TBD")</f>
        <v>Paid</v>
      </c>
      <c r="AH401" s="22"/>
      <c r="AI401" s="25"/>
      <c r="AJ401" s="25"/>
      <c r="AK401" s="26"/>
    </row>
    <row r="402" spans="1:37" x14ac:dyDescent="0.25">
      <c r="A402" s="21" t="s">
        <v>37</v>
      </c>
      <c r="B402" s="22">
        <v>314304</v>
      </c>
      <c r="C402" s="22">
        <v>24312709</v>
      </c>
      <c r="D402" s="23">
        <v>521703298002</v>
      </c>
      <c r="E402" s="22" t="s">
        <v>2010</v>
      </c>
      <c r="F402" s="22" t="s">
        <v>2011</v>
      </c>
      <c r="G402" s="22">
        <v>20170405</v>
      </c>
      <c r="H402" s="22">
        <v>20170512</v>
      </c>
      <c r="I402" s="22" t="s">
        <v>53</v>
      </c>
      <c r="J402" s="22"/>
      <c r="K402" s="22"/>
      <c r="L402" s="22" t="s">
        <v>34</v>
      </c>
      <c r="M402" s="22" t="s">
        <v>34</v>
      </c>
      <c r="N402" s="22" t="s">
        <v>35</v>
      </c>
      <c r="O402" s="22" t="s">
        <v>35</v>
      </c>
      <c r="P402" s="22" t="s">
        <v>35</v>
      </c>
      <c r="Q402" s="22" t="s">
        <v>35</v>
      </c>
      <c r="R402" s="22" t="s">
        <v>35</v>
      </c>
      <c r="S402" s="22" t="s">
        <v>34</v>
      </c>
      <c r="T402" s="22"/>
      <c r="U402" s="22"/>
      <c r="V402" s="22"/>
      <c r="W402" s="22"/>
      <c r="X402" s="22" t="s">
        <v>35</v>
      </c>
      <c r="Y402" s="22"/>
      <c r="Z402" s="22"/>
      <c r="AA402" s="22"/>
      <c r="AB402" s="22"/>
      <c r="AC402" s="22" t="s">
        <v>1900</v>
      </c>
      <c r="AD402" s="22">
        <v>20170413</v>
      </c>
      <c r="AE402" s="22">
        <v>401</v>
      </c>
      <c r="AF402" s="22"/>
      <c r="AG402" s="22" t="str">
        <f>IFERROR(VLOOKUP(TblFeedFile[[#This Row],[Leave Type ]],LkupPayType[],2,FALSE),"TBD")</f>
        <v>Paid</v>
      </c>
      <c r="AH402" s="22"/>
      <c r="AI402" s="25"/>
      <c r="AJ402" s="25"/>
      <c r="AK402" s="26"/>
    </row>
    <row r="403" spans="1:37" x14ac:dyDescent="0.25">
      <c r="A403" s="21" t="s">
        <v>37</v>
      </c>
      <c r="B403" s="22">
        <v>314304</v>
      </c>
      <c r="C403" s="22">
        <v>24312709</v>
      </c>
      <c r="D403" s="23">
        <v>521703298002</v>
      </c>
      <c r="E403" s="22" t="s">
        <v>2010</v>
      </c>
      <c r="F403" s="22" t="s">
        <v>2011</v>
      </c>
      <c r="G403" s="22">
        <v>20170412</v>
      </c>
      <c r="H403" s="22">
        <v>20170512</v>
      </c>
      <c r="I403" s="22" t="s">
        <v>40</v>
      </c>
      <c r="J403" s="22"/>
      <c r="K403" s="22"/>
      <c r="L403" s="22" t="s">
        <v>34</v>
      </c>
      <c r="M403" s="22" t="s">
        <v>34</v>
      </c>
      <c r="N403" s="22" t="s">
        <v>35</v>
      </c>
      <c r="O403" s="22" t="s">
        <v>35</v>
      </c>
      <c r="P403" s="22" t="s">
        <v>35</v>
      </c>
      <c r="Q403" s="22" t="s">
        <v>35</v>
      </c>
      <c r="R403" s="22" t="s">
        <v>35</v>
      </c>
      <c r="S403" s="22" t="s">
        <v>34</v>
      </c>
      <c r="T403" s="22"/>
      <c r="U403" s="22"/>
      <c r="V403" s="22"/>
      <c r="W403" s="22"/>
      <c r="X403" s="22" t="s">
        <v>35</v>
      </c>
      <c r="Y403" s="22"/>
      <c r="Z403" s="22"/>
      <c r="AA403" s="22"/>
      <c r="AB403" s="22"/>
      <c r="AC403" s="22" t="s">
        <v>1902</v>
      </c>
      <c r="AD403" s="22">
        <v>20170413</v>
      </c>
      <c r="AE403" s="22">
        <v>402</v>
      </c>
      <c r="AF403" s="22"/>
      <c r="AG403" s="22" t="str">
        <f>IFERROR(VLOOKUP(TblFeedFile[[#This Row],[Leave Type ]],LkupPayType[],2,FALSE),"TBD")</f>
        <v>Paid</v>
      </c>
      <c r="AH403" s="22"/>
      <c r="AI403" s="25"/>
      <c r="AJ403" s="25"/>
      <c r="AK403" s="26"/>
    </row>
    <row r="404" spans="1:37" x14ac:dyDescent="0.25">
      <c r="A404" s="21" t="s">
        <v>37</v>
      </c>
      <c r="B404" s="22">
        <v>314304</v>
      </c>
      <c r="C404" s="22">
        <v>24319810</v>
      </c>
      <c r="D404" s="23" t="s">
        <v>2012</v>
      </c>
      <c r="E404" s="22" t="s">
        <v>728</v>
      </c>
      <c r="F404" s="22" t="s">
        <v>292</v>
      </c>
      <c r="G404" s="22">
        <v>20170206</v>
      </c>
      <c r="H404" s="22">
        <v>20170416</v>
      </c>
      <c r="I404" s="22" t="s">
        <v>36</v>
      </c>
      <c r="J404" s="22"/>
      <c r="K404" s="22"/>
      <c r="L404" s="22" t="s">
        <v>34</v>
      </c>
      <c r="M404" s="22" t="s">
        <v>34</v>
      </c>
      <c r="N404" s="22" t="s">
        <v>35</v>
      </c>
      <c r="O404" s="22" t="s">
        <v>35</v>
      </c>
      <c r="P404" s="22" t="s">
        <v>35</v>
      </c>
      <c r="Q404" s="22" t="s">
        <v>35</v>
      </c>
      <c r="R404" s="22" t="s">
        <v>35</v>
      </c>
      <c r="S404" s="22" t="s">
        <v>34</v>
      </c>
      <c r="T404" s="22">
        <v>20170417</v>
      </c>
      <c r="U404" s="22"/>
      <c r="V404" s="22"/>
      <c r="W404" s="22"/>
      <c r="X404" s="22"/>
      <c r="Y404" s="22"/>
      <c r="Z404" s="22"/>
      <c r="AA404" s="22"/>
      <c r="AB404" s="22"/>
      <c r="AC404" s="22" t="s">
        <v>1897</v>
      </c>
      <c r="AD404" s="22">
        <v>20170413</v>
      </c>
      <c r="AE404" s="22">
        <v>403</v>
      </c>
      <c r="AF404" s="22"/>
      <c r="AG404" s="22" t="str">
        <f>IFERROR(VLOOKUP(TblFeedFile[[#This Row],[Leave Type ]],LkupPayType[],2,FALSE),"TBD")</f>
        <v>Unpaid</v>
      </c>
      <c r="AH404" s="22"/>
      <c r="AI404" s="25"/>
      <c r="AJ404" s="25"/>
      <c r="AK404" s="26" t="s">
        <v>35</v>
      </c>
    </row>
    <row r="405" spans="1:37" x14ac:dyDescent="0.25">
      <c r="A405" s="21" t="s">
        <v>37</v>
      </c>
      <c r="B405" s="22">
        <v>314304</v>
      </c>
      <c r="C405" s="22">
        <v>24412132</v>
      </c>
      <c r="D405" s="23" t="s">
        <v>2378</v>
      </c>
      <c r="E405" s="22" t="s">
        <v>354</v>
      </c>
      <c r="F405" s="22" t="s">
        <v>2379</v>
      </c>
      <c r="G405" s="22">
        <v>20170329</v>
      </c>
      <c r="H405" s="22">
        <v>20170429</v>
      </c>
      <c r="I405" s="22" t="s">
        <v>36</v>
      </c>
      <c r="J405" s="22"/>
      <c r="K405" s="22"/>
      <c r="L405" s="22" t="s">
        <v>34</v>
      </c>
      <c r="M405" s="22" t="s">
        <v>34</v>
      </c>
      <c r="N405" s="22" t="s">
        <v>35</v>
      </c>
      <c r="O405" s="22" t="s">
        <v>35</v>
      </c>
      <c r="P405" s="22" t="s">
        <v>35</v>
      </c>
      <c r="Q405" s="22" t="s">
        <v>35</v>
      </c>
      <c r="R405" s="22" t="s">
        <v>35</v>
      </c>
      <c r="S405" s="22" t="s">
        <v>34</v>
      </c>
      <c r="T405" s="22"/>
      <c r="U405" s="22"/>
      <c r="V405" s="22"/>
      <c r="W405" s="22"/>
      <c r="X405" s="22"/>
      <c r="Y405" s="22"/>
      <c r="Z405" s="22"/>
      <c r="AA405" s="22"/>
      <c r="AB405" s="22"/>
      <c r="AC405" s="22" t="s">
        <v>1918</v>
      </c>
      <c r="AD405" s="22">
        <v>20170413</v>
      </c>
      <c r="AE405" s="22">
        <v>404</v>
      </c>
      <c r="AF405" s="22"/>
      <c r="AG405" s="22" t="str">
        <f>IFERROR(VLOOKUP(TblFeedFile[[#This Row],[Leave Type ]],LkupPayType[],2,FALSE),"TBD")</f>
        <v>Unpaid</v>
      </c>
      <c r="AH405" s="22"/>
      <c r="AI405" s="25"/>
      <c r="AJ405" s="25"/>
      <c r="AK405" s="26"/>
    </row>
    <row r="406" spans="1:37" x14ac:dyDescent="0.25">
      <c r="A406" s="21" t="s">
        <v>29</v>
      </c>
      <c r="B406" s="22">
        <v>314304</v>
      </c>
      <c r="C406" s="22">
        <v>24417217</v>
      </c>
      <c r="D406" s="23">
        <v>511703208229</v>
      </c>
      <c r="E406" s="22" t="s">
        <v>331</v>
      </c>
      <c r="F406" s="22" t="s">
        <v>2380</v>
      </c>
      <c r="G406" s="22">
        <v>20170327</v>
      </c>
      <c r="H406" s="22">
        <v>20170409</v>
      </c>
      <c r="I406" s="22" t="s">
        <v>40</v>
      </c>
      <c r="J406" s="22"/>
      <c r="K406" s="22"/>
      <c r="L406" s="22" t="s">
        <v>34</v>
      </c>
      <c r="M406" s="22" t="s">
        <v>34</v>
      </c>
      <c r="N406" s="22" t="s">
        <v>35</v>
      </c>
      <c r="O406" s="22" t="s">
        <v>35</v>
      </c>
      <c r="P406" s="22" t="s">
        <v>35</v>
      </c>
      <c r="Q406" s="22" t="s">
        <v>35</v>
      </c>
      <c r="R406" s="22" t="s">
        <v>35</v>
      </c>
      <c r="S406" s="22" t="s">
        <v>34</v>
      </c>
      <c r="T406" s="22">
        <v>20170410</v>
      </c>
      <c r="U406" s="22"/>
      <c r="V406" s="22"/>
      <c r="W406" s="22"/>
      <c r="X406" s="22"/>
      <c r="Y406" s="22"/>
      <c r="Z406" s="22"/>
      <c r="AA406" s="22"/>
      <c r="AB406" s="22"/>
      <c r="AC406" s="22" t="s">
        <v>1945</v>
      </c>
      <c r="AD406" s="22">
        <v>20170413</v>
      </c>
      <c r="AE406" s="22">
        <v>405</v>
      </c>
      <c r="AF406" s="22"/>
      <c r="AG406" s="22" t="str">
        <f>IFERROR(VLOOKUP(TblFeedFile[[#This Row],[Leave Type ]],LkupPayType[],2,FALSE),"TBD")</f>
        <v>Paid</v>
      </c>
      <c r="AH406" s="22"/>
      <c r="AI406" s="25"/>
      <c r="AJ406" s="25"/>
      <c r="AK406" s="26"/>
    </row>
    <row r="407" spans="1:37" x14ac:dyDescent="0.25">
      <c r="A407" s="21" t="s">
        <v>37</v>
      </c>
      <c r="B407" s="22">
        <v>314304</v>
      </c>
      <c r="C407" s="22">
        <v>24417217</v>
      </c>
      <c r="D407" s="23">
        <v>511703208229</v>
      </c>
      <c r="E407" s="22" t="s">
        <v>331</v>
      </c>
      <c r="F407" s="22" t="s">
        <v>2380</v>
      </c>
      <c r="G407" s="22">
        <v>20170327</v>
      </c>
      <c r="H407" s="22">
        <v>20170421</v>
      </c>
      <c r="I407" s="22" t="s">
        <v>40</v>
      </c>
      <c r="J407" s="22"/>
      <c r="K407" s="22"/>
      <c r="L407" s="22" t="s">
        <v>34</v>
      </c>
      <c r="M407" s="22" t="s">
        <v>34</v>
      </c>
      <c r="N407" s="22" t="s">
        <v>35</v>
      </c>
      <c r="O407" s="22" t="s">
        <v>35</v>
      </c>
      <c r="P407" s="22" t="s">
        <v>35</v>
      </c>
      <c r="Q407" s="22" t="s">
        <v>35</v>
      </c>
      <c r="R407" s="22" t="s">
        <v>35</v>
      </c>
      <c r="S407" s="22" t="s">
        <v>34</v>
      </c>
      <c r="T407" s="22"/>
      <c r="U407" s="22"/>
      <c r="V407" s="22"/>
      <c r="W407" s="22"/>
      <c r="X407" s="22"/>
      <c r="Y407" s="22"/>
      <c r="Z407" s="22"/>
      <c r="AA407" s="22"/>
      <c r="AB407" s="22"/>
      <c r="AC407" s="22" t="s">
        <v>1902</v>
      </c>
      <c r="AD407" s="22">
        <v>20170413</v>
      </c>
      <c r="AE407" s="22">
        <v>406</v>
      </c>
      <c r="AF407" s="22"/>
      <c r="AG407" s="22" t="str">
        <f>IFERROR(VLOOKUP(TblFeedFile[[#This Row],[Leave Type ]],LkupPayType[],2,FALSE),"TBD")</f>
        <v>Paid</v>
      </c>
      <c r="AH407" s="22"/>
      <c r="AI407" s="25"/>
      <c r="AJ407" s="25"/>
      <c r="AK407" s="26"/>
    </row>
    <row r="408" spans="1:37" x14ac:dyDescent="0.25">
      <c r="A408" s="21" t="s">
        <v>37</v>
      </c>
      <c r="B408" s="22">
        <v>314304</v>
      </c>
      <c r="C408" s="22">
        <v>24417217</v>
      </c>
      <c r="D408" s="23" t="s">
        <v>2381</v>
      </c>
      <c r="E408" s="22" t="s">
        <v>331</v>
      </c>
      <c r="F408" s="22" t="s">
        <v>2380</v>
      </c>
      <c r="G408" s="22">
        <v>20170410</v>
      </c>
      <c r="H408" s="22">
        <v>20170421</v>
      </c>
      <c r="I408" s="22" t="s">
        <v>78</v>
      </c>
      <c r="J408" s="22"/>
      <c r="K408" s="22" t="s">
        <v>79</v>
      </c>
      <c r="L408" s="22" t="s">
        <v>34</v>
      </c>
      <c r="M408" s="22" t="s">
        <v>34</v>
      </c>
      <c r="N408" s="22" t="s">
        <v>35</v>
      </c>
      <c r="O408" s="22" t="s">
        <v>35</v>
      </c>
      <c r="P408" s="22" t="s">
        <v>35</v>
      </c>
      <c r="Q408" s="22" t="s">
        <v>35</v>
      </c>
      <c r="R408" s="22" t="s">
        <v>35</v>
      </c>
      <c r="S408" s="22" t="s">
        <v>34</v>
      </c>
      <c r="T408" s="22"/>
      <c r="U408" s="22"/>
      <c r="V408" s="22"/>
      <c r="W408" s="22"/>
      <c r="X408" s="22"/>
      <c r="Y408" s="22"/>
      <c r="Z408" s="22"/>
      <c r="AA408" s="22"/>
      <c r="AB408" s="22"/>
      <c r="AC408" s="22" t="s">
        <v>1916</v>
      </c>
      <c r="AD408" s="22">
        <v>20170413</v>
      </c>
      <c r="AE408" s="22">
        <v>407</v>
      </c>
      <c r="AF408" s="22"/>
      <c r="AG408" s="22" t="str">
        <f>IFERROR(VLOOKUP(TblFeedFile[[#This Row],[Leave Type ]],LkupPayType[],2,FALSE),"TBD")</f>
        <v>Unpaid</v>
      </c>
      <c r="AH408" s="22"/>
      <c r="AI408" s="25"/>
      <c r="AJ408" s="25"/>
      <c r="AK408" s="26"/>
    </row>
    <row r="409" spans="1:37" x14ac:dyDescent="0.25">
      <c r="A409" s="21" t="s">
        <v>37</v>
      </c>
      <c r="B409" s="22">
        <v>314304</v>
      </c>
      <c r="C409" s="22">
        <v>24480039</v>
      </c>
      <c r="D409" s="23" t="s">
        <v>2382</v>
      </c>
      <c r="E409" s="22" t="s">
        <v>1903</v>
      </c>
      <c r="F409" s="22" t="s">
        <v>2383</v>
      </c>
      <c r="G409" s="22">
        <v>20170413</v>
      </c>
      <c r="H409" s="22">
        <v>20170413</v>
      </c>
      <c r="I409" s="22" t="s">
        <v>33</v>
      </c>
      <c r="J409" s="22"/>
      <c r="K409" s="22"/>
      <c r="L409" s="22" t="s">
        <v>34</v>
      </c>
      <c r="M409" s="22" t="s">
        <v>34</v>
      </c>
      <c r="N409" s="22" t="s">
        <v>35</v>
      </c>
      <c r="O409" s="22" t="s">
        <v>35</v>
      </c>
      <c r="P409" s="22" t="s">
        <v>35</v>
      </c>
      <c r="Q409" s="22" t="s">
        <v>35</v>
      </c>
      <c r="R409" s="22" t="s">
        <v>35</v>
      </c>
      <c r="S409" s="22" t="s">
        <v>34</v>
      </c>
      <c r="T409" s="22"/>
      <c r="U409" s="22"/>
      <c r="V409" s="22"/>
      <c r="W409" s="22"/>
      <c r="X409" s="22"/>
      <c r="Y409" s="22"/>
      <c r="Z409" s="22"/>
      <c r="AA409" s="22"/>
      <c r="AB409" s="22"/>
      <c r="AC409" s="22" t="s">
        <v>1895</v>
      </c>
      <c r="AD409" s="22">
        <v>20170413</v>
      </c>
      <c r="AE409" s="22">
        <v>408</v>
      </c>
      <c r="AF409" s="22"/>
      <c r="AG409" s="22" t="str">
        <f>IFERROR(VLOOKUP(TblFeedFile[[#This Row],[Leave Type ]],LkupPayType[],2,FALSE),"TBD")</f>
        <v>Closed</v>
      </c>
      <c r="AH409" s="22"/>
      <c r="AI409" s="25"/>
      <c r="AJ409" s="25"/>
      <c r="AK409" s="26"/>
    </row>
    <row r="410" spans="1:37" x14ac:dyDescent="0.25">
      <c r="A410" s="21" t="s">
        <v>29</v>
      </c>
      <c r="B410" s="22">
        <v>314304</v>
      </c>
      <c r="C410" s="22">
        <v>24484615</v>
      </c>
      <c r="D410" s="23">
        <v>521704078672</v>
      </c>
      <c r="E410" s="22" t="s">
        <v>737</v>
      </c>
      <c r="F410" s="22" t="s">
        <v>1939</v>
      </c>
      <c r="G410" s="22">
        <v>20170401</v>
      </c>
      <c r="H410" s="22">
        <v>20170501</v>
      </c>
      <c r="I410" s="22" t="s">
        <v>53</v>
      </c>
      <c r="J410" s="22"/>
      <c r="K410" s="22"/>
      <c r="L410" s="22" t="s">
        <v>34</v>
      </c>
      <c r="M410" s="22" t="s">
        <v>34</v>
      </c>
      <c r="N410" s="22" t="s">
        <v>35</v>
      </c>
      <c r="O410" s="22" t="s">
        <v>35</v>
      </c>
      <c r="P410" s="22" t="s">
        <v>35</v>
      </c>
      <c r="Q410" s="22" t="s">
        <v>35</v>
      </c>
      <c r="R410" s="22" t="s">
        <v>35</v>
      </c>
      <c r="S410" s="22" t="s">
        <v>34</v>
      </c>
      <c r="T410" s="22"/>
      <c r="U410" s="22"/>
      <c r="V410" s="22"/>
      <c r="W410" s="22"/>
      <c r="X410" s="22"/>
      <c r="Y410" s="22"/>
      <c r="Z410" s="22"/>
      <c r="AA410" s="22"/>
      <c r="AB410" s="22"/>
      <c r="AC410" s="22" t="s">
        <v>1923</v>
      </c>
      <c r="AD410" s="22">
        <v>20170413</v>
      </c>
      <c r="AE410" s="22">
        <v>409</v>
      </c>
      <c r="AF410" s="22"/>
      <c r="AG410" s="22" t="str">
        <f>IFERROR(VLOOKUP(TblFeedFile[[#This Row],[Leave Type ]],LkupPayType[],2,FALSE),"TBD")</f>
        <v>Paid</v>
      </c>
      <c r="AH410" s="22"/>
      <c r="AI410" s="25"/>
      <c r="AJ410" s="25"/>
      <c r="AK410" s="26"/>
    </row>
    <row r="411" spans="1:37" x14ac:dyDescent="0.25">
      <c r="A411" s="21" t="s">
        <v>37</v>
      </c>
      <c r="B411" s="22">
        <v>314304</v>
      </c>
      <c r="C411" s="22">
        <v>24484615</v>
      </c>
      <c r="D411" s="23" t="s">
        <v>2384</v>
      </c>
      <c r="E411" s="22" t="s">
        <v>737</v>
      </c>
      <c r="F411" s="22" t="s">
        <v>1939</v>
      </c>
      <c r="G411" s="22">
        <v>20170403</v>
      </c>
      <c r="H411" s="22">
        <v>20170507</v>
      </c>
      <c r="I411" s="22" t="s">
        <v>78</v>
      </c>
      <c r="J411" s="22"/>
      <c r="K411" s="22" t="s">
        <v>79</v>
      </c>
      <c r="L411" s="22" t="s">
        <v>34</v>
      </c>
      <c r="M411" s="22" t="s">
        <v>34</v>
      </c>
      <c r="N411" s="22" t="s">
        <v>35</v>
      </c>
      <c r="O411" s="22" t="s">
        <v>35</v>
      </c>
      <c r="P411" s="22" t="s">
        <v>35</v>
      </c>
      <c r="Q411" s="22" t="s">
        <v>35</v>
      </c>
      <c r="R411" s="22" t="s">
        <v>35</v>
      </c>
      <c r="S411" s="22" t="s">
        <v>34</v>
      </c>
      <c r="T411" s="22"/>
      <c r="U411" s="22"/>
      <c r="V411" s="22"/>
      <c r="W411" s="22"/>
      <c r="X411" s="22"/>
      <c r="Y411" s="22"/>
      <c r="Z411" s="22"/>
      <c r="AA411" s="22"/>
      <c r="AB411" s="22"/>
      <c r="AC411" s="22" t="s">
        <v>1896</v>
      </c>
      <c r="AD411" s="22">
        <v>20170413</v>
      </c>
      <c r="AE411" s="22">
        <v>410</v>
      </c>
      <c r="AF411" s="22"/>
      <c r="AG411" s="22" t="str">
        <f>IFERROR(VLOOKUP(TblFeedFile[[#This Row],[Leave Type ]],LkupPayType[],2,FALSE),"TBD")</f>
        <v>Unpaid</v>
      </c>
      <c r="AH411" s="22"/>
      <c r="AI411" s="25"/>
      <c r="AJ411" s="25"/>
      <c r="AK411" s="26"/>
    </row>
    <row r="412" spans="1:37" x14ac:dyDescent="0.25">
      <c r="A412" s="21" t="s">
        <v>37</v>
      </c>
      <c r="B412" s="22">
        <v>314304</v>
      </c>
      <c r="C412" s="22">
        <v>24484615</v>
      </c>
      <c r="D412" s="23">
        <v>521704078672</v>
      </c>
      <c r="E412" s="22" t="s">
        <v>737</v>
      </c>
      <c r="F412" s="22" t="s">
        <v>1939</v>
      </c>
      <c r="G412" s="22">
        <v>20170406</v>
      </c>
      <c r="H412" s="22">
        <v>20170507</v>
      </c>
      <c r="I412" s="22" t="s">
        <v>53</v>
      </c>
      <c r="J412" s="22"/>
      <c r="K412" s="22"/>
      <c r="L412" s="22" t="s">
        <v>34</v>
      </c>
      <c r="M412" s="22" t="s">
        <v>34</v>
      </c>
      <c r="N412" s="22" t="s">
        <v>35</v>
      </c>
      <c r="O412" s="22" t="s">
        <v>35</v>
      </c>
      <c r="P412" s="22" t="s">
        <v>35</v>
      </c>
      <c r="Q412" s="22" t="s">
        <v>35</v>
      </c>
      <c r="R412" s="22" t="s">
        <v>35</v>
      </c>
      <c r="S412" s="22" t="s">
        <v>34</v>
      </c>
      <c r="T412" s="22"/>
      <c r="U412" s="22"/>
      <c r="V412" s="22"/>
      <c r="W412" s="22"/>
      <c r="X412" s="22"/>
      <c r="Y412" s="22"/>
      <c r="Z412" s="22"/>
      <c r="AA412" s="22"/>
      <c r="AB412" s="22"/>
      <c r="AC412" s="22" t="s">
        <v>1923</v>
      </c>
      <c r="AD412" s="22">
        <v>20170413</v>
      </c>
      <c r="AE412" s="22">
        <v>411</v>
      </c>
      <c r="AF412" s="22"/>
      <c r="AG412" s="22" t="str">
        <f>IFERROR(VLOOKUP(TblFeedFile[[#This Row],[Leave Type ]],LkupPayType[],2,FALSE),"TBD")</f>
        <v>Paid</v>
      </c>
      <c r="AH412" s="22"/>
      <c r="AI412" s="25"/>
      <c r="AJ412" s="25"/>
      <c r="AK412" s="26"/>
    </row>
    <row r="413" spans="1:37" x14ac:dyDescent="0.25">
      <c r="A413" s="21" t="s">
        <v>37</v>
      </c>
      <c r="B413" s="22">
        <v>314304</v>
      </c>
      <c r="C413" s="22">
        <v>24484615</v>
      </c>
      <c r="D413" s="23">
        <v>521704078672</v>
      </c>
      <c r="E413" s="22" t="s">
        <v>737</v>
      </c>
      <c r="F413" s="22" t="s">
        <v>1939</v>
      </c>
      <c r="G413" s="22">
        <v>20170413</v>
      </c>
      <c r="H413" s="22">
        <v>20170507</v>
      </c>
      <c r="I413" s="22" t="s">
        <v>40</v>
      </c>
      <c r="J413" s="22"/>
      <c r="K413" s="22"/>
      <c r="L413" s="22" t="s">
        <v>34</v>
      </c>
      <c r="M413" s="22" t="s">
        <v>34</v>
      </c>
      <c r="N413" s="22" t="s">
        <v>35</v>
      </c>
      <c r="O413" s="22" t="s">
        <v>35</v>
      </c>
      <c r="P413" s="22" t="s">
        <v>35</v>
      </c>
      <c r="Q413" s="22" t="s">
        <v>35</v>
      </c>
      <c r="R413" s="22" t="s">
        <v>35</v>
      </c>
      <c r="S413" s="22" t="s">
        <v>34</v>
      </c>
      <c r="T413" s="22"/>
      <c r="U413" s="22"/>
      <c r="V413" s="22"/>
      <c r="W413" s="22"/>
      <c r="X413" s="22"/>
      <c r="Y413" s="22"/>
      <c r="Z413" s="22"/>
      <c r="AA413" s="22"/>
      <c r="AB413" s="22"/>
      <c r="AC413" s="22" t="s">
        <v>1922</v>
      </c>
      <c r="AD413" s="22">
        <v>20170413</v>
      </c>
      <c r="AE413" s="22">
        <v>412</v>
      </c>
      <c r="AF413" s="22"/>
      <c r="AG413" s="22" t="str">
        <f>IFERROR(VLOOKUP(TblFeedFile[[#This Row],[Leave Type ]],LkupPayType[],2,FALSE),"TBD")</f>
        <v>Paid</v>
      </c>
      <c r="AH413" s="22"/>
      <c r="AI413" s="25"/>
      <c r="AJ413" s="25"/>
      <c r="AK413" s="26"/>
    </row>
    <row r="414" spans="1:37" x14ac:dyDescent="0.25">
      <c r="A414" s="21" t="s">
        <v>37</v>
      </c>
      <c r="B414" s="22">
        <v>314304</v>
      </c>
      <c r="C414" s="22">
        <v>24487390</v>
      </c>
      <c r="D414" s="23">
        <v>541704138744</v>
      </c>
      <c r="E414" s="22" t="s">
        <v>2385</v>
      </c>
      <c r="F414" s="22" t="s">
        <v>2386</v>
      </c>
      <c r="G414" s="22">
        <v>20170330</v>
      </c>
      <c r="H414" s="22">
        <v>20170724</v>
      </c>
      <c r="I414" s="22" t="s">
        <v>53</v>
      </c>
      <c r="J414" s="22"/>
      <c r="K414" s="22"/>
      <c r="L414" s="22" t="s">
        <v>35</v>
      </c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 t="s">
        <v>1895</v>
      </c>
      <c r="AD414" s="22">
        <v>20170413</v>
      </c>
      <c r="AE414" s="22">
        <v>413</v>
      </c>
      <c r="AF414" s="22"/>
      <c r="AG414" s="22" t="str">
        <f>IFERROR(VLOOKUP(TblFeedFile[[#This Row],[Leave Type ]],LkupPayType[],2,FALSE),"TBD")</f>
        <v>Paid</v>
      </c>
      <c r="AH414" s="22"/>
      <c r="AI414" s="25"/>
      <c r="AJ414" s="25"/>
      <c r="AK414" s="26"/>
    </row>
    <row r="415" spans="1:37" x14ac:dyDescent="0.25">
      <c r="A415" s="21" t="s">
        <v>37</v>
      </c>
      <c r="B415" s="22">
        <v>314304</v>
      </c>
      <c r="C415" s="22">
        <v>24508119</v>
      </c>
      <c r="D415" s="23">
        <v>521704136402</v>
      </c>
      <c r="E415" s="22" t="s">
        <v>82</v>
      </c>
      <c r="F415" s="22" t="s">
        <v>2387</v>
      </c>
      <c r="G415" s="22">
        <v>20170107</v>
      </c>
      <c r="H415" s="22">
        <v>20170206</v>
      </c>
      <c r="I415" s="22" t="s">
        <v>53</v>
      </c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 t="s">
        <v>1927</v>
      </c>
      <c r="AD415" s="22">
        <v>20170413</v>
      </c>
      <c r="AE415" s="22">
        <v>414</v>
      </c>
      <c r="AF415" s="22"/>
      <c r="AG415" s="22" t="str">
        <f>IFERROR(VLOOKUP(TblFeedFile[[#This Row],[Leave Type ]],LkupPayType[],2,FALSE),"TBD")</f>
        <v>Paid</v>
      </c>
      <c r="AH415" s="22"/>
      <c r="AI415" s="25"/>
      <c r="AJ415" s="25"/>
      <c r="AK415" s="26"/>
    </row>
    <row r="416" spans="1:37" x14ac:dyDescent="0.25">
      <c r="A416" s="21" t="s">
        <v>37</v>
      </c>
      <c r="B416" s="22">
        <v>314301</v>
      </c>
      <c r="C416" s="22">
        <v>24513973</v>
      </c>
      <c r="D416" s="23">
        <v>511704038681</v>
      </c>
      <c r="E416" s="22" t="s">
        <v>2388</v>
      </c>
      <c r="F416" s="22" t="s">
        <v>2389</v>
      </c>
      <c r="G416" s="22">
        <v>20170406</v>
      </c>
      <c r="H416" s="22">
        <v>20170513</v>
      </c>
      <c r="I416" s="22" t="s">
        <v>53</v>
      </c>
      <c r="J416" s="22"/>
      <c r="K416" s="22"/>
      <c r="L416" s="22" t="s">
        <v>34</v>
      </c>
      <c r="M416" s="22" t="s">
        <v>34</v>
      </c>
      <c r="N416" s="22" t="s">
        <v>35</v>
      </c>
      <c r="O416" s="22" t="s">
        <v>35</v>
      </c>
      <c r="P416" s="22" t="s">
        <v>35</v>
      </c>
      <c r="Q416" s="22" t="s">
        <v>35</v>
      </c>
      <c r="R416" s="22" t="s">
        <v>35</v>
      </c>
      <c r="S416" s="22" t="s">
        <v>34</v>
      </c>
      <c r="T416" s="22"/>
      <c r="U416" s="22"/>
      <c r="V416" s="22"/>
      <c r="W416" s="22"/>
      <c r="X416" s="22"/>
      <c r="Y416" s="22"/>
      <c r="Z416" s="22"/>
      <c r="AA416" s="22"/>
      <c r="AB416" s="22"/>
      <c r="AC416" s="22" t="s">
        <v>1912</v>
      </c>
      <c r="AD416" s="22">
        <v>20170413</v>
      </c>
      <c r="AE416" s="22">
        <v>415</v>
      </c>
      <c r="AF416" s="22"/>
      <c r="AG416" s="22" t="str">
        <f>IFERROR(VLOOKUP(TblFeedFile[[#This Row],[Leave Type ]],LkupPayType[],2,FALSE),"TBD")</f>
        <v>Paid</v>
      </c>
      <c r="AH416" s="22"/>
      <c r="AI416" s="25"/>
      <c r="AJ416" s="25"/>
      <c r="AK416" s="26"/>
    </row>
    <row r="417" spans="1:37" x14ac:dyDescent="0.25">
      <c r="A417" s="21" t="s">
        <v>37</v>
      </c>
      <c r="B417" s="22">
        <v>314301</v>
      </c>
      <c r="C417" s="22">
        <v>24513973</v>
      </c>
      <c r="D417" s="23">
        <v>511704038681</v>
      </c>
      <c r="E417" s="22" t="s">
        <v>2388</v>
      </c>
      <c r="F417" s="22" t="s">
        <v>2389</v>
      </c>
      <c r="G417" s="22">
        <v>20170413</v>
      </c>
      <c r="H417" s="22">
        <v>20170513</v>
      </c>
      <c r="I417" s="22" t="s">
        <v>40</v>
      </c>
      <c r="J417" s="22"/>
      <c r="K417" s="22"/>
      <c r="L417" s="22" t="s">
        <v>34</v>
      </c>
      <c r="M417" s="22" t="s">
        <v>34</v>
      </c>
      <c r="N417" s="22" t="s">
        <v>35</v>
      </c>
      <c r="O417" s="22" t="s">
        <v>35</v>
      </c>
      <c r="P417" s="22" t="s">
        <v>35</v>
      </c>
      <c r="Q417" s="22" t="s">
        <v>35</v>
      </c>
      <c r="R417" s="22" t="s">
        <v>35</v>
      </c>
      <c r="S417" s="22" t="s">
        <v>34</v>
      </c>
      <c r="T417" s="22"/>
      <c r="U417" s="22"/>
      <c r="V417" s="22"/>
      <c r="W417" s="22"/>
      <c r="X417" s="22"/>
      <c r="Y417" s="22"/>
      <c r="Z417" s="22"/>
      <c r="AA417" s="22"/>
      <c r="AB417" s="22"/>
      <c r="AC417" s="22" t="s">
        <v>1908</v>
      </c>
      <c r="AD417" s="22">
        <v>20170413</v>
      </c>
      <c r="AE417" s="22">
        <v>416</v>
      </c>
      <c r="AF417" s="22"/>
      <c r="AG417" s="22" t="str">
        <f>IFERROR(VLOOKUP(TblFeedFile[[#This Row],[Leave Type ]],LkupPayType[],2,FALSE),"TBD")</f>
        <v>Paid</v>
      </c>
      <c r="AH417" s="22"/>
      <c r="AI417" s="25"/>
      <c r="AJ417" s="25"/>
      <c r="AK417" s="26"/>
    </row>
    <row r="418" spans="1:37" x14ac:dyDescent="0.25">
      <c r="A418" s="21" t="s">
        <v>29</v>
      </c>
      <c r="B418" s="22">
        <v>314304</v>
      </c>
      <c r="C418" s="22">
        <v>24521925</v>
      </c>
      <c r="D418" s="23" t="s">
        <v>2390</v>
      </c>
      <c r="E418" s="22" t="s">
        <v>2391</v>
      </c>
      <c r="F418" s="22" t="s">
        <v>2392</v>
      </c>
      <c r="G418" s="22">
        <v>20170317</v>
      </c>
      <c r="H418" s="22">
        <v>20170317</v>
      </c>
      <c r="I418" s="22" t="s">
        <v>33</v>
      </c>
      <c r="J418" s="22"/>
      <c r="K418" s="22"/>
      <c r="L418" s="22" t="s">
        <v>34</v>
      </c>
      <c r="M418" s="22" t="s">
        <v>34</v>
      </c>
      <c r="N418" s="22" t="s">
        <v>35</v>
      </c>
      <c r="O418" s="22" t="s">
        <v>35</v>
      </c>
      <c r="P418" s="22" t="s">
        <v>35</v>
      </c>
      <c r="Q418" s="22" t="s">
        <v>35</v>
      </c>
      <c r="R418" s="22" t="s">
        <v>35</v>
      </c>
      <c r="S418" s="22" t="s">
        <v>34</v>
      </c>
      <c r="T418" s="22"/>
      <c r="U418" s="22"/>
      <c r="V418" s="22"/>
      <c r="W418" s="22"/>
      <c r="X418" s="22"/>
      <c r="Y418" s="22"/>
      <c r="Z418" s="22"/>
      <c r="AA418" s="22"/>
      <c r="AB418" s="22"/>
      <c r="AC418" s="22" t="s">
        <v>1949</v>
      </c>
      <c r="AD418" s="22">
        <v>20170413</v>
      </c>
      <c r="AE418" s="22">
        <v>417</v>
      </c>
      <c r="AF418" s="22"/>
      <c r="AG418" s="22" t="str">
        <f>IFERROR(VLOOKUP(TblFeedFile[[#This Row],[Leave Type ]],LkupPayType[],2,FALSE),"TBD")</f>
        <v>Closed</v>
      </c>
      <c r="AH418" s="22"/>
      <c r="AI418" s="25"/>
      <c r="AJ418" s="25"/>
      <c r="AK418" s="26"/>
    </row>
    <row r="419" spans="1:37" x14ac:dyDescent="0.25">
      <c r="A419" s="21" t="s">
        <v>29</v>
      </c>
      <c r="B419" s="22">
        <v>314304</v>
      </c>
      <c r="C419" s="22">
        <v>24521925</v>
      </c>
      <c r="D419" s="23" t="s">
        <v>2390</v>
      </c>
      <c r="E419" s="22" t="s">
        <v>2391</v>
      </c>
      <c r="F419" s="22" t="s">
        <v>2392</v>
      </c>
      <c r="G419" s="22">
        <v>20170306</v>
      </c>
      <c r="H419" s="22">
        <v>20170316</v>
      </c>
      <c r="I419" s="22" t="s">
        <v>36</v>
      </c>
      <c r="J419" s="22"/>
      <c r="K419" s="22"/>
      <c r="L419" s="22" t="s">
        <v>34</v>
      </c>
      <c r="M419" s="22" t="s">
        <v>34</v>
      </c>
      <c r="N419" s="22" t="s">
        <v>35</v>
      </c>
      <c r="O419" s="22" t="s">
        <v>35</v>
      </c>
      <c r="P419" s="22" t="s">
        <v>35</v>
      </c>
      <c r="Q419" s="22" t="s">
        <v>35</v>
      </c>
      <c r="R419" s="22" t="s">
        <v>35</v>
      </c>
      <c r="S419" s="22" t="s">
        <v>34</v>
      </c>
      <c r="T419" s="22"/>
      <c r="U419" s="22"/>
      <c r="V419" s="22"/>
      <c r="W419" s="22"/>
      <c r="X419" s="22"/>
      <c r="Y419" s="22"/>
      <c r="Z419" s="22"/>
      <c r="AA419" s="22"/>
      <c r="AB419" s="22"/>
      <c r="AC419" s="22" t="s">
        <v>1935</v>
      </c>
      <c r="AD419" s="22">
        <v>20170413</v>
      </c>
      <c r="AE419" s="22">
        <v>418</v>
      </c>
      <c r="AF419" s="22"/>
      <c r="AG419" s="22" t="str">
        <f>IFERROR(VLOOKUP(TblFeedFile[[#This Row],[Leave Type ]],LkupPayType[],2,FALSE),"TBD")</f>
        <v>Unpaid</v>
      </c>
      <c r="AH419" s="22"/>
      <c r="AI419" s="25"/>
      <c r="AJ419" s="25"/>
      <c r="AK419" s="26"/>
    </row>
    <row r="420" spans="1:37" x14ac:dyDescent="0.25">
      <c r="A420" s="21" t="s">
        <v>37</v>
      </c>
      <c r="B420" s="22">
        <v>314304</v>
      </c>
      <c r="C420" s="22">
        <v>24521925</v>
      </c>
      <c r="D420" s="23" t="s">
        <v>2390</v>
      </c>
      <c r="E420" s="22" t="s">
        <v>2391</v>
      </c>
      <c r="F420" s="22" t="s">
        <v>2392</v>
      </c>
      <c r="G420" s="22">
        <v>20170306</v>
      </c>
      <c r="H420" s="22">
        <v>20170306</v>
      </c>
      <c r="I420" s="22" t="s">
        <v>43</v>
      </c>
      <c r="J420" s="22"/>
      <c r="K420" s="22"/>
      <c r="L420" s="22" t="s">
        <v>34</v>
      </c>
      <c r="M420" s="22" t="s">
        <v>34</v>
      </c>
      <c r="N420" s="22" t="s">
        <v>35</v>
      </c>
      <c r="O420" s="22" t="s">
        <v>35</v>
      </c>
      <c r="P420" s="22" t="s">
        <v>35</v>
      </c>
      <c r="Q420" s="22" t="s">
        <v>35</v>
      </c>
      <c r="R420" s="22" t="s">
        <v>35</v>
      </c>
      <c r="S420" s="22" t="s">
        <v>34</v>
      </c>
      <c r="T420" s="22"/>
      <c r="U420" s="22"/>
      <c r="V420" s="22"/>
      <c r="W420" s="22"/>
      <c r="X420" s="22"/>
      <c r="Y420" s="22"/>
      <c r="Z420" s="22"/>
      <c r="AA420" s="22"/>
      <c r="AB420" s="22"/>
      <c r="AC420" s="22" t="s">
        <v>1949</v>
      </c>
      <c r="AD420" s="22">
        <v>20170413</v>
      </c>
      <c r="AE420" s="22">
        <v>419</v>
      </c>
      <c r="AF420" s="22"/>
      <c r="AG420" s="22" t="str">
        <f>IFERROR(VLOOKUP(TblFeedFile[[#This Row],[Leave Type ]],LkupPayType[],2,FALSE),"TBD")</f>
        <v>Denied</v>
      </c>
      <c r="AH420" s="22"/>
      <c r="AI420" s="25" t="s">
        <v>35</v>
      </c>
      <c r="AJ420" s="25"/>
      <c r="AK420" s="26"/>
    </row>
    <row r="421" spans="1:37" x14ac:dyDescent="0.25">
      <c r="A421" s="21" t="s">
        <v>29</v>
      </c>
      <c r="B421" s="22">
        <v>314304</v>
      </c>
      <c r="C421" s="22">
        <v>24585980</v>
      </c>
      <c r="D421" s="23">
        <v>511703218359</v>
      </c>
      <c r="E421" s="22" t="s">
        <v>2014</v>
      </c>
      <c r="F421" s="22" t="s">
        <v>209</v>
      </c>
      <c r="G421" s="22">
        <v>20170411</v>
      </c>
      <c r="H421" s="22">
        <v>20170525</v>
      </c>
      <c r="I421" s="22" t="s">
        <v>53</v>
      </c>
      <c r="J421" s="22"/>
      <c r="K421" s="22"/>
      <c r="L421" s="22" t="s">
        <v>34</v>
      </c>
      <c r="M421" s="22" t="s">
        <v>34</v>
      </c>
      <c r="N421" s="22" t="s">
        <v>35</v>
      </c>
      <c r="O421" s="22" t="s">
        <v>35</v>
      </c>
      <c r="P421" s="22" t="s">
        <v>35</v>
      </c>
      <c r="Q421" s="22" t="s">
        <v>35</v>
      </c>
      <c r="R421" s="22" t="s">
        <v>35</v>
      </c>
      <c r="S421" s="22" t="s">
        <v>34</v>
      </c>
      <c r="T421" s="22"/>
      <c r="U421" s="22"/>
      <c r="V421" s="22"/>
      <c r="W421" s="22"/>
      <c r="X421" s="22"/>
      <c r="Y421" s="22"/>
      <c r="Z421" s="22"/>
      <c r="AA421" s="22"/>
      <c r="AB421" s="22"/>
      <c r="AC421" s="22" t="s">
        <v>1923</v>
      </c>
      <c r="AD421" s="22">
        <v>20170413</v>
      </c>
      <c r="AE421" s="22">
        <v>420</v>
      </c>
      <c r="AF421" s="22"/>
      <c r="AG421" s="22" t="str">
        <f>IFERROR(VLOOKUP(TblFeedFile[[#This Row],[Leave Type ]],LkupPayType[],2,FALSE),"TBD")</f>
        <v>Paid</v>
      </c>
      <c r="AH421" s="22"/>
      <c r="AI421" s="25"/>
      <c r="AJ421" s="25"/>
      <c r="AK421" s="26"/>
    </row>
    <row r="422" spans="1:37" x14ac:dyDescent="0.25">
      <c r="A422" s="21" t="s">
        <v>37</v>
      </c>
      <c r="B422" s="22">
        <v>314304</v>
      </c>
      <c r="C422" s="22">
        <v>24585980</v>
      </c>
      <c r="D422" s="23">
        <v>511703218359</v>
      </c>
      <c r="E422" s="22" t="s">
        <v>2014</v>
      </c>
      <c r="F422" s="22" t="s">
        <v>209</v>
      </c>
      <c r="G422" s="22">
        <v>20170411</v>
      </c>
      <c r="H422" s="22">
        <v>20170511</v>
      </c>
      <c r="I422" s="22" t="s">
        <v>53</v>
      </c>
      <c r="J422" s="22"/>
      <c r="K422" s="22"/>
      <c r="L422" s="22" t="s">
        <v>34</v>
      </c>
      <c r="M422" s="22" t="s">
        <v>34</v>
      </c>
      <c r="N422" s="22" t="s">
        <v>35</v>
      </c>
      <c r="O422" s="22" t="s">
        <v>35</v>
      </c>
      <c r="P422" s="22" t="s">
        <v>35</v>
      </c>
      <c r="Q422" s="22" t="s">
        <v>35</v>
      </c>
      <c r="R422" s="22" t="s">
        <v>35</v>
      </c>
      <c r="S422" s="22" t="s">
        <v>34</v>
      </c>
      <c r="T422" s="22"/>
      <c r="U422" s="22"/>
      <c r="V422" s="22"/>
      <c r="W422" s="22"/>
      <c r="X422" s="22"/>
      <c r="Y422" s="22"/>
      <c r="Z422" s="22"/>
      <c r="AA422" s="22"/>
      <c r="AB422" s="22"/>
      <c r="AC422" s="22" t="s">
        <v>1923</v>
      </c>
      <c r="AD422" s="22">
        <v>20170413</v>
      </c>
      <c r="AE422" s="22">
        <v>421</v>
      </c>
      <c r="AF422" s="22"/>
      <c r="AG422" s="22" t="str">
        <f>IFERROR(VLOOKUP(TblFeedFile[[#This Row],[Leave Type ]],LkupPayType[],2,FALSE),"TBD")</f>
        <v>Paid</v>
      </c>
      <c r="AH422" s="22"/>
      <c r="AI422" s="25"/>
      <c r="AJ422" s="25"/>
      <c r="AK422" s="26"/>
    </row>
    <row r="423" spans="1:37" x14ac:dyDescent="0.25">
      <c r="A423" s="21" t="s">
        <v>37</v>
      </c>
      <c r="B423" s="22">
        <v>314304</v>
      </c>
      <c r="C423" s="22">
        <v>24587693</v>
      </c>
      <c r="D423" s="23" t="s">
        <v>2393</v>
      </c>
      <c r="E423" s="22" t="s">
        <v>1254</v>
      </c>
      <c r="F423" s="22" t="s">
        <v>2394</v>
      </c>
      <c r="G423" s="22">
        <v>20170407</v>
      </c>
      <c r="H423" s="22">
        <v>20170414</v>
      </c>
      <c r="I423" s="22" t="s">
        <v>36</v>
      </c>
      <c r="J423" s="22"/>
      <c r="K423" s="22"/>
      <c r="L423" s="22" t="s">
        <v>34</v>
      </c>
      <c r="M423" s="22" t="s">
        <v>34</v>
      </c>
      <c r="N423" s="22" t="s">
        <v>35</v>
      </c>
      <c r="O423" s="22" t="s">
        <v>35</v>
      </c>
      <c r="P423" s="22" t="s">
        <v>35</v>
      </c>
      <c r="Q423" s="22" t="s">
        <v>35</v>
      </c>
      <c r="R423" s="22" t="s">
        <v>35</v>
      </c>
      <c r="S423" s="22" t="s">
        <v>34</v>
      </c>
      <c r="T423" s="22"/>
      <c r="U423" s="22"/>
      <c r="V423" s="22"/>
      <c r="W423" s="22"/>
      <c r="X423" s="22"/>
      <c r="Y423" s="22"/>
      <c r="Z423" s="22"/>
      <c r="AA423" s="22"/>
      <c r="AB423" s="22"/>
      <c r="AC423" s="22" t="s">
        <v>1905</v>
      </c>
      <c r="AD423" s="22">
        <v>20170413</v>
      </c>
      <c r="AE423" s="22">
        <v>422</v>
      </c>
      <c r="AF423" s="22"/>
      <c r="AG423" s="22" t="str">
        <f>IFERROR(VLOOKUP(TblFeedFile[[#This Row],[Leave Type ]],LkupPayType[],2,FALSE),"TBD")</f>
        <v>Unpaid</v>
      </c>
      <c r="AH423" s="22"/>
      <c r="AI423" s="25"/>
      <c r="AJ423" s="25"/>
      <c r="AK423" s="26"/>
    </row>
    <row r="424" spans="1:37" x14ac:dyDescent="0.25">
      <c r="A424" s="21" t="s">
        <v>29</v>
      </c>
      <c r="B424" s="22">
        <v>314304</v>
      </c>
      <c r="C424" s="22">
        <v>24595758</v>
      </c>
      <c r="D424" s="23">
        <v>521703278542</v>
      </c>
      <c r="E424" s="22" t="s">
        <v>1055</v>
      </c>
      <c r="F424" s="22" t="s">
        <v>1955</v>
      </c>
      <c r="G424" s="22">
        <v>20170403</v>
      </c>
      <c r="H424" s="22">
        <v>20170426</v>
      </c>
      <c r="I424" s="22" t="s">
        <v>40</v>
      </c>
      <c r="J424" s="22"/>
      <c r="K424" s="22"/>
      <c r="L424" s="22" t="s">
        <v>34</v>
      </c>
      <c r="M424" s="22" t="s">
        <v>34</v>
      </c>
      <c r="N424" s="22" t="s">
        <v>35</v>
      </c>
      <c r="O424" s="22" t="s">
        <v>35</v>
      </c>
      <c r="P424" s="22" t="s">
        <v>35</v>
      </c>
      <c r="Q424" s="22" t="s">
        <v>35</v>
      </c>
      <c r="R424" s="22" t="s">
        <v>35</v>
      </c>
      <c r="S424" s="22" t="s">
        <v>34</v>
      </c>
      <c r="T424" s="22"/>
      <c r="U424" s="22"/>
      <c r="V424" s="22"/>
      <c r="W424" s="22"/>
      <c r="X424" s="22"/>
      <c r="Y424" s="22"/>
      <c r="Z424" s="22"/>
      <c r="AA424" s="22"/>
      <c r="AB424" s="22"/>
      <c r="AC424" s="22" t="s">
        <v>1923</v>
      </c>
      <c r="AD424" s="22">
        <v>20170413</v>
      </c>
      <c r="AE424" s="22">
        <v>423</v>
      </c>
      <c r="AF424" s="22"/>
      <c r="AG424" s="22" t="str">
        <f>IFERROR(VLOOKUP(TblFeedFile[[#This Row],[Leave Type ]],LkupPayType[],2,FALSE),"TBD")</f>
        <v>Paid</v>
      </c>
      <c r="AH424" s="22"/>
      <c r="AI424" s="25"/>
      <c r="AJ424" s="25"/>
      <c r="AK424" s="26"/>
    </row>
    <row r="425" spans="1:37" x14ac:dyDescent="0.25">
      <c r="A425" s="21" t="s">
        <v>29</v>
      </c>
      <c r="B425" s="22">
        <v>314304</v>
      </c>
      <c r="C425" s="22">
        <v>24595758</v>
      </c>
      <c r="D425" s="23">
        <v>521703278542</v>
      </c>
      <c r="E425" s="22" t="s">
        <v>1055</v>
      </c>
      <c r="F425" s="22" t="s">
        <v>1955</v>
      </c>
      <c r="G425" s="22">
        <v>20170327</v>
      </c>
      <c r="H425" s="22">
        <v>20170426</v>
      </c>
      <c r="I425" s="22" t="s">
        <v>53</v>
      </c>
      <c r="J425" s="22"/>
      <c r="K425" s="22"/>
      <c r="L425" s="22" t="s">
        <v>34</v>
      </c>
      <c r="M425" s="22" t="s">
        <v>34</v>
      </c>
      <c r="N425" s="22" t="s">
        <v>35</v>
      </c>
      <c r="O425" s="22" t="s">
        <v>35</v>
      </c>
      <c r="P425" s="22" t="s">
        <v>35</v>
      </c>
      <c r="Q425" s="22" t="s">
        <v>35</v>
      </c>
      <c r="R425" s="22" t="s">
        <v>35</v>
      </c>
      <c r="S425" s="22" t="s">
        <v>34</v>
      </c>
      <c r="T425" s="22"/>
      <c r="U425" s="22"/>
      <c r="V425" s="22"/>
      <c r="W425" s="22"/>
      <c r="X425" s="22"/>
      <c r="Y425" s="22"/>
      <c r="Z425" s="22"/>
      <c r="AA425" s="22"/>
      <c r="AB425" s="22"/>
      <c r="AC425" s="22" t="s">
        <v>1921</v>
      </c>
      <c r="AD425" s="22">
        <v>20170413</v>
      </c>
      <c r="AE425" s="22">
        <v>424</v>
      </c>
      <c r="AF425" s="22"/>
      <c r="AG425" s="22" t="str">
        <f>IFERROR(VLOOKUP(TblFeedFile[[#This Row],[Leave Type ]],LkupPayType[],2,FALSE),"TBD")</f>
        <v>Paid</v>
      </c>
      <c r="AH425" s="22"/>
      <c r="AI425" s="25"/>
      <c r="AJ425" s="25"/>
      <c r="AK425" s="26"/>
    </row>
    <row r="426" spans="1:37" x14ac:dyDescent="0.25">
      <c r="A426" s="21" t="s">
        <v>37</v>
      </c>
      <c r="B426" s="22">
        <v>314304</v>
      </c>
      <c r="C426" s="22">
        <v>24595758</v>
      </c>
      <c r="D426" s="23">
        <v>521703278542</v>
      </c>
      <c r="E426" s="22" t="s">
        <v>1055</v>
      </c>
      <c r="F426" s="22" t="s">
        <v>1955</v>
      </c>
      <c r="G426" s="22">
        <v>20170325</v>
      </c>
      <c r="H426" s="22">
        <v>20170325</v>
      </c>
      <c r="I426" s="22" t="s">
        <v>43</v>
      </c>
      <c r="J426" s="22"/>
      <c r="K426" s="22"/>
      <c r="L426" s="22" t="s">
        <v>34</v>
      </c>
      <c r="M426" s="22" t="s">
        <v>34</v>
      </c>
      <c r="N426" s="22" t="s">
        <v>35</v>
      </c>
      <c r="O426" s="22" t="s">
        <v>35</v>
      </c>
      <c r="P426" s="22" t="s">
        <v>35</v>
      </c>
      <c r="Q426" s="22" t="s">
        <v>35</v>
      </c>
      <c r="R426" s="22" t="s">
        <v>35</v>
      </c>
      <c r="S426" s="22" t="s">
        <v>34</v>
      </c>
      <c r="T426" s="22"/>
      <c r="U426" s="22"/>
      <c r="V426" s="22"/>
      <c r="W426" s="22"/>
      <c r="X426" s="22"/>
      <c r="Y426" s="22"/>
      <c r="Z426" s="22"/>
      <c r="AA426" s="22"/>
      <c r="AB426" s="22"/>
      <c r="AC426" s="22" t="s">
        <v>1944</v>
      </c>
      <c r="AD426" s="22">
        <v>20170413</v>
      </c>
      <c r="AE426" s="22">
        <v>425</v>
      </c>
      <c r="AF426" s="22"/>
      <c r="AG426" s="22" t="str">
        <f>IFERROR(VLOOKUP(TblFeedFile[[#This Row],[Leave Type ]],LkupPayType[],2,FALSE),"TBD")</f>
        <v>Denied</v>
      </c>
      <c r="AH426" s="22"/>
      <c r="AI426" s="25"/>
      <c r="AJ426" s="25"/>
      <c r="AK426" s="26"/>
    </row>
    <row r="427" spans="1:37" x14ac:dyDescent="0.25">
      <c r="A427" s="21" t="s">
        <v>37</v>
      </c>
      <c r="B427" s="22">
        <v>314304</v>
      </c>
      <c r="C427" s="22">
        <v>24635331</v>
      </c>
      <c r="D427" s="23">
        <v>261703238296</v>
      </c>
      <c r="E427" s="22" t="s">
        <v>2395</v>
      </c>
      <c r="F427" s="22" t="s">
        <v>2396</v>
      </c>
      <c r="G427" s="22">
        <v>20170410</v>
      </c>
      <c r="H427" s="22">
        <v>20170528</v>
      </c>
      <c r="I427" s="22" t="s">
        <v>53</v>
      </c>
      <c r="J427" s="22"/>
      <c r="K427" s="22"/>
      <c r="L427" s="22" t="s">
        <v>34</v>
      </c>
      <c r="M427" s="22" t="s">
        <v>34</v>
      </c>
      <c r="N427" s="22" t="s">
        <v>35</v>
      </c>
      <c r="O427" s="22" t="s">
        <v>35</v>
      </c>
      <c r="P427" s="22" t="s">
        <v>35</v>
      </c>
      <c r="Q427" s="22" t="s">
        <v>35</v>
      </c>
      <c r="R427" s="22" t="s">
        <v>35</v>
      </c>
      <c r="S427" s="22" t="s">
        <v>34</v>
      </c>
      <c r="T427" s="22"/>
      <c r="U427" s="22"/>
      <c r="V427" s="22"/>
      <c r="W427" s="22"/>
      <c r="X427" s="22"/>
      <c r="Y427" s="22"/>
      <c r="Z427" s="22"/>
      <c r="AA427" s="22"/>
      <c r="AB427" s="22"/>
      <c r="AC427" s="22" t="s">
        <v>1900</v>
      </c>
      <c r="AD427" s="22">
        <v>20170413</v>
      </c>
      <c r="AE427" s="22">
        <v>426</v>
      </c>
      <c r="AF427" s="22"/>
      <c r="AG427" s="22" t="str">
        <f>IFERROR(VLOOKUP(TblFeedFile[[#This Row],[Leave Type ]],LkupPayType[],2,FALSE),"TBD")</f>
        <v>Paid</v>
      </c>
      <c r="AH427" s="22"/>
      <c r="AI427" s="25"/>
      <c r="AJ427" s="25"/>
      <c r="AK427" s="26"/>
    </row>
    <row r="428" spans="1:37" x14ac:dyDescent="0.25">
      <c r="A428" s="21" t="s">
        <v>37</v>
      </c>
      <c r="B428" s="22">
        <v>314304</v>
      </c>
      <c r="C428" s="22">
        <v>24639643</v>
      </c>
      <c r="D428" s="23" t="s">
        <v>2397</v>
      </c>
      <c r="E428" s="22" t="s">
        <v>544</v>
      </c>
      <c r="F428" s="22" t="s">
        <v>2398</v>
      </c>
      <c r="G428" s="22">
        <v>20170413</v>
      </c>
      <c r="H428" s="22">
        <v>20170530</v>
      </c>
      <c r="I428" s="22" t="s">
        <v>78</v>
      </c>
      <c r="J428" s="22"/>
      <c r="K428" s="22"/>
      <c r="L428" s="22" t="s">
        <v>34</v>
      </c>
      <c r="M428" s="22" t="s">
        <v>34</v>
      </c>
      <c r="N428" s="22" t="s">
        <v>35</v>
      </c>
      <c r="O428" s="22" t="s">
        <v>35</v>
      </c>
      <c r="P428" s="22" t="s">
        <v>35</v>
      </c>
      <c r="Q428" s="22" t="s">
        <v>35</v>
      </c>
      <c r="R428" s="22" t="s">
        <v>35</v>
      </c>
      <c r="S428" s="22" t="s">
        <v>34</v>
      </c>
      <c r="T428" s="22"/>
      <c r="U428" s="22"/>
      <c r="V428" s="22"/>
      <c r="W428" s="22"/>
      <c r="X428" s="22"/>
      <c r="Y428" s="22"/>
      <c r="Z428" s="22"/>
      <c r="AA428" s="22"/>
      <c r="AB428" s="22"/>
      <c r="AC428" s="22" t="s">
        <v>2399</v>
      </c>
      <c r="AD428" s="22">
        <v>20170413</v>
      </c>
      <c r="AE428" s="22">
        <v>427</v>
      </c>
      <c r="AF428" s="22"/>
      <c r="AG428" s="22" t="str">
        <f>IFERROR(VLOOKUP(TblFeedFile[[#This Row],[Leave Type ]],LkupPayType[],2,FALSE),"TBD")</f>
        <v>Unpaid</v>
      </c>
      <c r="AH428" s="22"/>
      <c r="AI428" s="25"/>
      <c r="AJ428" s="25"/>
      <c r="AK428" s="26"/>
    </row>
    <row r="429" spans="1:37" x14ac:dyDescent="0.25">
      <c r="A429" s="21" t="s">
        <v>37</v>
      </c>
      <c r="B429" s="22">
        <v>314304</v>
      </c>
      <c r="C429" s="22">
        <v>24660916</v>
      </c>
      <c r="D429" s="23">
        <v>521704138672</v>
      </c>
      <c r="E429" s="22" t="s">
        <v>2016</v>
      </c>
      <c r="F429" s="22" t="s">
        <v>1504</v>
      </c>
      <c r="G429" s="22">
        <v>20170411</v>
      </c>
      <c r="H429" s="22">
        <v>20170511</v>
      </c>
      <c r="I429" s="22" t="s">
        <v>53</v>
      </c>
      <c r="J429" s="22"/>
      <c r="K429" s="22"/>
      <c r="L429" s="22" t="s">
        <v>34</v>
      </c>
      <c r="M429" s="22" t="s">
        <v>34</v>
      </c>
      <c r="N429" s="22" t="s">
        <v>35</v>
      </c>
      <c r="O429" s="22" t="s">
        <v>35</v>
      </c>
      <c r="P429" s="22" t="s">
        <v>35</v>
      </c>
      <c r="Q429" s="22" t="s">
        <v>35</v>
      </c>
      <c r="R429" s="22" t="s">
        <v>35</v>
      </c>
      <c r="S429" s="22" t="s">
        <v>34</v>
      </c>
      <c r="T429" s="22"/>
      <c r="U429" s="22"/>
      <c r="V429" s="22"/>
      <c r="W429" s="22"/>
      <c r="X429" s="22"/>
      <c r="Y429" s="22"/>
      <c r="Z429" s="22"/>
      <c r="AA429" s="22"/>
      <c r="AB429" s="22"/>
      <c r="AC429" s="22" t="s">
        <v>1900</v>
      </c>
      <c r="AD429" s="22">
        <v>20170413</v>
      </c>
      <c r="AE429" s="22">
        <v>428</v>
      </c>
      <c r="AF429" s="22"/>
      <c r="AG429" s="22" t="str">
        <f>IFERROR(VLOOKUP(TblFeedFile[[#This Row],[Leave Type ]],LkupPayType[],2,FALSE),"TBD")</f>
        <v>Paid</v>
      </c>
      <c r="AH429" s="22"/>
      <c r="AI429" s="25"/>
      <c r="AJ429" s="25"/>
      <c r="AK429" s="26"/>
    </row>
    <row r="430" spans="1:37" x14ac:dyDescent="0.25">
      <c r="A430" s="21" t="s">
        <v>29</v>
      </c>
      <c r="B430" s="22">
        <v>314304</v>
      </c>
      <c r="C430" s="22">
        <v>24672800</v>
      </c>
      <c r="D430" s="23">
        <v>521704058312</v>
      </c>
      <c r="E430" s="22" t="s">
        <v>51</v>
      </c>
      <c r="F430" s="22" t="s">
        <v>421</v>
      </c>
      <c r="G430" s="22">
        <v>20170406</v>
      </c>
      <c r="H430" s="22">
        <v>20170506</v>
      </c>
      <c r="I430" s="22" t="s">
        <v>53</v>
      </c>
      <c r="J430" s="22"/>
      <c r="K430" s="22"/>
      <c r="L430" s="22" t="s">
        <v>34</v>
      </c>
      <c r="M430" s="22" t="s">
        <v>34</v>
      </c>
      <c r="N430" s="22" t="s">
        <v>35</v>
      </c>
      <c r="O430" s="22" t="s">
        <v>35</v>
      </c>
      <c r="P430" s="22" t="s">
        <v>35</v>
      </c>
      <c r="Q430" s="22" t="s">
        <v>35</v>
      </c>
      <c r="R430" s="22" t="s">
        <v>35</v>
      </c>
      <c r="S430" s="22" t="s">
        <v>34</v>
      </c>
      <c r="T430" s="22"/>
      <c r="U430" s="22"/>
      <c r="V430" s="22"/>
      <c r="W430" s="22"/>
      <c r="X430" s="22"/>
      <c r="Y430" s="22"/>
      <c r="Z430" s="22"/>
      <c r="AA430" s="22"/>
      <c r="AB430" s="22"/>
      <c r="AC430" s="22" t="s">
        <v>1923</v>
      </c>
      <c r="AD430" s="22">
        <v>20170413</v>
      </c>
      <c r="AE430" s="22">
        <v>429</v>
      </c>
      <c r="AF430" s="22"/>
      <c r="AG430" s="22" t="str">
        <f>IFERROR(VLOOKUP(TblFeedFile[[#This Row],[Leave Type ]],LkupPayType[],2,FALSE),"TBD")</f>
        <v>Paid</v>
      </c>
      <c r="AH430" s="22"/>
      <c r="AI430" s="25"/>
      <c r="AJ430" s="25"/>
      <c r="AK430" s="26"/>
    </row>
    <row r="431" spans="1:37" x14ac:dyDescent="0.25">
      <c r="A431" s="21" t="s">
        <v>37</v>
      </c>
      <c r="B431" s="22">
        <v>314304</v>
      </c>
      <c r="C431" s="22">
        <v>24672800</v>
      </c>
      <c r="D431" s="23" t="s">
        <v>2400</v>
      </c>
      <c r="E431" s="22" t="s">
        <v>51</v>
      </c>
      <c r="F431" s="22" t="s">
        <v>421</v>
      </c>
      <c r="G431" s="22">
        <v>20170406</v>
      </c>
      <c r="H431" s="22">
        <v>20170506</v>
      </c>
      <c r="I431" s="22" t="s">
        <v>78</v>
      </c>
      <c r="J431" s="22"/>
      <c r="K431" s="22" t="s">
        <v>79</v>
      </c>
      <c r="L431" s="22" t="s">
        <v>34</v>
      </c>
      <c r="M431" s="22" t="s">
        <v>34</v>
      </c>
      <c r="N431" s="22" t="s">
        <v>35</v>
      </c>
      <c r="O431" s="22" t="s">
        <v>35</v>
      </c>
      <c r="P431" s="22" t="s">
        <v>35</v>
      </c>
      <c r="Q431" s="22" t="s">
        <v>35</v>
      </c>
      <c r="R431" s="22" t="s">
        <v>35</v>
      </c>
      <c r="S431" s="22" t="s">
        <v>34</v>
      </c>
      <c r="T431" s="22"/>
      <c r="U431" s="22"/>
      <c r="V431" s="22"/>
      <c r="W431" s="22"/>
      <c r="X431" s="22"/>
      <c r="Y431" s="22"/>
      <c r="Z431" s="22"/>
      <c r="AA431" s="22"/>
      <c r="AB431" s="22"/>
      <c r="AC431" s="22" t="s">
        <v>1896</v>
      </c>
      <c r="AD431" s="22">
        <v>20170413</v>
      </c>
      <c r="AE431" s="22">
        <v>430</v>
      </c>
      <c r="AF431" s="22"/>
      <c r="AG431" s="22" t="str">
        <f>IFERROR(VLOOKUP(TblFeedFile[[#This Row],[Leave Type ]],LkupPayType[],2,FALSE),"TBD")</f>
        <v>Unpaid</v>
      </c>
      <c r="AH431" s="22"/>
      <c r="AI431" s="25"/>
      <c r="AJ431" s="25"/>
      <c r="AK431" s="26"/>
    </row>
    <row r="432" spans="1:37" x14ac:dyDescent="0.25">
      <c r="A432" s="21" t="s">
        <v>37</v>
      </c>
      <c r="B432" s="22">
        <v>314304</v>
      </c>
      <c r="C432" s="22">
        <v>24797848</v>
      </c>
      <c r="D432" s="23">
        <v>501704138738</v>
      </c>
      <c r="E432" s="22" t="s">
        <v>331</v>
      </c>
      <c r="F432" s="22" t="s">
        <v>126</v>
      </c>
      <c r="G432" s="22">
        <v>20170413</v>
      </c>
      <c r="H432" s="22">
        <v>20170707</v>
      </c>
      <c r="I432" s="22" t="s">
        <v>53</v>
      </c>
      <c r="J432" s="22"/>
      <c r="K432" s="22"/>
      <c r="L432" s="22" t="s">
        <v>34</v>
      </c>
      <c r="M432" s="22" t="s">
        <v>34</v>
      </c>
      <c r="N432" s="22" t="s">
        <v>35</v>
      </c>
      <c r="O432" s="22" t="s">
        <v>35</v>
      </c>
      <c r="P432" s="22" t="s">
        <v>35</v>
      </c>
      <c r="Q432" s="22" t="s">
        <v>35</v>
      </c>
      <c r="R432" s="22" t="s">
        <v>35</v>
      </c>
      <c r="S432" s="22" t="s">
        <v>34</v>
      </c>
      <c r="T432" s="22"/>
      <c r="U432" s="22"/>
      <c r="V432" s="22"/>
      <c r="W432" s="22"/>
      <c r="X432" s="22"/>
      <c r="Y432" s="22"/>
      <c r="Z432" s="22"/>
      <c r="AA432" s="22"/>
      <c r="AB432" s="22"/>
      <c r="AC432" s="22" t="s">
        <v>1912</v>
      </c>
      <c r="AD432" s="22">
        <v>20170413</v>
      </c>
      <c r="AE432" s="22">
        <v>431</v>
      </c>
      <c r="AF432" s="22"/>
      <c r="AG432" s="22" t="str">
        <f>IFERROR(VLOOKUP(TblFeedFile[[#This Row],[Leave Type ]],LkupPayType[],2,FALSE),"TBD")</f>
        <v>Paid</v>
      </c>
      <c r="AH432" s="22"/>
      <c r="AI432" s="25"/>
      <c r="AJ432" s="25"/>
      <c r="AK432" s="26"/>
    </row>
    <row r="433" spans="1:37" x14ac:dyDescent="0.25">
      <c r="A433" s="21" t="s">
        <v>37</v>
      </c>
      <c r="B433" s="22">
        <v>314304</v>
      </c>
      <c r="C433" s="22">
        <v>24806142</v>
      </c>
      <c r="D433" s="23">
        <v>511701198809</v>
      </c>
      <c r="E433" s="22" t="s">
        <v>2401</v>
      </c>
      <c r="F433" s="22" t="s">
        <v>2402</v>
      </c>
      <c r="G433" s="22">
        <v>20170413</v>
      </c>
      <c r="H433" s="22">
        <v>20171101</v>
      </c>
      <c r="I433" s="22" t="s">
        <v>40</v>
      </c>
      <c r="J433" s="22"/>
      <c r="K433" s="22"/>
      <c r="L433" s="22" t="s">
        <v>34</v>
      </c>
      <c r="M433" s="22" t="s">
        <v>34</v>
      </c>
      <c r="N433" s="22" t="s">
        <v>35</v>
      </c>
      <c r="O433" s="22" t="s">
        <v>35</v>
      </c>
      <c r="P433" s="22" t="s">
        <v>35</v>
      </c>
      <c r="Q433" s="22" t="s">
        <v>35</v>
      </c>
      <c r="R433" s="22" t="s">
        <v>35</v>
      </c>
      <c r="S433" s="22" t="s">
        <v>34</v>
      </c>
      <c r="T433" s="22"/>
      <c r="U433" s="22"/>
      <c r="V433" s="22"/>
      <c r="W433" s="22"/>
      <c r="X433" s="22"/>
      <c r="Y433" s="22"/>
      <c r="Z433" s="22"/>
      <c r="AA433" s="22"/>
      <c r="AB433" s="22"/>
      <c r="AC433" s="22" t="s">
        <v>1902</v>
      </c>
      <c r="AD433" s="22">
        <v>20170413</v>
      </c>
      <c r="AE433" s="22">
        <v>432</v>
      </c>
      <c r="AF433" s="22"/>
      <c r="AG433" s="22" t="str">
        <f>IFERROR(VLOOKUP(TblFeedFile[[#This Row],[Leave Type ]],LkupPayType[],2,FALSE),"TBD")</f>
        <v>Paid</v>
      </c>
      <c r="AH433" s="22"/>
      <c r="AI433" s="25"/>
      <c r="AJ433" s="25"/>
      <c r="AK433" s="26"/>
    </row>
    <row r="434" spans="1:37" x14ac:dyDescent="0.25">
      <c r="A434" s="21" t="s">
        <v>29</v>
      </c>
      <c r="B434" s="22">
        <v>314304</v>
      </c>
      <c r="C434" s="22">
        <v>24824328</v>
      </c>
      <c r="D434" s="23" t="s">
        <v>2403</v>
      </c>
      <c r="E434" s="22" t="s">
        <v>2404</v>
      </c>
      <c r="F434" s="22" t="s">
        <v>2405</v>
      </c>
      <c r="G434" s="22">
        <v>20170406</v>
      </c>
      <c r="H434" s="22">
        <v>20170406</v>
      </c>
      <c r="I434" s="22" t="s">
        <v>33</v>
      </c>
      <c r="J434" s="22"/>
      <c r="K434" s="22"/>
      <c r="L434" s="22" t="s">
        <v>34</v>
      </c>
      <c r="M434" s="22" t="s">
        <v>34</v>
      </c>
      <c r="N434" s="22" t="s">
        <v>35</v>
      </c>
      <c r="O434" s="22" t="s">
        <v>35</v>
      </c>
      <c r="P434" s="22" t="s">
        <v>35</v>
      </c>
      <c r="Q434" s="22" t="s">
        <v>35</v>
      </c>
      <c r="R434" s="22" t="s">
        <v>35</v>
      </c>
      <c r="S434" s="22" t="s">
        <v>34</v>
      </c>
      <c r="T434" s="22"/>
      <c r="U434" s="22"/>
      <c r="V434" s="22"/>
      <c r="W434" s="22"/>
      <c r="X434" s="22"/>
      <c r="Y434" s="22"/>
      <c r="Z434" s="22"/>
      <c r="AA434" s="22"/>
      <c r="AB434" s="22"/>
      <c r="AC434" s="22" t="s">
        <v>1957</v>
      </c>
      <c r="AD434" s="22">
        <v>20170413</v>
      </c>
      <c r="AE434" s="22">
        <v>433</v>
      </c>
      <c r="AF434" s="22"/>
      <c r="AG434" s="22" t="str">
        <f>IFERROR(VLOOKUP(TblFeedFile[[#This Row],[Leave Type ]],LkupPayType[],2,FALSE),"TBD")</f>
        <v>Closed</v>
      </c>
      <c r="AH434" s="22"/>
      <c r="AI434" s="25"/>
      <c r="AJ434" s="25"/>
      <c r="AK434" s="26"/>
    </row>
    <row r="435" spans="1:37" x14ac:dyDescent="0.25">
      <c r="A435" s="21" t="s">
        <v>37</v>
      </c>
      <c r="B435" s="22">
        <v>314304</v>
      </c>
      <c r="C435" s="22">
        <v>24824328</v>
      </c>
      <c r="D435" s="23" t="s">
        <v>2403</v>
      </c>
      <c r="E435" s="22" t="s">
        <v>2404</v>
      </c>
      <c r="F435" s="22" t="s">
        <v>2405</v>
      </c>
      <c r="G435" s="22">
        <v>20170406</v>
      </c>
      <c r="H435" s="22">
        <v>20170411</v>
      </c>
      <c r="I435" s="22" t="s">
        <v>36</v>
      </c>
      <c r="J435" s="22"/>
      <c r="K435" s="22"/>
      <c r="L435" s="22" t="s">
        <v>34</v>
      </c>
      <c r="M435" s="22" t="s">
        <v>34</v>
      </c>
      <c r="N435" s="22" t="s">
        <v>35</v>
      </c>
      <c r="O435" s="22" t="s">
        <v>35</v>
      </c>
      <c r="P435" s="22" t="s">
        <v>35</v>
      </c>
      <c r="Q435" s="22" t="s">
        <v>35</v>
      </c>
      <c r="R435" s="22" t="s">
        <v>35</v>
      </c>
      <c r="S435" s="22" t="s">
        <v>34</v>
      </c>
      <c r="T435" s="22">
        <v>20170412</v>
      </c>
      <c r="U435" s="22"/>
      <c r="V435" s="22"/>
      <c r="W435" s="22"/>
      <c r="X435" s="22"/>
      <c r="Y435" s="22"/>
      <c r="Z435" s="22"/>
      <c r="AA435" s="22"/>
      <c r="AB435" s="22"/>
      <c r="AC435" s="22" t="s">
        <v>2037</v>
      </c>
      <c r="AD435" s="22">
        <v>20170413</v>
      </c>
      <c r="AE435" s="22">
        <v>434</v>
      </c>
      <c r="AF435" s="22"/>
      <c r="AG435" s="22" t="str">
        <f>IFERROR(VLOOKUP(TblFeedFile[[#This Row],[Leave Type ]],LkupPayType[],2,FALSE),"TBD")</f>
        <v>Unpaid</v>
      </c>
      <c r="AH435" s="22"/>
      <c r="AI435" s="25" t="s">
        <v>35</v>
      </c>
      <c r="AJ435" s="25"/>
      <c r="AK435" s="26" t="s">
        <v>35</v>
      </c>
    </row>
    <row r="436" spans="1:37" x14ac:dyDescent="0.25">
      <c r="A436" s="21" t="s">
        <v>37</v>
      </c>
      <c r="B436" s="22">
        <v>314304</v>
      </c>
      <c r="C436" s="22">
        <v>24829625</v>
      </c>
      <c r="D436" s="23">
        <v>561703288726</v>
      </c>
      <c r="E436" s="22" t="s">
        <v>2406</v>
      </c>
      <c r="F436" s="22" t="s">
        <v>305</v>
      </c>
      <c r="G436" s="22">
        <v>20170405</v>
      </c>
      <c r="H436" s="22">
        <v>20170517</v>
      </c>
      <c r="I436" s="22" t="s">
        <v>40</v>
      </c>
      <c r="J436" s="22"/>
      <c r="K436" s="22"/>
      <c r="L436" s="22" t="s">
        <v>34</v>
      </c>
      <c r="M436" s="22" t="s">
        <v>34</v>
      </c>
      <c r="N436" s="22" t="s">
        <v>35</v>
      </c>
      <c r="O436" s="22" t="s">
        <v>35</v>
      </c>
      <c r="P436" s="22" t="s">
        <v>35</v>
      </c>
      <c r="Q436" s="22" t="s">
        <v>35</v>
      </c>
      <c r="R436" s="22" t="s">
        <v>35</v>
      </c>
      <c r="S436" s="22" t="s">
        <v>34</v>
      </c>
      <c r="T436" s="22"/>
      <c r="U436" s="22"/>
      <c r="V436" s="22"/>
      <c r="W436" s="22"/>
      <c r="X436" s="22"/>
      <c r="Y436" s="22"/>
      <c r="Z436" s="22"/>
      <c r="AA436" s="22"/>
      <c r="AB436" s="22"/>
      <c r="AC436" s="22" t="s">
        <v>1922</v>
      </c>
      <c r="AD436" s="22">
        <v>20170413</v>
      </c>
      <c r="AE436" s="22">
        <v>435</v>
      </c>
      <c r="AF436" s="22"/>
      <c r="AG436" s="22" t="str">
        <f>IFERROR(VLOOKUP(TblFeedFile[[#This Row],[Leave Type ]],LkupPayType[],2,FALSE),"TBD")</f>
        <v>Paid</v>
      </c>
      <c r="AH436" s="22"/>
      <c r="AI436" s="25"/>
      <c r="AJ436" s="25"/>
      <c r="AK436" s="26"/>
    </row>
    <row r="437" spans="1:37" x14ac:dyDescent="0.25">
      <c r="A437" s="21" t="s">
        <v>29</v>
      </c>
      <c r="B437" s="22">
        <v>314304</v>
      </c>
      <c r="C437" s="22">
        <v>24865988</v>
      </c>
      <c r="D437" s="23">
        <v>551704108955</v>
      </c>
      <c r="E437" s="22" t="s">
        <v>1041</v>
      </c>
      <c r="F437" s="22" t="s">
        <v>2407</v>
      </c>
      <c r="G437" s="22">
        <v>20170401</v>
      </c>
      <c r="H437" s="22">
        <v>20170501</v>
      </c>
      <c r="I437" s="22" t="s">
        <v>53</v>
      </c>
      <c r="J437" s="22"/>
      <c r="K437" s="22"/>
      <c r="L437" s="22" t="s">
        <v>34</v>
      </c>
      <c r="M437" s="22" t="s">
        <v>34</v>
      </c>
      <c r="N437" s="22" t="s">
        <v>35</v>
      </c>
      <c r="O437" s="22" t="s">
        <v>35</v>
      </c>
      <c r="P437" s="22" t="s">
        <v>35</v>
      </c>
      <c r="Q437" s="22" t="s">
        <v>35</v>
      </c>
      <c r="R437" s="22" t="s">
        <v>35</v>
      </c>
      <c r="S437" s="22" t="s">
        <v>34</v>
      </c>
      <c r="T437" s="22"/>
      <c r="U437" s="22"/>
      <c r="V437" s="22"/>
      <c r="W437" s="22"/>
      <c r="X437" s="22"/>
      <c r="Y437" s="22"/>
      <c r="Z437" s="22"/>
      <c r="AA437" s="22"/>
      <c r="AB437" s="22"/>
      <c r="AC437" s="22" t="s">
        <v>1900</v>
      </c>
      <c r="AD437" s="22">
        <v>20170413</v>
      </c>
      <c r="AE437" s="22">
        <v>436</v>
      </c>
      <c r="AF437" s="22"/>
      <c r="AG437" s="22" t="str">
        <f>IFERROR(VLOOKUP(TblFeedFile[[#This Row],[Leave Type ]],LkupPayType[],2,FALSE),"TBD")</f>
        <v>Paid</v>
      </c>
      <c r="AH437" s="22"/>
      <c r="AI437" s="25"/>
      <c r="AJ437" s="25"/>
      <c r="AK437" s="26"/>
    </row>
    <row r="438" spans="1:37" x14ac:dyDescent="0.25">
      <c r="A438" s="21" t="s">
        <v>37</v>
      </c>
      <c r="B438" s="22">
        <v>314304</v>
      </c>
      <c r="C438" s="22">
        <v>24865988</v>
      </c>
      <c r="D438" s="23">
        <v>551704108955</v>
      </c>
      <c r="E438" s="22" t="s">
        <v>1041</v>
      </c>
      <c r="F438" s="22" t="s">
        <v>2407</v>
      </c>
      <c r="G438" s="22">
        <v>20170403</v>
      </c>
      <c r="H438" s="22">
        <v>20170510</v>
      </c>
      <c r="I438" s="22" t="s">
        <v>53</v>
      </c>
      <c r="J438" s="22"/>
      <c r="K438" s="22"/>
      <c r="L438" s="22" t="s">
        <v>34</v>
      </c>
      <c r="M438" s="22" t="s">
        <v>34</v>
      </c>
      <c r="N438" s="22" t="s">
        <v>35</v>
      </c>
      <c r="O438" s="22" t="s">
        <v>35</v>
      </c>
      <c r="P438" s="22" t="s">
        <v>35</v>
      </c>
      <c r="Q438" s="22" t="s">
        <v>35</v>
      </c>
      <c r="R438" s="22" t="s">
        <v>35</v>
      </c>
      <c r="S438" s="22" t="s">
        <v>34</v>
      </c>
      <c r="T438" s="22"/>
      <c r="U438" s="22"/>
      <c r="V438" s="22"/>
      <c r="W438" s="22"/>
      <c r="X438" s="22"/>
      <c r="Y438" s="22"/>
      <c r="Z438" s="22"/>
      <c r="AA438" s="22"/>
      <c r="AB438" s="22"/>
      <c r="AC438" s="22" t="s">
        <v>1900</v>
      </c>
      <c r="AD438" s="22">
        <v>20170413</v>
      </c>
      <c r="AE438" s="22">
        <v>437</v>
      </c>
      <c r="AF438" s="22"/>
      <c r="AG438" s="22" t="str">
        <f>IFERROR(VLOOKUP(TblFeedFile[[#This Row],[Leave Type ]],LkupPayType[],2,FALSE),"TBD")</f>
        <v>Paid</v>
      </c>
      <c r="AH438" s="22"/>
      <c r="AI438" s="25"/>
      <c r="AJ438" s="25"/>
      <c r="AK438" s="26"/>
    </row>
    <row r="439" spans="1:37" x14ac:dyDescent="0.25">
      <c r="A439" s="21" t="s">
        <v>37</v>
      </c>
      <c r="B439" s="22">
        <v>314304</v>
      </c>
      <c r="C439" s="22">
        <v>24865988</v>
      </c>
      <c r="D439" s="23">
        <v>551704108955</v>
      </c>
      <c r="E439" s="22" t="s">
        <v>1041</v>
      </c>
      <c r="F439" s="22" t="s">
        <v>2407</v>
      </c>
      <c r="G439" s="22">
        <v>20170410</v>
      </c>
      <c r="H439" s="22">
        <v>20170510</v>
      </c>
      <c r="I439" s="22" t="s">
        <v>40</v>
      </c>
      <c r="J439" s="22"/>
      <c r="K439" s="22"/>
      <c r="L439" s="22" t="s">
        <v>34</v>
      </c>
      <c r="M439" s="22" t="s">
        <v>34</v>
      </c>
      <c r="N439" s="22" t="s">
        <v>35</v>
      </c>
      <c r="O439" s="22" t="s">
        <v>35</v>
      </c>
      <c r="P439" s="22" t="s">
        <v>35</v>
      </c>
      <c r="Q439" s="22" t="s">
        <v>35</v>
      </c>
      <c r="R439" s="22" t="s">
        <v>35</v>
      </c>
      <c r="S439" s="22" t="s">
        <v>34</v>
      </c>
      <c r="T439" s="22"/>
      <c r="U439" s="22"/>
      <c r="V439" s="22"/>
      <c r="W439" s="22"/>
      <c r="X439" s="22"/>
      <c r="Y439" s="22"/>
      <c r="Z439" s="22"/>
      <c r="AA439" s="22"/>
      <c r="AB439" s="22"/>
      <c r="AC439" s="22" t="s">
        <v>1902</v>
      </c>
      <c r="AD439" s="22">
        <v>20170413</v>
      </c>
      <c r="AE439" s="22">
        <v>438</v>
      </c>
      <c r="AF439" s="22"/>
      <c r="AG439" s="22" t="str">
        <f>IFERROR(VLOOKUP(TblFeedFile[[#This Row],[Leave Type ]],LkupPayType[],2,FALSE),"TBD")</f>
        <v>Paid</v>
      </c>
      <c r="AH439" s="22"/>
      <c r="AI439" s="25"/>
      <c r="AJ439" s="25"/>
      <c r="AK439" s="26"/>
    </row>
    <row r="440" spans="1:37" x14ac:dyDescent="0.25">
      <c r="A440" s="21" t="s">
        <v>29</v>
      </c>
      <c r="B440" s="22">
        <v>314304</v>
      </c>
      <c r="C440" s="22">
        <v>24877182</v>
      </c>
      <c r="D440" s="23">
        <v>551703168705</v>
      </c>
      <c r="E440" s="22" t="s">
        <v>2015</v>
      </c>
      <c r="F440" s="22" t="s">
        <v>1046</v>
      </c>
      <c r="G440" s="22">
        <v>20170407</v>
      </c>
      <c r="H440" s="22">
        <v>20170512</v>
      </c>
      <c r="I440" s="22" t="s">
        <v>53</v>
      </c>
      <c r="J440" s="22"/>
      <c r="K440" s="22"/>
      <c r="L440" s="22" t="s">
        <v>34</v>
      </c>
      <c r="M440" s="22" t="s">
        <v>34</v>
      </c>
      <c r="N440" s="22" t="s">
        <v>35</v>
      </c>
      <c r="O440" s="22" t="s">
        <v>35</v>
      </c>
      <c r="P440" s="22" t="s">
        <v>35</v>
      </c>
      <c r="Q440" s="22" t="s">
        <v>35</v>
      </c>
      <c r="R440" s="22" t="s">
        <v>35</v>
      </c>
      <c r="S440" s="22" t="s">
        <v>34</v>
      </c>
      <c r="T440" s="22"/>
      <c r="U440" s="22"/>
      <c r="V440" s="22"/>
      <c r="W440" s="22"/>
      <c r="X440" s="22"/>
      <c r="Y440" s="22"/>
      <c r="Z440" s="22"/>
      <c r="AA440" s="22"/>
      <c r="AB440" s="22"/>
      <c r="AC440" s="22" t="s">
        <v>1923</v>
      </c>
      <c r="AD440" s="22">
        <v>20170413</v>
      </c>
      <c r="AE440" s="22">
        <v>439</v>
      </c>
      <c r="AF440" s="22"/>
      <c r="AG440" s="22" t="str">
        <f>IFERROR(VLOOKUP(TblFeedFile[[#This Row],[Leave Type ]],LkupPayType[],2,FALSE),"TBD")</f>
        <v>Paid</v>
      </c>
      <c r="AH440" s="22"/>
      <c r="AI440" s="25"/>
      <c r="AJ440" s="25"/>
      <c r="AK440" s="26"/>
    </row>
    <row r="441" spans="1:37" x14ac:dyDescent="0.25">
      <c r="A441" s="21" t="s">
        <v>37</v>
      </c>
      <c r="B441" s="22">
        <v>314304</v>
      </c>
      <c r="C441" s="22">
        <v>24877182</v>
      </c>
      <c r="D441" s="23">
        <v>551703168705</v>
      </c>
      <c r="E441" s="22" t="s">
        <v>2015</v>
      </c>
      <c r="F441" s="22" t="s">
        <v>1046</v>
      </c>
      <c r="G441" s="22">
        <v>20170406</v>
      </c>
      <c r="H441" s="22">
        <v>20170512</v>
      </c>
      <c r="I441" s="22" t="s">
        <v>53</v>
      </c>
      <c r="J441" s="22"/>
      <c r="K441" s="22"/>
      <c r="L441" s="22" t="s">
        <v>34</v>
      </c>
      <c r="M441" s="22" t="s">
        <v>34</v>
      </c>
      <c r="N441" s="22" t="s">
        <v>35</v>
      </c>
      <c r="O441" s="22" t="s">
        <v>35</v>
      </c>
      <c r="P441" s="22" t="s">
        <v>35</v>
      </c>
      <c r="Q441" s="22" t="s">
        <v>35</v>
      </c>
      <c r="R441" s="22" t="s">
        <v>35</v>
      </c>
      <c r="S441" s="22" t="s">
        <v>34</v>
      </c>
      <c r="T441" s="22"/>
      <c r="U441" s="22"/>
      <c r="V441" s="22"/>
      <c r="W441" s="22"/>
      <c r="X441" s="22"/>
      <c r="Y441" s="22"/>
      <c r="Z441" s="22"/>
      <c r="AA441" s="22"/>
      <c r="AB441" s="22"/>
      <c r="AC441" s="22" t="s">
        <v>1923</v>
      </c>
      <c r="AD441" s="22">
        <v>20170413</v>
      </c>
      <c r="AE441" s="22">
        <v>440</v>
      </c>
      <c r="AF441" s="22"/>
      <c r="AG441" s="22" t="str">
        <f>IFERROR(VLOOKUP(TblFeedFile[[#This Row],[Leave Type ]],LkupPayType[],2,FALSE),"TBD")</f>
        <v>Paid</v>
      </c>
      <c r="AH441" s="22"/>
      <c r="AI441" s="25"/>
      <c r="AJ441" s="25"/>
      <c r="AK441" s="26"/>
    </row>
    <row r="442" spans="1:37" x14ac:dyDescent="0.25">
      <c r="A442" s="21" t="s">
        <v>37</v>
      </c>
      <c r="B442" s="22">
        <v>314304</v>
      </c>
      <c r="C442" s="22">
        <v>24877182</v>
      </c>
      <c r="D442" s="23">
        <v>551703168705</v>
      </c>
      <c r="E442" s="22" t="s">
        <v>2015</v>
      </c>
      <c r="F442" s="22" t="s">
        <v>1046</v>
      </c>
      <c r="G442" s="22">
        <v>20170413</v>
      </c>
      <c r="H442" s="22">
        <v>20170512</v>
      </c>
      <c r="I442" s="22" t="s">
        <v>40</v>
      </c>
      <c r="J442" s="22"/>
      <c r="K442" s="22"/>
      <c r="L442" s="22" t="s">
        <v>34</v>
      </c>
      <c r="M442" s="22" t="s">
        <v>34</v>
      </c>
      <c r="N442" s="22" t="s">
        <v>35</v>
      </c>
      <c r="O442" s="22" t="s">
        <v>35</v>
      </c>
      <c r="P442" s="22" t="s">
        <v>35</v>
      </c>
      <c r="Q442" s="22" t="s">
        <v>35</v>
      </c>
      <c r="R442" s="22" t="s">
        <v>35</v>
      </c>
      <c r="S442" s="22" t="s">
        <v>34</v>
      </c>
      <c r="T442" s="22"/>
      <c r="U442" s="22"/>
      <c r="V442" s="22"/>
      <c r="W442" s="22"/>
      <c r="X442" s="22"/>
      <c r="Y442" s="22"/>
      <c r="Z442" s="22"/>
      <c r="AA442" s="22"/>
      <c r="AB442" s="22"/>
      <c r="AC442" s="22" t="s">
        <v>1922</v>
      </c>
      <c r="AD442" s="22">
        <v>20170413</v>
      </c>
      <c r="AE442" s="22">
        <v>441</v>
      </c>
      <c r="AF442" s="22"/>
      <c r="AG442" s="22" t="str">
        <f>IFERROR(VLOOKUP(TblFeedFile[[#This Row],[Leave Type ]],LkupPayType[],2,FALSE),"TBD")</f>
        <v>Paid</v>
      </c>
      <c r="AH442" s="22"/>
      <c r="AI442" s="25"/>
      <c r="AJ442" s="25"/>
      <c r="AK442" s="26"/>
    </row>
    <row r="443" spans="1:37" x14ac:dyDescent="0.25">
      <c r="A443" s="21" t="s">
        <v>37</v>
      </c>
      <c r="B443" s="22">
        <v>314304</v>
      </c>
      <c r="C443" s="22">
        <v>24950721</v>
      </c>
      <c r="D443" s="23" t="s">
        <v>2408</v>
      </c>
      <c r="E443" s="22" t="s">
        <v>948</v>
      </c>
      <c r="F443" s="22" t="s">
        <v>2409</v>
      </c>
      <c r="G443" s="22">
        <v>20170317</v>
      </c>
      <c r="H443" s="22">
        <v>20170415</v>
      </c>
      <c r="I443" s="22" t="s">
        <v>78</v>
      </c>
      <c r="J443" s="22"/>
      <c r="K443" s="22" t="s">
        <v>79</v>
      </c>
      <c r="L443" s="22" t="s">
        <v>34</v>
      </c>
      <c r="M443" s="22" t="s">
        <v>34</v>
      </c>
      <c r="N443" s="22" t="s">
        <v>35</v>
      </c>
      <c r="O443" s="22" t="s">
        <v>35</v>
      </c>
      <c r="P443" s="22" t="s">
        <v>35</v>
      </c>
      <c r="Q443" s="22" t="s">
        <v>35</v>
      </c>
      <c r="R443" s="22" t="s">
        <v>35</v>
      </c>
      <c r="S443" s="22" t="s">
        <v>34</v>
      </c>
      <c r="T443" s="22">
        <v>20170416</v>
      </c>
      <c r="U443" s="22"/>
      <c r="V443" s="22"/>
      <c r="W443" s="22"/>
      <c r="X443" s="22"/>
      <c r="Y443" s="22"/>
      <c r="Z443" s="22"/>
      <c r="AA443" s="22"/>
      <c r="AB443" s="22"/>
      <c r="AC443" s="22" t="s">
        <v>1983</v>
      </c>
      <c r="AD443" s="22">
        <v>20170413</v>
      </c>
      <c r="AE443" s="22">
        <v>442</v>
      </c>
      <c r="AF443" s="22"/>
      <c r="AG443" s="22" t="str">
        <f>IFERROR(VLOOKUP(TblFeedFile[[#This Row],[Leave Type ]],LkupPayType[],2,FALSE),"TBD")</f>
        <v>Unpaid</v>
      </c>
      <c r="AH443" s="22"/>
      <c r="AI443" s="25"/>
      <c r="AJ443" s="25"/>
      <c r="AK443" s="26" t="s">
        <v>35</v>
      </c>
    </row>
    <row r="444" spans="1:37" x14ac:dyDescent="0.25">
      <c r="A444" s="21" t="s">
        <v>37</v>
      </c>
      <c r="B444" s="22">
        <v>314304</v>
      </c>
      <c r="C444" s="22">
        <v>25012402</v>
      </c>
      <c r="D444" s="23" t="s">
        <v>2410</v>
      </c>
      <c r="E444" s="22" t="s">
        <v>418</v>
      </c>
      <c r="F444" s="22" t="s">
        <v>1931</v>
      </c>
      <c r="G444" s="22">
        <v>20170407</v>
      </c>
      <c r="H444" s="22">
        <v>20170430</v>
      </c>
      <c r="I444" s="22" t="s">
        <v>36</v>
      </c>
      <c r="J444" s="22"/>
      <c r="K444" s="22"/>
      <c r="L444" s="22" t="s">
        <v>35</v>
      </c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 t="s">
        <v>1920</v>
      </c>
      <c r="AD444" s="22">
        <v>20170413</v>
      </c>
      <c r="AE444" s="22">
        <v>443</v>
      </c>
      <c r="AF444" s="22"/>
      <c r="AG444" s="22" t="str">
        <f>IFERROR(VLOOKUP(TblFeedFile[[#This Row],[Leave Type ]],LkupPayType[],2,FALSE),"TBD")</f>
        <v>Unpaid</v>
      </c>
      <c r="AH444" s="22"/>
      <c r="AI444" s="25"/>
      <c r="AJ444" s="25"/>
      <c r="AK444" s="26"/>
    </row>
    <row r="445" spans="1:37" x14ac:dyDescent="0.25">
      <c r="A445" s="21" t="s">
        <v>29</v>
      </c>
      <c r="B445" s="22">
        <v>314301</v>
      </c>
      <c r="C445" s="22">
        <v>25013931</v>
      </c>
      <c r="D445" s="23" t="s">
        <v>2411</v>
      </c>
      <c r="E445" s="22" t="s">
        <v>1225</v>
      </c>
      <c r="F445" s="22" t="s">
        <v>2412</v>
      </c>
      <c r="G445" s="22">
        <v>20170410</v>
      </c>
      <c r="H445" s="22">
        <v>20170410</v>
      </c>
      <c r="I445" s="22" t="s">
        <v>33</v>
      </c>
      <c r="J445" s="22"/>
      <c r="K445" s="22"/>
      <c r="L445" s="22" t="s">
        <v>34</v>
      </c>
      <c r="M445" s="22" t="s">
        <v>34</v>
      </c>
      <c r="N445" s="22" t="s">
        <v>35</v>
      </c>
      <c r="O445" s="22" t="s">
        <v>35</v>
      </c>
      <c r="P445" s="22" t="s">
        <v>35</v>
      </c>
      <c r="Q445" s="22" t="s">
        <v>35</v>
      </c>
      <c r="R445" s="22" t="s">
        <v>35</v>
      </c>
      <c r="S445" s="22" t="s">
        <v>34</v>
      </c>
      <c r="T445" s="22"/>
      <c r="U445" s="22"/>
      <c r="V445" s="22"/>
      <c r="W445" s="22"/>
      <c r="X445" s="22"/>
      <c r="Y445" s="22"/>
      <c r="Z445" s="22"/>
      <c r="AA445" s="22"/>
      <c r="AB445" s="22"/>
      <c r="AC445" s="22" t="s">
        <v>1917</v>
      </c>
      <c r="AD445" s="22">
        <v>20170413</v>
      </c>
      <c r="AE445" s="22">
        <v>444</v>
      </c>
      <c r="AF445" s="22"/>
      <c r="AG445" s="22" t="str">
        <f>IFERROR(VLOOKUP(TblFeedFile[[#This Row],[Leave Type ]],LkupPayType[],2,FALSE),"TBD")</f>
        <v>Closed</v>
      </c>
      <c r="AH445" s="22"/>
      <c r="AI445" s="25"/>
      <c r="AJ445" s="25"/>
      <c r="AK445" s="26"/>
    </row>
    <row r="446" spans="1:37" x14ac:dyDescent="0.25">
      <c r="A446" s="21" t="s">
        <v>37</v>
      </c>
      <c r="B446" s="22">
        <v>314301</v>
      </c>
      <c r="C446" s="22">
        <v>25013931</v>
      </c>
      <c r="D446" s="23" t="s">
        <v>2411</v>
      </c>
      <c r="E446" s="22" t="s">
        <v>1225</v>
      </c>
      <c r="F446" s="22" t="s">
        <v>2412</v>
      </c>
      <c r="G446" s="22">
        <v>20170110</v>
      </c>
      <c r="H446" s="22">
        <v>20170409</v>
      </c>
      <c r="I446" s="22" t="s">
        <v>223</v>
      </c>
      <c r="J446" s="22"/>
      <c r="K446" s="22"/>
      <c r="L446" s="22" t="s">
        <v>34</v>
      </c>
      <c r="M446" s="22" t="s">
        <v>34</v>
      </c>
      <c r="N446" s="22" t="s">
        <v>35</v>
      </c>
      <c r="O446" s="22" t="s">
        <v>35</v>
      </c>
      <c r="P446" s="22" t="s">
        <v>35</v>
      </c>
      <c r="Q446" s="22" t="s">
        <v>35</v>
      </c>
      <c r="R446" s="22" t="s">
        <v>35</v>
      </c>
      <c r="S446" s="22" t="s">
        <v>34</v>
      </c>
      <c r="T446" s="22">
        <v>20170410</v>
      </c>
      <c r="U446" s="22"/>
      <c r="V446" s="22"/>
      <c r="W446" s="22"/>
      <c r="X446" s="22"/>
      <c r="Y446" s="22"/>
      <c r="Z446" s="22"/>
      <c r="AA446" s="22"/>
      <c r="AB446" s="22"/>
      <c r="AC446" s="22" t="s">
        <v>1921</v>
      </c>
      <c r="AD446" s="22">
        <v>20170413</v>
      </c>
      <c r="AE446" s="22">
        <v>445</v>
      </c>
      <c r="AF446" s="22"/>
      <c r="AG446" s="22" t="str">
        <f>IFERROR(VLOOKUP(TblFeedFile[[#This Row],[Leave Type ]],LkupPayType[],2,FALSE),"TBD")</f>
        <v>Paid</v>
      </c>
      <c r="AH446" s="22"/>
      <c r="AI446" s="25" t="s">
        <v>35</v>
      </c>
      <c r="AJ446" s="25"/>
      <c r="AK446" s="26" t="s">
        <v>35</v>
      </c>
    </row>
    <row r="447" spans="1:37" x14ac:dyDescent="0.25">
      <c r="A447" s="21" t="s">
        <v>29</v>
      </c>
      <c r="B447" s="22">
        <v>314304</v>
      </c>
      <c r="C447" s="22">
        <v>25026187</v>
      </c>
      <c r="D447" s="23" t="s">
        <v>2413</v>
      </c>
      <c r="E447" s="22" t="s">
        <v>911</v>
      </c>
      <c r="F447" s="22" t="s">
        <v>2414</v>
      </c>
      <c r="G447" s="22">
        <v>20170223</v>
      </c>
      <c r="H447" s="22">
        <v>20170223</v>
      </c>
      <c r="I447" s="22" t="s">
        <v>33</v>
      </c>
      <c r="J447" s="22"/>
      <c r="K447" s="22"/>
      <c r="L447" s="22" t="s">
        <v>34</v>
      </c>
      <c r="M447" s="22" t="s">
        <v>34</v>
      </c>
      <c r="N447" s="22" t="s">
        <v>35</v>
      </c>
      <c r="O447" s="22" t="s">
        <v>35</v>
      </c>
      <c r="P447" s="22" t="s">
        <v>35</v>
      </c>
      <c r="Q447" s="22" t="s">
        <v>35</v>
      </c>
      <c r="R447" s="22" t="s">
        <v>35</v>
      </c>
      <c r="S447" s="22" t="s">
        <v>34</v>
      </c>
      <c r="T447" s="22"/>
      <c r="U447" s="22"/>
      <c r="V447" s="22"/>
      <c r="W447" s="22"/>
      <c r="X447" s="22"/>
      <c r="Y447" s="22"/>
      <c r="Z447" s="22"/>
      <c r="AA447" s="22"/>
      <c r="AB447" s="22"/>
      <c r="AC447" s="22" t="s">
        <v>1998</v>
      </c>
      <c r="AD447" s="22">
        <v>20170413</v>
      </c>
      <c r="AE447" s="22">
        <v>446</v>
      </c>
      <c r="AF447" s="22"/>
      <c r="AG447" s="22" t="str">
        <f>IFERROR(VLOOKUP(TblFeedFile[[#This Row],[Leave Type ]],LkupPayType[],2,FALSE),"TBD")</f>
        <v>Closed</v>
      </c>
      <c r="AH447" s="22"/>
      <c r="AI447" s="25"/>
      <c r="AJ447" s="25"/>
      <c r="AK447" s="26"/>
    </row>
    <row r="448" spans="1:37" x14ac:dyDescent="0.25">
      <c r="A448" s="21" t="s">
        <v>37</v>
      </c>
      <c r="B448" s="22">
        <v>314304</v>
      </c>
      <c r="C448" s="22">
        <v>25026187</v>
      </c>
      <c r="D448" s="23" t="s">
        <v>2413</v>
      </c>
      <c r="E448" s="22" t="s">
        <v>911</v>
      </c>
      <c r="F448" s="22" t="s">
        <v>2414</v>
      </c>
      <c r="G448" s="22">
        <v>20170223</v>
      </c>
      <c r="H448" s="22">
        <v>20170309</v>
      </c>
      <c r="I448" s="22" t="s">
        <v>36</v>
      </c>
      <c r="J448" s="22"/>
      <c r="K448" s="22"/>
      <c r="L448" s="22" t="s">
        <v>34</v>
      </c>
      <c r="M448" s="22" t="s">
        <v>34</v>
      </c>
      <c r="N448" s="22" t="s">
        <v>35</v>
      </c>
      <c r="O448" s="22" t="s">
        <v>35</v>
      </c>
      <c r="P448" s="22" t="s">
        <v>35</v>
      </c>
      <c r="Q448" s="22" t="s">
        <v>35</v>
      </c>
      <c r="R448" s="22" t="s">
        <v>35</v>
      </c>
      <c r="S448" s="22" t="s">
        <v>34</v>
      </c>
      <c r="T448" s="22"/>
      <c r="U448" s="22"/>
      <c r="V448" s="22"/>
      <c r="W448" s="22"/>
      <c r="X448" s="22"/>
      <c r="Y448" s="22"/>
      <c r="Z448" s="22"/>
      <c r="AA448" s="22"/>
      <c r="AB448" s="22"/>
      <c r="AC448" s="22" t="s">
        <v>1964</v>
      </c>
      <c r="AD448" s="22">
        <v>20170413</v>
      </c>
      <c r="AE448" s="22">
        <v>447</v>
      </c>
      <c r="AF448" s="22"/>
      <c r="AG448" s="22" t="str">
        <f>IFERROR(VLOOKUP(TblFeedFile[[#This Row],[Leave Type ]],LkupPayType[],2,FALSE),"TBD")</f>
        <v>Unpaid</v>
      </c>
      <c r="AH448" s="22"/>
      <c r="AI448" s="25" t="s">
        <v>35</v>
      </c>
      <c r="AJ448" s="25"/>
      <c r="AK448" s="26"/>
    </row>
    <row r="449" spans="1:37" x14ac:dyDescent="0.25">
      <c r="A449" s="21" t="s">
        <v>37</v>
      </c>
      <c r="B449" s="22">
        <v>314304</v>
      </c>
      <c r="C449" s="22">
        <v>25026187</v>
      </c>
      <c r="D449" s="23" t="s">
        <v>2413</v>
      </c>
      <c r="E449" s="22" t="s">
        <v>911</v>
      </c>
      <c r="F449" s="22" t="s">
        <v>2414</v>
      </c>
      <c r="G449" s="22">
        <v>20170310</v>
      </c>
      <c r="H449" s="22">
        <v>20170310</v>
      </c>
      <c r="I449" s="22" t="s">
        <v>33</v>
      </c>
      <c r="J449" s="22"/>
      <c r="K449" s="22"/>
      <c r="L449" s="22" t="s">
        <v>34</v>
      </c>
      <c r="M449" s="22" t="s">
        <v>34</v>
      </c>
      <c r="N449" s="22" t="s">
        <v>35</v>
      </c>
      <c r="O449" s="22" t="s">
        <v>35</v>
      </c>
      <c r="P449" s="22" t="s">
        <v>35</v>
      </c>
      <c r="Q449" s="22" t="s">
        <v>35</v>
      </c>
      <c r="R449" s="22" t="s">
        <v>35</v>
      </c>
      <c r="S449" s="22" t="s">
        <v>34</v>
      </c>
      <c r="T449" s="22"/>
      <c r="U449" s="22"/>
      <c r="V449" s="22"/>
      <c r="W449" s="22"/>
      <c r="X449" s="22"/>
      <c r="Y449" s="22"/>
      <c r="Z449" s="22"/>
      <c r="AA449" s="22"/>
      <c r="AB449" s="22"/>
      <c r="AC449" s="22" t="s">
        <v>1998</v>
      </c>
      <c r="AD449" s="22">
        <v>20170413</v>
      </c>
      <c r="AE449" s="22">
        <v>448</v>
      </c>
      <c r="AF449" s="22"/>
      <c r="AG449" s="22" t="str">
        <f>IFERROR(VLOOKUP(TblFeedFile[[#This Row],[Leave Type ]],LkupPayType[],2,FALSE),"TBD")</f>
        <v>Closed</v>
      </c>
      <c r="AH449" s="22"/>
      <c r="AI449" s="25"/>
      <c r="AJ449" s="25"/>
      <c r="AK449" s="26"/>
    </row>
    <row r="450" spans="1:37" x14ac:dyDescent="0.25">
      <c r="A450" s="21" t="s">
        <v>37</v>
      </c>
      <c r="B450" s="22">
        <v>314301</v>
      </c>
      <c r="C450" s="22">
        <v>25029219</v>
      </c>
      <c r="D450" s="23" t="s">
        <v>2415</v>
      </c>
      <c r="E450" s="22" t="s">
        <v>2416</v>
      </c>
      <c r="F450" s="22" t="s">
        <v>2417</v>
      </c>
      <c r="G450" s="22">
        <v>20170321</v>
      </c>
      <c r="H450" s="22">
        <v>20170415</v>
      </c>
      <c r="I450" s="22" t="s">
        <v>223</v>
      </c>
      <c r="J450" s="22"/>
      <c r="K450" s="22"/>
      <c r="L450" s="22" t="s">
        <v>35</v>
      </c>
      <c r="M450" s="22"/>
      <c r="N450" s="22"/>
      <c r="O450" s="22"/>
      <c r="P450" s="22"/>
      <c r="Q450" s="22"/>
      <c r="R450" s="22"/>
      <c r="S450" s="22"/>
      <c r="T450" s="22">
        <v>20170416</v>
      </c>
      <c r="U450" s="22"/>
      <c r="V450" s="22"/>
      <c r="W450" s="22"/>
      <c r="X450" s="22"/>
      <c r="Y450" s="22"/>
      <c r="Z450" s="22"/>
      <c r="AA450" s="22"/>
      <c r="AB450" s="22"/>
      <c r="AC450" s="22" t="s">
        <v>1895</v>
      </c>
      <c r="AD450" s="22">
        <v>20170413</v>
      </c>
      <c r="AE450" s="22">
        <v>449</v>
      </c>
      <c r="AF450" s="22"/>
      <c r="AG450" s="22" t="str">
        <f>IFERROR(VLOOKUP(TblFeedFile[[#This Row],[Leave Type ]],LkupPayType[],2,FALSE),"TBD")</f>
        <v>Paid</v>
      </c>
      <c r="AH450" s="22"/>
      <c r="AI450" s="25"/>
      <c r="AJ450" s="25"/>
      <c r="AK450" s="26" t="s">
        <v>35</v>
      </c>
    </row>
    <row r="451" spans="1:37" x14ac:dyDescent="0.25">
      <c r="A451" s="21" t="s">
        <v>37</v>
      </c>
      <c r="B451" s="22">
        <v>314301</v>
      </c>
      <c r="C451" s="22">
        <v>25080092</v>
      </c>
      <c r="D451" s="23">
        <v>561703158446</v>
      </c>
      <c r="E451" s="22" t="s">
        <v>2418</v>
      </c>
      <c r="F451" s="22" t="s">
        <v>2419</v>
      </c>
      <c r="G451" s="22">
        <v>20170403</v>
      </c>
      <c r="H451" s="22">
        <v>20170524</v>
      </c>
      <c r="I451" s="22" t="s">
        <v>53</v>
      </c>
      <c r="J451" s="22"/>
      <c r="K451" s="22"/>
      <c r="L451" s="22" t="s">
        <v>34</v>
      </c>
      <c r="M451" s="22" t="s">
        <v>34</v>
      </c>
      <c r="N451" s="22" t="s">
        <v>35</v>
      </c>
      <c r="O451" s="22" t="s">
        <v>35</v>
      </c>
      <c r="P451" s="22" t="s">
        <v>35</v>
      </c>
      <c r="Q451" s="22" t="s">
        <v>35</v>
      </c>
      <c r="R451" s="22" t="s">
        <v>35</v>
      </c>
      <c r="S451" s="22" t="s">
        <v>34</v>
      </c>
      <c r="T451" s="22"/>
      <c r="U451" s="22"/>
      <c r="V451" s="22"/>
      <c r="W451" s="22"/>
      <c r="X451" s="22"/>
      <c r="Y451" s="22"/>
      <c r="Z451" s="22"/>
      <c r="AA451" s="22"/>
      <c r="AB451" s="22"/>
      <c r="AC451" s="22" t="s">
        <v>1908</v>
      </c>
      <c r="AD451" s="22">
        <v>20170413</v>
      </c>
      <c r="AE451" s="22">
        <v>450</v>
      </c>
      <c r="AF451" s="22"/>
      <c r="AG451" s="22" t="str">
        <f>IFERROR(VLOOKUP(TblFeedFile[[#This Row],[Leave Type ]],LkupPayType[],2,FALSE),"TBD")</f>
        <v>Paid</v>
      </c>
      <c r="AH451" s="22"/>
      <c r="AI451" s="25"/>
      <c r="AJ451" s="25"/>
      <c r="AK451" s="26"/>
    </row>
    <row r="452" spans="1:37" x14ac:dyDescent="0.25">
      <c r="A452" s="21" t="s">
        <v>37</v>
      </c>
      <c r="B452" s="22">
        <v>314301</v>
      </c>
      <c r="C452" s="22">
        <v>25080092</v>
      </c>
      <c r="D452" s="23">
        <v>561703158446</v>
      </c>
      <c r="E452" s="22" t="s">
        <v>2418</v>
      </c>
      <c r="F452" s="22" t="s">
        <v>2419</v>
      </c>
      <c r="G452" s="22">
        <v>20170410</v>
      </c>
      <c r="H452" s="22">
        <v>20170524</v>
      </c>
      <c r="I452" s="22" t="s">
        <v>40</v>
      </c>
      <c r="J452" s="22"/>
      <c r="K452" s="22"/>
      <c r="L452" s="22" t="s">
        <v>34</v>
      </c>
      <c r="M452" s="22" t="s">
        <v>34</v>
      </c>
      <c r="N452" s="22" t="s">
        <v>35</v>
      </c>
      <c r="O452" s="22" t="s">
        <v>35</v>
      </c>
      <c r="P452" s="22" t="s">
        <v>35</v>
      </c>
      <c r="Q452" s="22" t="s">
        <v>35</v>
      </c>
      <c r="R452" s="22" t="s">
        <v>35</v>
      </c>
      <c r="S452" s="22" t="s">
        <v>34</v>
      </c>
      <c r="T452" s="22"/>
      <c r="U452" s="22"/>
      <c r="V452" s="22"/>
      <c r="W452" s="22"/>
      <c r="X452" s="22"/>
      <c r="Y452" s="22"/>
      <c r="Z452" s="22"/>
      <c r="AA452" s="22"/>
      <c r="AB452" s="22"/>
      <c r="AC452" s="22" t="s">
        <v>1951</v>
      </c>
      <c r="AD452" s="22">
        <v>20170413</v>
      </c>
      <c r="AE452" s="22">
        <v>451</v>
      </c>
      <c r="AF452" s="22"/>
      <c r="AG452" s="22" t="str">
        <f>IFERROR(VLOOKUP(TblFeedFile[[#This Row],[Leave Type ]],LkupPayType[],2,FALSE),"TBD")</f>
        <v>Paid</v>
      </c>
      <c r="AH452" s="22"/>
      <c r="AI452" s="25"/>
      <c r="AJ452" s="25"/>
      <c r="AK452" s="26"/>
    </row>
    <row r="453" spans="1:37" x14ac:dyDescent="0.25">
      <c r="A453" s="21" t="s">
        <v>29</v>
      </c>
      <c r="B453" s="22">
        <v>314304</v>
      </c>
      <c r="C453" s="22">
        <v>25082644</v>
      </c>
      <c r="D453" s="23">
        <v>561704068626</v>
      </c>
      <c r="E453" s="22" t="s">
        <v>2420</v>
      </c>
      <c r="F453" s="22" t="s">
        <v>526</v>
      </c>
      <c r="G453" s="22">
        <v>20170325</v>
      </c>
      <c r="H453" s="22">
        <v>20170531</v>
      </c>
      <c r="I453" s="22" t="s">
        <v>53</v>
      </c>
      <c r="J453" s="22"/>
      <c r="K453" s="22"/>
      <c r="L453" s="22" t="s">
        <v>34</v>
      </c>
      <c r="M453" s="22" t="s">
        <v>34</v>
      </c>
      <c r="N453" s="22" t="s">
        <v>35</v>
      </c>
      <c r="O453" s="22" t="s">
        <v>35</v>
      </c>
      <c r="P453" s="22" t="s">
        <v>35</v>
      </c>
      <c r="Q453" s="22" t="s">
        <v>35</v>
      </c>
      <c r="R453" s="22" t="s">
        <v>35</v>
      </c>
      <c r="S453" s="22" t="s">
        <v>34</v>
      </c>
      <c r="T453" s="22"/>
      <c r="U453" s="22"/>
      <c r="V453" s="22"/>
      <c r="W453" s="22"/>
      <c r="X453" s="22"/>
      <c r="Y453" s="22"/>
      <c r="Z453" s="22"/>
      <c r="AA453" s="22"/>
      <c r="AB453" s="22"/>
      <c r="AC453" s="22" t="s">
        <v>1912</v>
      </c>
      <c r="AD453" s="22">
        <v>20170413</v>
      </c>
      <c r="AE453" s="22">
        <v>452</v>
      </c>
      <c r="AF453" s="22"/>
      <c r="AG453" s="22" t="str">
        <f>IFERROR(VLOOKUP(TblFeedFile[[#This Row],[Leave Type ]],LkupPayType[],2,FALSE),"TBD")</f>
        <v>Paid</v>
      </c>
      <c r="AH453" s="22"/>
      <c r="AI453" s="25"/>
      <c r="AJ453" s="25"/>
      <c r="AK453" s="26"/>
    </row>
    <row r="454" spans="1:37" x14ac:dyDescent="0.25">
      <c r="A454" s="21" t="s">
        <v>37</v>
      </c>
      <c r="B454" s="22">
        <v>314304</v>
      </c>
      <c r="C454" s="22">
        <v>25082644</v>
      </c>
      <c r="D454" s="23">
        <v>561704068626</v>
      </c>
      <c r="E454" s="22" t="s">
        <v>2420</v>
      </c>
      <c r="F454" s="22" t="s">
        <v>526</v>
      </c>
      <c r="G454" s="22">
        <v>20170328</v>
      </c>
      <c r="H454" s="22">
        <v>20170531</v>
      </c>
      <c r="I454" s="22" t="s">
        <v>53</v>
      </c>
      <c r="J454" s="22"/>
      <c r="K454" s="22"/>
      <c r="L454" s="22" t="s">
        <v>34</v>
      </c>
      <c r="M454" s="22" t="s">
        <v>34</v>
      </c>
      <c r="N454" s="22" t="s">
        <v>35</v>
      </c>
      <c r="O454" s="22" t="s">
        <v>35</v>
      </c>
      <c r="P454" s="22" t="s">
        <v>35</v>
      </c>
      <c r="Q454" s="22" t="s">
        <v>35</v>
      </c>
      <c r="R454" s="22" t="s">
        <v>35</v>
      </c>
      <c r="S454" s="22" t="s">
        <v>34</v>
      </c>
      <c r="T454" s="22"/>
      <c r="U454" s="22"/>
      <c r="V454" s="22"/>
      <c r="W454" s="22"/>
      <c r="X454" s="22"/>
      <c r="Y454" s="22"/>
      <c r="Z454" s="22"/>
      <c r="AA454" s="22"/>
      <c r="AB454" s="22"/>
      <c r="AC454" s="22" t="s">
        <v>1912</v>
      </c>
      <c r="AD454" s="22">
        <v>20170413</v>
      </c>
      <c r="AE454" s="22">
        <v>453</v>
      </c>
      <c r="AF454" s="22"/>
      <c r="AG454" s="22" t="str">
        <f>IFERROR(VLOOKUP(TblFeedFile[[#This Row],[Leave Type ]],LkupPayType[],2,FALSE),"TBD")</f>
        <v>Paid</v>
      </c>
      <c r="AH454" s="22"/>
      <c r="AI454" s="25"/>
      <c r="AJ454" s="25"/>
      <c r="AK454" s="26"/>
    </row>
    <row r="455" spans="1:37" x14ac:dyDescent="0.25">
      <c r="A455" s="21" t="s">
        <v>37</v>
      </c>
      <c r="B455" s="22">
        <v>314304</v>
      </c>
      <c r="C455" s="22">
        <v>25082644</v>
      </c>
      <c r="D455" s="23">
        <v>561704068626</v>
      </c>
      <c r="E455" s="22" t="s">
        <v>2420</v>
      </c>
      <c r="F455" s="22" t="s">
        <v>526</v>
      </c>
      <c r="G455" s="22">
        <v>20170404</v>
      </c>
      <c r="H455" s="22">
        <v>20170531</v>
      </c>
      <c r="I455" s="22" t="s">
        <v>40</v>
      </c>
      <c r="J455" s="22"/>
      <c r="K455" s="22"/>
      <c r="L455" s="22" t="s">
        <v>34</v>
      </c>
      <c r="M455" s="22" t="s">
        <v>34</v>
      </c>
      <c r="N455" s="22" t="s">
        <v>35</v>
      </c>
      <c r="O455" s="22" t="s">
        <v>35</v>
      </c>
      <c r="P455" s="22" t="s">
        <v>35</v>
      </c>
      <c r="Q455" s="22" t="s">
        <v>35</v>
      </c>
      <c r="R455" s="22" t="s">
        <v>35</v>
      </c>
      <c r="S455" s="22" t="s">
        <v>34</v>
      </c>
      <c r="T455" s="22"/>
      <c r="U455" s="22"/>
      <c r="V455" s="22"/>
      <c r="W455" s="22"/>
      <c r="X455" s="22"/>
      <c r="Y455" s="22"/>
      <c r="Z455" s="22"/>
      <c r="AA455" s="22"/>
      <c r="AB455" s="22"/>
      <c r="AC455" s="22" t="s">
        <v>1908</v>
      </c>
      <c r="AD455" s="22">
        <v>20170413</v>
      </c>
      <c r="AE455" s="22">
        <v>454</v>
      </c>
      <c r="AF455" s="22"/>
      <c r="AG455" s="22" t="str">
        <f>IFERROR(VLOOKUP(TblFeedFile[[#This Row],[Leave Type ]],LkupPayType[],2,FALSE),"TBD")</f>
        <v>Paid</v>
      </c>
      <c r="AH455" s="22"/>
      <c r="AI455" s="25"/>
      <c r="AJ455" s="25"/>
      <c r="AK455" s="26"/>
    </row>
    <row r="456" spans="1:37" x14ac:dyDescent="0.25">
      <c r="A456" s="21" t="s">
        <v>29</v>
      </c>
      <c r="B456" s="22">
        <v>314301</v>
      </c>
      <c r="C456" s="22">
        <v>25148000</v>
      </c>
      <c r="D456" s="23">
        <v>551701248615</v>
      </c>
      <c r="E456" s="22" t="s">
        <v>1055</v>
      </c>
      <c r="F456" s="22" t="s">
        <v>1056</v>
      </c>
      <c r="G456" s="22">
        <v>20170124</v>
      </c>
      <c r="H456" s="22">
        <v>20170508</v>
      </c>
      <c r="I456" s="22" t="s">
        <v>459</v>
      </c>
      <c r="J456" s="22"/>
      <c r="K456" s="22"/>
      <c r="L456" s="22" t="s">
        <v>34</v>
      </c>
      <c r="M456" s="22" t="s">
        <v>34</v>
      </c>
      <c r="N456" s="22" t="s">
        <v>35</v>
      </c>
      <c r="O456" s="22" t="s">
        <v>35</v>
      </c>
      <c r="P456" s="22" t="s">
        <v>35</v>
      </c>
      <c r="Q456" s="22" t="s">
        <v>35</v>
      </c>
      <c r="R456" s="22" t="s">
        <v>35</v>
      </c>
      <c r="S456" s="22" t="s">
        <v>34</v>
      </c>
      <c r="T456" s="22"/>
      <c r="U456" s="22"/>
      <c r="V456" s="22"/>
      <c r="W456" s="22"/>
      <c r="X456" s="22"/>
      <c r="Y456" s="22"/>
      <c r="Z456" s="22"/>
      <c r="AA456" s="22"/>
      <c r="AB456" s="22"/>
      <c r="AC456" s="22" t="s">
        <v>1927</v>
      </c>
      <c r="AD456" s="22">
        <v>20170413</v>
      </c>
      <c r="AE456" s="22">
        <v>455</v>
      </c>
      <c r="AF456" s="22"/>
      <c r="AG456" s="22" t="str">
        <f>IFERROR(VLOOKUP(TblFeedFile[[#This Row],[Leave Type ]],LkupPayType[],2,FALSE),"TBD")</f>
        <v>Paid</v>
      </c>
      <c r="AH456" s="22"/>
      <c r="AI456" s="25"/>
      <c r="AJ456" s="25"/>
      <c r="AK456" s="26"/>
    </row>
    <row r="457" spans="1:37" x14ac:dyDescent="0.25">
      <c r="A457" s="21" t="s">
        <v>37</v>
      </c>
      <c r="B457" s="22">
        <v>314301</v>
      </c>
      <c r="C457" s="22">
        <v>25148000</v>
      </c>
      <c r="D457" s="23">
        <v>551701248615</v>
      </c>
      <c r="E457" s="22" t="s">
        <v>1055</v>
      </c>
      <c r="F457" s="22" t="s">
        <v>1056</v>
      </c>
      <c r="G457" s="22">
        <v>20170124</v>
      </c>
      <c r="H457" s="22">
        <v>20170508</v>
      </c>
      <c r="I457" s="22" t="s">
        <v>459</v>
      </c>
      <c r="J457" s="22"/>
      <c r="K457" s="22"/>
      <c r="L457" s="22" t="s">
        <v>34</v>
      </c>
      <c r="M457" s="22" t="s">
        <v>34</v>
      </c>
      <c r="N457" s="22" t="s">
        <v>35</v>
      </c>
      <c r="O457" s="22" t="s">
        <v>35</v>
      </c>
      <c r="P457" s="22" t="s">
        <v>35</v>
      </c>
      <c r="Q457" s="22" t="s">
        <v>35</v>
      </c>
      <c r="R457" s="22" t="s">
        <v>35</v>
      </c>
      <c r="S457" s="22" t="s">
        <v>34</v>
      </c>
      <c r="T457" s="22"/>
      <c r="U457" s="22"/>
      <c r="V457" s="22"/>
      <c r="W457" s="22"/>
      <c r="X457" s="22"/>
      <c r="Y457" s="22">
        <v>1173</v>
      </c>
      <c r="Z457" s="22" t="s">
        <v>306</v>
      </c>
      <c r="AA457" s="22">
        <v>20170124</v>
      </c>
      <c r="AB457" s="22">
        <v>20170717</v>
      </c>
      <c r="AC457" s="22" t="s">
        <v>2309</v>
      </c>
      <c r="AD457" s="22">
        <v>20170413</v>
      </c>
      <c r="AE457" s="22">
        <v>456</v>
      </c>
      <c r="AF457" s="22"/>
      <c r="AG457" s="22" t="str">
        <f>IFERROR(VLOOKUP(TblFeedFile[[#This Row],[Leave Type ]],LkupPayType[],2,FALSE),"TBD")</f>
        <v>Paid</v>
      </c>
      <c r="AH457" s="22"/>
      <c r="AI457" s="25"/>
      <c r="AJ457" s="25"/>
      <c r="AK457" s="26"/>
    </row>
    <row r="458" spans="1:37" x14ac:dyDescent="0.25">
      <c r="A458" s="21" t="s">
        <v>37</v>
      </c>
      <c r="B458" s="22">
        <v>314304</v>
      </c>
      <c r="C458" s="22">
        <v>25153243</v>
      </c>
      <c r="D458" s="23">
        <v>561704138746</v>
      </c>
      <c r="E458" s="22" t="s">
        <v>2059</v>
      </c>
      <c r="F458" s="22" t="s">
        <v>2421</v>
      </c>
      <c r="G458" s="22">
        <v>20170413</v>
      </c>
      <c r="H458" s="22">
        <v>20170513</v>
      </c>
      <c r="I458" s="22" t="s">
        <v>53</v>
      </c>
      <c r="J458" s="22"/>
      <c r="K458" s="22"/>
      <c r="L458" s="22" t="s">
        <v>34</v>
      </c>
      <c r="M458" s="22" t="s">
        <v>34</v>
      </c>
      <c r="N458" s="22" t="s">
        <v>35</v>
      </c>
      <c r="O458" s="22" t="s">
        <v>35</v>
      </c>
      <c r="P458" s="22" t="s">
        <v>35</v>
      </c>
      <c r="Q458" s="22" t="s">
        <v>35</v>
      </c>
      <c r="R458" s="22" t="s">
        <v>35</v>
      </c>
      <c r="S458" s="22" t="s">
        <v>34</v>
      </c>
      <c r="T458" s="22"/>
      <c r="U458" s="22"/>
      <c r="V458" s="22"/>
      <c r="W458" s="22"/>
      <c r="X458" s="22"/>
      <c r="Y458" s="22"/>
      <c r="Z458" s="22"/>
      <c r="AA458" s="22"/>
      <c r="AB458" s="22"/>
      <c r="AC458" s="22" t="s">
        <v>1923</v>
      </c>
      <c r="AD458" s="22">
        <v>20170413</v>
      </c>
      <c r="AE458" s="22">
        <v>457</v>
      </c>
      <c r="AF458" s="22"/>
      <c r="AG458" s="22" t="str">
        <f>IFERROR(VLOOKUP(TblFeedFile[[#This Row],[Leave Type ]],LkupPayType[],2,FALSE),"TBD")</f>
        <v>Paid</v>
      </c>
      <c r="AH458" s="22"/>
      <c r="AI458" s="25"/>
      <c r="AJ458" s="25"/>
      <c r="AK458" s="26"/>
    </row>
    <row r="459" spans="1:37" x14ac:dyDescent="0.25">
      <c r="A459" s="21" t="s">
        <v>29</v>
      </c>
      <c r="B459" s="22">
        <v>314301</v>
      </c>
      <c r="C459" s="22">
        <v>25162697</v>
      </c>
      <c r="D459" s="23">
        <v>521702218522</v>
      </c>
      <c r="E459" s="22" t="s">
        <v>351</v>
      </c>
      <c r="F459" s="22" t="s">
        <v>2422</v>
      </c>
      <c r="G459" s="22">
        <v>20170309</v>
      </c>
      <c r="H459" s="22">
        <v>20170412</v>
      </c>
      <c r="I459" s="22" t="s">
        <v>40</v>
      </c>
      <c r="J459" s="22"/>
      <c r="K459" s="22"/>
      <c r="L459" s="22" t="s">
        <v>34</v>
      </c>
      <c r="M459" s="22" t="s">
        <v>34</v>
      </c>
      <c r="N459" s="22" t="s">
        <v>35</v>
      </c>
      <c r="O459" s="22" t="s">
        <v>35</v>
      </c>
      <c r="P459" s="22" t="s">
        <v>35</v>
      </c>
      <c r="Q459" s="22" t="s">
        <v>35</v>
      </c>
      <c r="R459" s="22" t="s">
        <v>35</v>
      </c>
      <c r="S459" s="22" t="s">
        <v>34</v>
      </c>
      <c r="T459" s="22"/>
      <c r="U459" s="22"/>
      <c r="V459" s="22"/>
      <c r="W459" s="22"/>
      <c r="X459" s="22"/>
      <c r="Y459" s="22"/>
      <c r="Z459" s="22"/>
      <c r="AA459" s="22"/>
      <c r="AB459" s="22"/>
      <c r="AC459" s="22" t="s">
        <v>1916</v>
      </c>
      <c r="AD459" s="22">
        <v>20170413</v>
      </c>
      <c r="AE459" s="22">
        <v>458</v>
      </c>
      <c r="AF459" s="22"/>
      <c r="AG459" s="22" t="str">
        <f>IFERROR(VLOOKUP(TblFeedFile[[#This Row],[Leave Type ]],LkupPayType[],2,FALSE),"TBD")</f>
        <v>Paid</v>
      </c>
      <c r="AH459" s="22"/>
      <c r="AI459" s="25"/>
      <c r="AJ459" s="25"/>
      <c r="AK459" s="26"/>
    </row>
    <row r="460" spans="1:37" x14ac:dyDescent="0.25">
      <c r="A460" s="21" t="s">
        <v>37</v>
      </c>
      <c r="B460" s="22">
        <v>314301</v>
      </c>
      <c r="C460" s="22">
        <v>25162697</v>
      </c>
      <c r="D460" s="23">
        <v>521702218522</v>
      </c>
      <c r="E460" s="22" t="s">
        <v>351</v>
      </c>
      <c r="F460" s="22" t="s">
        <v>2422</v>
      </c>
      <c r="G460" s="22">
        <v>20170309</v>
      </c>
      <c r="H460" s="22">
        <v>20170430</v>
      </c>
      <c r="I460" s="22" t="s">
        <v>40</v>
      </c>
      <c r="J460" s="22"/>
      <c r="K460" s="22"/>
      <c r="L460" s="22" t="s">
        <v>34</v>
      </c>
      <c r="M460" s="22" t="s">
        <v>34</v>
      </c>
      <c r="N460" s="22" t="s">
        <v>35</v>
      </c>
      <c r="O460" s="22" t="s">
        <v>35</v>
      </c>
      <c r="P460" s="22" t="s">
        <v>35</v>
      </c>
      <c r="Q460" s="22" t="s">
        <v>35</v>
      </c>
      <c r="R460" s="22" t="s">
        <v>35</v>
      </c>
      <c r="S460" s="22" t="s">
        <v>34</v>
      </c>
      <c r="T460" s="22"/>
      <c r="U460" s="22"/>
      <c r="V460" s="22"/>
      <c r="W460" s="22"/>
      <c r="X460" s="22"/>
      <c r="Y460" s="22"/>
      <c r="Z460" s="22"/>
      <c r="AA460" s="22"/>
      <c r="AB460" s="22"/>
      <c r="AC460" s="22" t="s">
        <v>1916</v>
      </c>
      <c r="AD460" s="22">
        <v>20170413</v>
      </c>
      <c r="AE460" s="22">
        <v>459</v>
      </c>
      <c r="AF460" s="22"/>
      <c r="AG460" s="22" t="str">
        <f>IFERROR(VLOOKUP(TblFeedFile[[#This Row],[Leave Type ]],LkupPayType[],2,FALSE),"TBD")</f>
        <v>Paid</v>
      </c>
      <c r="AH460" s="22"/>
      <c r="AI460" s="25"/>
      <c r="AJ460" s="25"/>
      <c r="AK460" s="26"/>
    </row>
    <row r="461" spans="1:37" x14ac:dyDescent="0.25">
      <c r="A461" s="21" t="s">
        <v>29</v>
      </c>
      <c r="B461" s="22">
        <v>314304</v>
      </c>
      <c r="C461" s="22">
        <v>25251356</v>
      </c>
      <c r="D461" s="23" t="s">
        <v>2423</v>
      </c>
      <c r="E461" s="22" t="s">
        <v>2357</v>
      </c>
      <c r="F461" s="22" t="s">
        <v>2424</v>
      </c>
      <c r="G461" s="22">
        <v>20170208</v>
      </c>
      <c r="H461" s="22">
        <v>20170514</v>
      </c>
      <c r="I461" s="22" t="s">
        <v>223</v>
      </c>
      <c r="J461" s="22"/>
      <c r="K461" s="22"/>
      <c r="L461" s="22" t="s">
        <v>34</v>
      </c>
      <c r="M461" s="22" t="s">
        <v>34</v>
      </c>
      <c r="N461" s="22" t="s">
        <v>35</v>
      </c>
      <c r="O461" s="22" t="s">
        <v>35</v>
      </c>
      <c r="P461" s="22" t="s">
        <v>35</v>
      </c>
      <c r="Q461" s="22" t="s">
        <v>35</v>
      </c>
      <c r="R461" s="22" t="s">
        <v>35</v>
      </c>
      <c r="S461" s="22" t="s">
        <v>34</v>
      </c>
      <c r="T461" s="22"/>
      <c r="U461" s="22"/>
      <c r="V461" s="22"/>
      <c r="W461" s="22"/>
      <c r="X461" s="22"/>
      <c r="Y461" s="22"/>
      <c r="Z461" s="22"/>
      <c r="AA461" s="22"/>
      <c r="AB461" s="22"/>
      <c r="AC461" s="22" t="s">
        <v>1905</v>
      </c>
      <c r="AD461" s="22">
        <v>20170413</v>
      </c>
      <c r="AE461" s="22">
        <v>460</v>
      </c>
      <c r="AF461" s="22"/>
      <c r="AG461" s="22" t="str">
        <f>IFERROR(VLOOKUP(TblFeedFile[[#This Row],[Leave Type ]],LkupPayType[],2,FALSE),"TBD")</f>
        <v>Paid</v>
      </c>
      <c r="AH461" s="22"/>
      <c r="AI461" s="25"/>
      <c r="AJ461" s="25"/>
      <c r="AK461" s="26"/>
    </row>
    <row r="462" spans="1:37" x14ac:dyDescent="0.25">
      <c r="A462" s="21" t="s">
        <v>37</v>
      </c>
      <c r="B462" s="22">
        <v>314304</v>
      </c>
      <c r="C462" s="22">
        <v>25251356</v>
      </c>
      <c r="D462" s="23" t="s">
        <v>2423</v>
      </c>
      <c r="E462" s="22" t="s">
        <v>2357</v>
      </c>
      <c r="F462" s="22" t="s">
        <v>2424</v>
      </c>
      <c r="G462" s="22">
        <v>20170208</v>
      </c>
      <c r="H462" s="22">
        <v>20170523</v>
      </c>
      <c r="I462" s="22" t="s">
        <v>223</v>
      </c>
      <c r="J462" s="22"/>
      <c r="K462" s="22"/>
      <c r="L462" s="22" t="s">
        <v>34</v>
      </c>
      <c r="M462" s="22" t="s">
        <v>34</v>
      </c>
      <c r="N462" s="22" t="s">
        <v>35</v>
      </c>
      <c r="O462" s="22" t="s">
        <v>35</v>
      </c>
      <c r="P462" s="22" t="s">
        <v>35</v>
      </c>
      <c r="Q462" s="22" t="s">
        <v>35</v>
      </c>
      <c r="R462" s="22" t="s">
        <v>35</v>
      </c>
      <c r="S462" s="22" t="s">
        <v>34</v>
      </c>
      <c r="T462" s="22"/>
      <c r="U462" s="22"/>
      <c r="V462" s="22"/>
      <c r="W462" s="22"/>
      <c r="X462" s="22"/>
      <c r="Y462" s="22"/>
      <c r="Z462" s="22"/>
      <c r="AA462" s="22"/>
      <c r="AB462" s="22"/>
      <c r="AC462" s="22" t="s">
        <v>1905</v>
      </c>
      <c r="AD462" s="22">
        <v>20170413</v>
      </c>
      <c r="AE462" s="22">
        <v>461</v>
      </c>
      <c r="AF462" s="22"/>
      <c r="AG462" s="22" t="str">
        <f>IFERROR(VLOOKUP(TblFeedFile[[#This Row],[Leave Type ]],LkupPayType[],2,FALSE),"TBD")</f>
        <v>Paid</v>
      </c>
      <c r="AH462" s="22"/>
      <c r="AI462" s="25"/>
      <c r="AJ462" s="25"/>
      <c r="AK462" s="26"/>
    </row>
    <row r="463" spans="1:37" x14ac:dyDescent="0.25">
      <c r="A463" s="21" t="s">
        <v>37</v>
      </c>
      <c r="B463" s="22">
        <v>314304</v>
      </c>
      <c r="C463" s="22">
        <v>25251356</v>
      </c>
      <c r="D463" s="23" t="s">
        <v>2423</v>
      </c>
      <c r="E463" s="22" t="s">
        <v>2357</v>
      </c>
      <c r="F463" s="22" t="s">
        <v>2424</v>
      </c>
      <c r="G463" s="22">
        <v>20170208</v>
      </c>
      <c r="H463" s="22">
        <v>20170523</v>
      </c>
      <c r="I463" s="22" t="s">
        <v>185</v>
      </c>
      <c r="J463" s="22"/>
      <c r="K463" s="22"/>
      <c r="L463" s="22" t="s">
        <v>34</v>
      </c>
      <c r="M463" s="22" t="s">
        <v>34</v>
      </c>
      <c r="N463" s="22" t="s">
        <v>35</v>
      </c>
      <c r="O463" s="22" t="s">
        <v>35</v>
      </c>
      <c r="P463" s="22" t="s">
        <v>35</v>
      </c>
      <c r="Q463" s="22" t="s">
        <v>35</v>
      </c>
      <c r="R463" s="22" t="s">
        <v>35</v>
      </c>
      <c r="S463" s="22" t="s">
        <v>34</v>
      </c>
      <c r="T463" s="22"/>
      <c r="U463" s="22"/>
      <c r="V463" s="22"/>
      <c r="W463" s="22"/>
      <c r="X463" s="22"/>
      <c r="Y463" s="22"/>
      <c r="Z463" s="22"/>
      <c r="AA463" s="22"/>
      <c r="AB463" s="22"/>
      <c r="AC463" s="22" t="s">
        <v>1927</v>
      </c>
      <c r="AD463" s="22">
        <v>20170413</v>
      </c>
      <c r="AE463" s="22">
        <v>462</v>
      </c>
      <c r="AF463" s="22"/>
      <c r="AG463" s="22" t="str">
        <f>IFERROR(VLOOKUP(TblFeedFile[[#This Row],[Leave Type ]],LkupPayType[],2,FALSE),"TBD")</f>
        <v>Unpaid</v>
      </c>
      <c r="AH463" s="22"/>
      <c r="AI463" s="25"/>
      <c r="AJ463" s="25"/>
      <c r="AK463" s="26"/>
    </row>
    <row r="464" spans="1:37" x14ac:dyDescent="0.25">
      <c r="A464" s="21" t="s">
        <v>37</v>
      </c>
      <c r="B464" s="22">
        <v>314304</v>
      </c>
      <c r="C464" s="22">
        <v>25338563</v>
      </c>
      <c r="D464" s="23" t="s">
        <v>2425</v>
      </c>
      <c r="E464" s="22" t="s">
        <v>2426</v>
      </c>
      <c r="F464" s="22" t="s">
        <v>154</v>
      </c>
      <c r="G464" s="22">
        <v>20170403</v>
      </c>
      <c r="H464" s="22">
        <v>20170416</v>
      </c>
      <c r="I464" s="22" t="s">
        <v>49</v>
      </c>
      <c r="J464" s="22"/>
      <c r="K464" s="22"/>
      <c r="L464" s="22" t="s">
        <v>34</v>
      </c>
      <c r="M464" s="22" t="s">
        <v>34</v>
      </c>
      <c r="N464" s="22" t="s">
        <v>35</v>
      </c>
      <c r="O464" s="22" t="s">
        <v>35</v>
      </c>
      <c r="P464" s="22" t="s">
        <v>35</v>
      </c>
      <c r="Q464" s="22" t="s">
        <v>35</v>
      </c>
      <c r="R464" s="22" t="s">
        <v>35</v>
      </c>
      <c r="S464" s="22" t="s">
        <v>34</v>
      </c>
      <c r="T464" s="22">
        <v>20170417</v>
      </c>
      <c r="U464" s="22"/>
      <c r="V464" s="22"/>
      <c r="W464" s="22"/>
      <c r="X464" s="22"/>
      <c r="Y464" s="22"/>
      <c r="Z464" s="22"/>
      <c r="AA464" s="22"/>
      <c r="AB464" s="22"/>
      <c r="AC464" s="22" t="s">
        <v>1897</v>
      </c>
      <c r="AD464" s="22">
        <v>20170413</v>
      </c>
      <c r="AE464" s="22">
        <v>463</v>
      </c>
      <c r="AF464" s="22"/>
      <c r="AG464" s="22" t="str">
        <f>IFERROR(VLOOKUP(TblFeedFile[[#This Row],[Leave Type ]],LkupPayType[],2,FALSE),"TBD")</f>
        <v>Unpaid</v>
      </c>
      <c r="AH464" s="22"/>
      <c r="AI464" s="25"/>
      <c r="AJ464" s="25"/>
      <c r="AK464" s="26" t="s">
        <v>35</v>
      </c>
    </row>
    <row r="465" spans="1:37" x14ac:dyDescent="0.25">
      <c r="A465" s="21" t="s">
        <v>29</v>
      </c>
      <c r="B465" s="22">
        <v>314304</v>
      </c>
      <c r="C465" s="22">
        <v>25359659</v>
      </c>
      <c r="D465" s="23" t="s">
        <v>2427</v>
      </c>
      <c r="E465" s="22" t="s">
        <v>2428</v>
      </c>
      <c r="F465" s="22" t="s">
        <v>2429</v>
      </c>
      <c r="G465" s="22">
        <v>20170406</v>
      </c>
      <c r="H465" s="22">
        <v>20170406</v>
      </c>
      <c r="I465" s="22" t="s">
        <v>33</v>
      </c>
      <c r="J465" s="22"/>
      <c r="K465" s="22"/>
      <c r="L465" s="22" t="s">
        <v>34</v>
      </c>
      <c r="M465" s="22" t="s">
        <v>34</v>
      </c>
      <c r="N465" s="22" t="s">
        <v>35</v>
      </c>
      <c r="O465" s="22" t="s">
        <v>35</v>
      </c>
      <c r="P465" s="22" t="s">
        <v>35</v>
      </c>
      <c r="Q465" s="22" t="s">
        <v>35</v>
      </c>
      <c r="R465" s="22" t="s">
        <v>35</v>
      </c>
      <c r="S465" s="22" t="s">
        <v>34</v>
      </c>
      <c r="T465" s="22"/>
      <c r="U465" s="22"/>
      <c r="V465" s="22"/>
      <c r="W465" s="22"/>
      <c r="X465" s="22"/>
      <c r="Y465" s="22"/>
      <c r="Z465" s="22"/>
      <c r="AA465" s="22"/>
      <c r="AB465" s="22"/>
      <c r="AC465" s="22" t="s">
        <v>1929</v>
      </c>
      <c r="AD465" s="22">
        <v>20170413</v>
      </c>
      <c r="AE465" s="22">
        <v>464</v>
      </c>
      <c r="AF465" s="22"/>
      <c r="AG465" s="22" t="str">
        <f>IFERROR(VLOOKUP(TblFeedFile[[#This Row],[Leave Type ]],LkupPayType[],2,FALSE),"TBD")</f>
        <v>Closed</v>
      </c>
      <c r="AH465" s="22"/>
      <c r="AI465" s="25"/>
      <c r="AJ465" s="25"/>
      <c r="AK465" s="26"/>
    </row>
    <row r="466" spans="1:37" x14ac:dyDescent="0.25">
      <c r="A466" s="21" t="s">
        <v>29</v>
      </c>
      <c r="B466" s="22">
        <v>314304</v>
      </c>
      <c r="C466" s="22">
        <v>25359659</v>
      </c>
      <c r="D466" s="23">
        <v>511703308289</v>
      </c>
      <c r="E466" s="22" t="s">
        <v>2428</v>
      </c>
      <c r="F466" s="22" t="s">
        <v>2429</v>
      </c>
      <c r="G466" s="22">
        <v>20170322</v>
      </c>
      <c r="H466" s="22">
        <v>20170421</v>
      </c>
      <c r="I466" s="22" t="s">
        <v>53</v>
      </c>
      <c r="J466" s="22"/>
      <c r="K466" s="22"/>
      <c r="L466" s="22" t="s">
        <v>34</v>
      </c>
      <c r="M466" s="22" t="s">
        <v>34</v>
      </c>
      <c r="N466" s="22" t="s">
        <v>35</v>
      </c>
      <c r="O466" s="22" t="s">
        <v>35</v>
      </c>
      <c r="P466" s="22" t="s">
        <v>35</v>
      </c>
      <c r="Q466" s="22" t="s">
        <v>35</v>
      </c>
      <c r="R466" s="22" t="s">
        <v>35</v>
      </c>
      <c r="S466" s="22" t="s">
        <v>34</v>
      </c>
      <c r="T466" s="22"/>
      <c r="U466" s="22"/>
      <c r="V466" s="22"/>
      <c r="W466" s="22"/>
      <c r="X466" s="22"/>
      <c r="Y466" s="22"/>
      <c r="Z466" s="22"/>
      <c r="AA466" s="22"/>
      <c r="AB466" s="22"/>
      <c r="AC466" s="22" t="s">
        <v>1900</v>
      </c>
      <c r="AD466" s="22">
        <v>20170413</v>
      </c>
      <c r="AE466" s="22">
        <v>465</v>
      </c>
      <c r="AF466" s="22"/>
      <c r="AG466" s="22" t="str">
        <f>IFERROR(VLOOKUP(TblFeedFile[[#This Row],[Leave Type ]],LkupPayType[],2,FALSE),"TBD")</f>
        <v>Paid</v>
      </c>
      <c r="AH466" s="22"/>
      <c r="AI466" s="25"/>
      <c r="AJ466" s="25"/>
      <c r="AK466" s="26"/>
    </row>
    <row r="467" spans="1:37" x14ac:dyDescent="0.25">
      <c r="A467" s="21" t="s">
        <v>37</v>
      </c>
      <c r="B467" s="22">
        <v>314304</v>
      </c>
      <c r="C467" s="22">
        <v>25359659</v>
      </c>
      <c r="D467" s="23">
        <v>511703308289</v>
      </c>
      <c r="E467" s="22" t="s">
        <v>2428</v>
      </c>
      <c r="F467" s="22" t="s">
        <v>2429</v>
      </c>
      <c r="G467" s="22">
        <v>20170322</v>
      </c>
      <c r="H467" s="22">
        <v>20170430</v>
      </c>
      <c r="I467" s="22" t="s">
        <v>53</v>
      </c>
      <c r="J467" s="22"/>
      <c r="K467" s="22"/>
      <c r="L467" s="22" t="s">
        <v>34</v>
      </c>
      <c r="M467" s="22" t="s">
        <v>34</v>
      </c>
      <c r="N467" s="22" t="s">
        <v>35</v>
      </c>
      <c r="O467" s="22" t="s">
        <v>35</v>
      </c>
      <c r="P467" s="22" t="s">
        <v>35</v>
      </c>
      <c r="Q467" s="22" t="s">
        <v>35</v>
      </c>
      <c r="R467" s="22" t="s">
        <v>35</v>
      </c>
      <c r="S467" s="22" t="s">
        <v>34</v>
      </c>
      <c r="T467" s="22"/>
      <c r="U467" s="22"/>
      <c r="V467" s="22"/>
      <c r="W467" s="22"/>
      <c r="X467" s="22"/>
      <c r="Y467" s="22"/>
      <c r="Z467" s="22"/>
      <c r="AA467" s="22"/>
      <c r="AB467" s="22"/>
      <c r="AC467" s="22" t="s">
        <v>1900</v>
      </c>
      <c r="AD467" s="22">
        <v>20170413</v>
      </c>
      <c r="AE467" s="22">
        <v>466</v>
      </c>
      <c r="AF467" s="22"/>
      <c r="AG467" s="22" t="str">
        <f>IFERROR(VLOOKUP(TblFeedFile[[#This Row],[Leave Type ]],LkupPayType[],2,FALSE),"TBD")</f>
        <v>Paid</v>
      </c>
      <c r="AH467" s="22"/>
      <c r="AI467" s="25" t="s">
        <v>35</v>
      </c>
      <c r="AJ467" s="25"/>
      <c r="AK467" s="26"/>
    </row>
    <row r="468" spans="1:37" x14ac:dyDescent="0.25">
      <c r="A468" s="21" t="s">
        <v>37</v>
      </c>
      <c r="B468" s="22">
        <v>314304</v>
      </c>
      <c r="C468" s="22">
        <v>25359659</v>
      </c>
      <c r="D468" s="23">
        <v>511703308289</v>
      </c>
      <c r="E468" s="22" t="s">
        <v>2428</v>
      </c>
      <c r="F468" s="22" t="s">
        <v>2429</v>
      </c>
      <c r="G468" s="22">
        <v>20170329</v>
      </c>
      <c r="H468" s="22">
        <v>20170430</v>
      </c>
      <c r="I468" s="22" t="s">
        <v>40</v>
      </c>
      <c r="J468" s="22"/>
      <c r="K468" s="22"/>
      <c r="L468" s="22" t="s">
        <v>34</v>
      </c>
      <c r="M468" s="22" t="s">
        <v>34</v>
      </c>
      <c r="N468" s="22" t="s">
        <v>35</v>
      </c>
      <c r="O468" s="22" t="s">
        <v>35</v>
      </c>
      <c r="P468" s="22" t="s">
        <v>35</v>
      </c>
      <c r="Q468" s="22" t="s">
        <v>35</v>
      </c>
      <c r="R468" s="22" t="s">
        <v>35</v>
      </c>
      <c r="S468" s="22" t="s">
        <v>34</v>
      </c>
      <c r="T468" s="22"/>
      <c r="U468" s="22"/>
      <c r="V468" s="22"/>
      <c r="W468" s="22"/>
      <c r="X468" s="22"/>
      <c r="Y468" s="22"/>
      <c r="Z468" s="22"/>
      <c r="AA468" s="22"/>
      <c r="AB468" s="22"/>
      <c r="AC468" s="22" t="s">
        <v>1902</v>
      </c>
      <c r="AD468" s="22">
        <v>20170413</v>
      </c>
      <c r="AE468" s="22">
        <v>467</v>
      </c>
      <c r="AF468" s="22"/>
      <c r="AG468" s="22" t="str">
        <f>IFERROR(VLOOKUP(TblFeedFile[[#This Row],[Leave Type ]],LkupPayType[],2,FALSE),"TBD")</f>
        <v>Paid</v>
      </c>
      <c r="AH468" s="22"/>
      <c r="AI468" s="25" t="s">
        <v>35</v>
      </c>
      <c r="AJ468" s="25"/>
      <c r="AK468" s="26"/>
    </row>
    <row r="469" spans="1:37" x14ac:dyDescent="0.25">
      <c r="A469" s="21" t="s">
        <v>37</v>
      </c>
      <c r="B469" s="22">
        <v>314304</v>
      </c>
      <c r="C469" s="22">
        <v>25364036</v>
      </c>
      <c r="D469" s="23" t="s">
        <v>2430</v>
      </c>
      <c r="E469" s="22" t="s">
        <v>2431</v>
      </c>
      <c r="F469" s="22" t="s">
        <v>2432</v>
      </c>
      <c r="G469" s="22">
        <v>20161212</v>
      </c>
      <c r="H469" s="22">
        <v>20170416</v>
      </c>
      <c r="I469" s="22" t="s">
        <v>36</v>
      </c>
      <c r="J469" s="22"/>
      <c r="K469" s="22"/>
      <c r="L469" s="22" t="s">
        <v>34</v>
      </c>
      <c r="M469" s="22" t="s">
        <v>34</v>
      </c>
      <c r="N469" s="22" t="s">
        <v>35</v>
      </c>
      <c r="O469" s="22" t="s">
        <v>35</v>
      </c>
      <c r="P469" s="22" t="s">
        <v>35</v>
      </c>
      <c r="Q469" s="22" t="s">
        <v>35</v>
      </c>
      <c r="R469" s="22" t="s">
        <v>35</v>
      </c>
      <c r="S469" s="22" t="s">
        <v>34</v>
      </c>
      <c r="T469" s="22">
        <v>20170417</v>
      </c>
      <c r="U469" s="22"/>
      <c r="V469" s="22"/>
      <c r="W469" s="22"/>
      <c r="X469" s="22"/>
      <c r="Y469" s="22"/>
      <c r="Z469" s="22"/>
      <c r="AA469" s="22"/>
      <c r="AB469" s="22"/>
      <c r="AC469" s="22" t="s">
        <v>1972</v>
      </c>
      <c r="AD469" s="22">
        <v>20170413</v>
      </c>
      <c r="AE469" s="22">
        <v>468</v>
      </c>
      <c r="AF469" s="22"/>
      <c r="AG469" s="22" t="str">
        <f>IFERROR(VLOOKUP(TblFeedFile[[#This Row],[Leave Type ]],LkupPayType[],2,FALSE),"TBD")</f>
        <v>Unpaid</v>
      </c>
      <c r="AH469" s="22"/>
      <c r="AI469" s="25"/>
      <c r="AJ469" s="25"/>
      <c r="AK469" s="26" t="s">
        <v>35</v>
      </c>
    </row>
    <row r="470" spans="1:37" x14ac:dyDescent="0.25">
      <c r="A470" s="21" t="s">
        <v>29</v>
      </c>
      <c r="B470" s="22">
        <v>314301</v>
      </c>
      <c r="C470" s="22">
        <v>25385695</v>
      </c>
      <c r="D470" s="23" t="s">
        <v>2433</v>
      </c>
      <c r="E470" s="22" t="s">
        <v>2041</v>
      </c>
      <c r="F470" s="22" t="s">
        <v>2434</v>
      </c>
      <c r="G470" s="22">
        <v>20170405</v>
      </c>
      <c r="H470" s="22">
        <v>20170530</v>
      </c>
      <c r="I470" s="22" t="s">
        <v>36</v>
      </c>
      <c r="J470" s="22"/>
      <c r="K470" s="22"/>
      <c r="L470" s="22" t="s">
        <v>34</v>
      </c>
      <c r="M470" s="22" t="s">
        <v>34</v>
      </c>
      <c r="N470" s="22" t="s">
        <v>35</v>
      </c>
      <c r="O470" s="22" t="s">
        <v>35</v>
      </c>
      <c r="P470" s="22" t="s">
        <v>35</v>
      </c>
      <c r="Q470" s="22" t="s">
        <v>35</v>
      </c>
      <c r="R470" s="22" t="s">
        <v>35</v>
      </c>
      <c r="S470" s="22" t="s">
        <v>34</v>
      </c>
      <c r="T470" s="22"/>
      <c r="U470" s="22"/>
      <c r="V470" s="22"/>
      <c r="W470" s="22"/>
      <c r="X470" s="22"/>
      <c r="Y470" s="22"/>
      <c r="Z470" s="22"/>
      <c r="AA470" s="22"/>
      <c r="AB470" s="22"/>
      <c r="AC470" s="22" t="s">
        <v>1935</v>
      </c>
      <c r="AD470" s="22">
        <v>20170413</v>
      </c>
      <c r="AE470" s="22">
        <v>469</v>
      </c>
      <c r="AF470" s="22"/>
      <c r="AG470" s="22" t="str">
        <f>IFERROR(VLOOKUP(TblFeedFile[[#This Row],[Leave Type ]],LkupPayType[],2,FALSE),"TBD")</f>
        <v>Unpaid</v>
      </c>
      <c r="AH470" s="22"/>
      <c r="AI470" s="25"/>
      <c r="AJ470" s="25"/>
      <c r="AK470" s="26"/>
    </row>
    <row r="471" spans="1:37" x14ac:dyDescent="0.25">
      <c r="A471" s="21" t="s">
        <v>37</v>
      </c>
      <c r="B471" s="22">
        <v>314301</v>
      </c>
      <c r="C471" s="22">
        <v>25385695</v>
      </c>
      <c r="D471" s="23" t="s">
        <v>2433</v>
      </c>
      <c r="E471" s="22" t="s">
        <v>2041</v>
      </c>
      <c r="F471" s="22" t="s">
        <v>2434</v>
      </c>
      <c r="G471" s="22">
        <v>20170405</v>
      </c>
      <c r="H471" s="22">
        <v>20170530</v>
      </c>
      <c r="I471" s="22" t="s">
        <v>78</v>
      </c>
      <c r="J471" s="22"/>
      <c r="K471" s="22" t="s">
        <v>219</v>
      </c>
      <c r="L471" s="22" t="s">
        <v>34</v>
      </c>
      <c r="M471" s="22" t="s">
        <v>34</v>
      </c>
      <c r="N471" s="22" t="s">
        <v>35</v>
      </c>
      <c r="O471" s="22" t="s">
        <v>35</v>
      </c>
      <c r="P471" s="22" t="s">
        <v>35</v>
      </c>
      <c r="Q471" s="22" t="s">
        <v>35</v>
      </c>
      <c r="R471" s="22" t="s">
        <v>35</v>
      </c>
      <c r="S471" s="22" t="s">
        <v>34</v>
      </c>
      <c r="T471" s="22"/>
      <c r="U471" s="22"/>
      <c r="V471" s="22"/>
      <c r="W471" s="22"/>
      <c r="X471" s="22"/>
      <c r="Y471" s="22"/>
      <c r="Z471" s="22"/>
      <c r="AA471" s="22"/>
      <c r="AB471" s="22"/>
      <c r="AC471" s="22" t="s">
        <v>1896</v>
      </c>
      <c r="AD471" s="22">
        <v>20170413</v>
      </c>
      <c r="AE471" s="22">
        <v>470</v>
      </c>
      <c r="AF471" s="22"/>
      <c r="AG471" s="22" t="str">
        <f>IFERROR(VLOOKUP(TblFeedFile[[#This Row],[Leave Type ]],LkupPayType[],2,FALSE),"TBD")</f>
        <v>Unpaid</v>
      </c>
      <c r="AH471" s="22"/>
      <c r="AI471" s="25"/>
      <c r="AJ471" s="25"/>
      <c r="AK471" s="26"/>
    </row>
    <row r="472" spans="1:37" x14ac:dyDescent="0.25">
      <c r="A472" s="21" t="s">
        <v>37</v>
      </c>
      <c r="B472" s="22">
        <v>314305</v>
      </c>
      <c r="C472" s="22">
        <v>25408472</v>
      </c>
      <c r="D472" s="23">
        <v>501704128650</v>
      </c>
      <c r="E472" s="22" t="s">
        <v>95</v>
      </c>
      <c r="F472" s="22" t="s">
        <v>480</v>
      </c>
      <c r="G472" s="22">
        <v>20170413</v>
      </c>
      <c r="H472" s="22">
        <v>20170513</v>
      </c>
      <c r="I472" s="22" t="s">
        <v>53</v>
      </c>
      <c r="J472" s="22"/>
      <c r="K472" s="22"/>
      <c r="L472" s="22" t="s">
        <v>34</v>
      </c>
      <c r="M472" s="22" t="s">
        <v>34</v>
      </c>
      <c r="N472" s="22" t="s">
        <v>35</v>
      </c>
      <c r="O472" s="22" t="s">
        <v>35</v>
      </c>
      <c r="P472" s="22" t="s">
        <v>35</v>
      </c>
      <c r="Q472" s="22" t="s">
        <v>35</v>
      </c>
      <c r="R472" s="22" t="s">
        <v>35</v>
      </c>
      <c r="S472" s="22" t="s">
        <v>34</v>
      </c>
      <c r="T472" s="22"/>
      <c r="U472" s="22"/>
      <c r="V472" s="22"/>
      <c r="W472" s="22"/>
      <c r="X472" s="22" t="s">
        <v>35</v>
      </c>
      <c r="Y472" s="22"/>
      <c r="Z472" s="22"/>
      <c r="AA472" s="22"/>
      <c r="AB472" s="22"/>
      <c r="AC472" s="22" t="s">
        <v>1923</v>
      </c>
      <c r="AD472" s="22">
        <v>20170413</v>
      </c>
      <c r="AE472" s="22">
        <v>471</v>
      </c>
      <c r="AF472" s="22"/>
      <c r="AG472" s="22" t="str">
        <f>IFERROR(VLOOKUP(TblFeedFile[[#This Row],[Leave Type ]],LkupPayType[],2,FALSE),"TBD")</f>
        <v>Paid</v>
      </c>
      <c r="AH472" s="22"/>
      <c r="AI472" s="25"/>
      <c r="AJ472" s="25"/>
      <c r="AK472" s="26"/>
    </row>
    <row r="473" spans="1:37" x14ac:dyDescent="0.25">
      <c r="A473" s="21" t="s">
        <v>37</v>
      </c>
      <c r="B473" s="22">
        <v>314301</v>
      </c>
      <c r="C473" s="22">
        <v>25423546</v>
      </c>
      <c r="D473" s="23" t="s">
        <v>2435</v>
      </c>
      <c r="E473" s="22" t="s">
        <v>2436</v>
      </c>
      <c r="F473" s="22" t="s">
        <v>1135</v>
      </c>
      <c r="G473" s="22">
        <v>20170403</v>
      </c>
      <c r="H473" s="22">
        <v>20170502</v>
      </c>
      <c r="I473" s="22" t="s">
        <v>223</v>
      </c>
      <c r="J473" s="22"/>
      <c r="K473" s="22"/>
      <c r="L473" s="22" t="s">
        <v>34</v>
      </c>
      <c r="M473" s="22" t="s">
        <v>34</v>
      </c>
      <c r="N473" s="22" t="s">
        <v>35</v>
      </c>
      <c r="O473" s="22" t="s">
        <v>35</v>
      </c>
      <c r="P473" s="22" t="s">
        <v>35</v>
      </c>
      <c r="Q473" s="22" t="s">
        <v>35</v>
      </c>
      <c r="R473" s="22" t="s">
        <v>35</v>
      </c>
      <c r="S473" s="22" t="s">
        <v>34</v>
      </c>
      <c r="T473" s="22"/>
      <c r="U473" s="22"/>
      <c r="V473" s="22"/>
      <c r="W473" s="22"/>
      <c r="X473" s="22"/>
      <c r="Y473" s="22"/>
      <c r="Z473" s="22"/>
      <c r="AA473" s="22"/>
      <c r="AB473" s="22"/>
      <c r="AC473" s="22" t="s">
        <v>1911</v>
      </c>
      <c r="AD473" s="22">
        <v>20170413</v>
      </c>
      <c r="AE473" s="22">
        <v>472</v>
      </c>
      <c r="AF473" s="22"/>
      <c r="AG473" s="22" t="str">
        <f>IFERROR(VLOOKUP(TblFeedFile[[#This Row],[Leave Type ]],LkupPayType[],2,FALSE),"TBD")</f>
        <v>Paid</v>
      </c>
      <c r="AH473" s="22"/>
      <c r="AI473" s="25"/>
      <c r="AJ473" s="25"/>
      <c r="AK473" s="26"/>
    </row>
    <row r="474" spans="1:37" x14ac:dyDescent="0.25">
      <c r="A474" s="21" t="s">
        <v>29</v>
      </c>
      <c r="B474" s="22">
        <v>314304</v>
      </c>
      <c r="C474" s="22">
        <v>25462115</v>
      </c>
      <c r="D474" s="23">
        <v>561704068486</v>
      </c>
      <c r="E474" s="22" t="s">
        <v>1096</v>
      </c>
      <c r="F474" s="22" t="s">
        <v>2437</v>
      </c>
      <c r="G474" s="22">
        <v>20170404</v>
      </c>
      <c r="H474" s="22">
        <v>20170725</v>
      </c>
      <c r="I474" s="22" t="s">
        <v>53</v>
      </c>
      <c r="J474" s="22"/>
      <c r="K474" s="22"/>
      <c r="L474" s="22" t="s">
        <v>34</v>
      </c>
      <c r="M474" s="22" t="s">
        <v>34</v>
      </c>
      <c r="N474" s="22" t="s">
        <v>35</v>
      </c>
      <c r="O474" s="22" t="s">
        <v>35</v>
      </c>
      <c r="P474" s="22" t="s">
        <v>35</v>
      </c>
      <c r="Q474" s="22" t="s">
        <v>35</v>
      </c>
      <c r="R474" s="22" t="s">
        <v>35</v>
      </c>
      <c r="S474" s="22" t="s">
        <v>34</v>
      </c>
      <c r="T474" s="22"/>
      <c r="U474" s="22"/>
      <c r="V474" s="22"/>
      <c r="W474" s="22"/>
      <c r="X474" s="22"/>
      <c r="Y474" s="22"/>
      <c r="Z474" s="22"/>
      <c r="AA474" s="22"/>
      <c r="AB474" s="22"/>
      <c r="AC474" s="22" t="s">
        <v>1912</v>
      </c>
      <c r="AD474" s="22">
        <v>20170413</v>
      </c>
      <c r="AE474" s="22">
        <v>473</v>
      </c>
      <c r="AF474" s="22"/>
      <c r="AG474" s="22" t="str">
        <f>IFERROR(VLOOKUP(TblFeedFile[[#This Row],[Leave Type ]],LkupPayType[],2,FALSE),"TBD")</f>
        <v>Paid</v>
      </c>
      <c r="AH474" s="22"/>
      <c r="AI474" s="25"/>
      <c r="AJ474" s="25"/>
      <c r="AK474" s="26"/>
    </row>
    <row r="475" spans="1:37" x14ac:dyDescent="0.25">
      <c r="A475" s="21" t="s">
        <v>37</v>
      </c>
      <c r="B475" s="22">
        <v>314304</v>
      </c>
      <c r="C475" s="22">
        <v>25462115</v>
      </c>
      <c r="D475" s="23">
        <v>561704068486</v>
      </c>
      <c r="E475" s="22" t="s">
        <v>1096</v>
      </c>
      <c r="F475" s="22" t="s">
        <v>2437</v>
      </c>
      <c r="G475" s="22">
        <v>20170404</v>
      </c>
      <c r="H475" s="22">
        <v>20170725</v>
      </c>
      <c r="I475" s="22" t="s">
        <v>155</v>
      </c>
      <c r="J475" s="22"/>
      <c r="K475" s="22"/>
      <c r="L475" s="22" t="s">
        <v>34</v>
      </c>
      <c r="M475" s="22" t="s">
        <v>34</v>
      </c>
      <c r="N475" s="22" t="s">
        <v>35</v>
      </c>
      <c r="O475" s="22" t="s">
        <v>35</v>
      </c>
      <c r="P475" s="22" t="s">
        <v>35</v>
      </c>
      <c r="Q475" s="22" t="s">
        <v>35</v>
      </c>
      <c r="R475" s="22" t="s">
        <v>35</v>
      </c>
      <c r="S475" s="22" t="s">
        <v>34</v>
      </c>
      <c r="T475" s="22"/>
      <c r="U475" s="22"/>
      <c r="V475" s="22"/>
      <c r="W475" s="22"/>
      <c r="X475" s="22"/>
      <c r="Y475" s="22"/>
      <c r="Z475" s="22"/>
      <c r="AA475" s="22"/>
      <c r="AB475" s="22"/>
      <c r="AC475" s="22" t="s">
        <v>1943</v>
      </c>
      <c r="AD475" s="22">
        <v>20170413</v>
      </c>
      <c r="AE475" s="22">
        <v>474</v>
      </c>
      <c r="AF475" s="22"/>
      <c r="AG475" s="22" t="str">
        <f>IFERROR(VLOOKUP(TblFeedFile[[#This Row],[Leave Type ]],LkupPayType[],2,FALSE),"TBD")</f>
        <v>Paid</v>
      </c>
      <c r="AH475" s="22"/>
      <c r="AI475" s="25"/>
      <c r="AJ475" s="25"/>
      <c r="AK475" s="26"/>
    </row>
    <row r="476" spans="1:37" x14ac:dyDescent="0.25">
      <c r="A476" s="21" t="s">
        <v>37</v>
      </c>
      <c r="B476" s="22">
        <v>314304</v>
      </c>
      <c r="C476" s="22">
        <v>25462115</v>
      </c>
      <c r="D476" s="23">
        <v>561704068486</v>
      </c>
      <c r="E476" s="22" t="s">
        <v>1096</v>
      </c>
      <c r="F476" s="22" t="s">
        <v>2437</v>
      </c>
      <c r="G476" s="22">
        <v>20170411</v>
      </c>
      <c r="H476" s="22">
        <v>20170725</v>
      </c>
      <c r="I476" s="22" t="s">
        <v>459</v>
      </c>
      <c r="J476" s="22"/>
      <c r="K476" s="22"/>
      <c r="L476" s="22" t="s">
        <v>34</v>
      </c>
      <c r="M476" s="22" t="s">
        <v>34</v>
      </c>
      <c r="N476" s="22" t="s">
        <v>35</v>
      </c>
      <c r="O476" s="22" t="s">
        <v>35</v>
      </c>
      <c r="P476" s="22" t="s">
        <v>35</v>
      </c>
      <c r="Q476" s="22" t="s">
        <v>35</v>
      </c>
      <c r="R476" s="22" t="s">
        <v>35</v>
      </c>
      <c r="S476" s="22" t="s">
        <v>34</v>
      </c>
      <c r="T476" s="22"/>
      <c r="U476" s="22"/>
      <c r="V476" s="22"/>
      <c r="W476" s="22"/>
      <c r="X476" s="22"/>
      <c r="Y476" s="22"/>
      <c r="Z476" s="22"/>
      <c r="AA476" s="22"/>
      <c r="AB476" s="22"/>
      <c r="AC476" s="22" t="s">
        <v>1901</v>
      </c>
      <c r="AD476" s="22">
        <v>20170413</v>
      </c>
      <c r="AE476" s="22">
        <v>475</v>
      </c>
      <c r="AF476" s="22"/>
      <c r="AG476" s="22" t="str">
        <f>IFERROR(VLOOKUP(TblFeedFile[[#This Row],[Leave Type ]],LkupPayType[],2,FALSE),"TBD")</f>
        <v>Paid</v>
      </c>
      <c r="AH476" s="22"/>
      <c r="AI476" s="25"/>
      <c r="AJ476" s="25"/>
      <c r="AK476" s="26"/>
    </row>
    <row r="477" spans="1:37" x14ac:dyDescent="0.25">
      <c r="A477" s="21" t="s">
        <v>37</v>
      </c>
      <c r="B477" s="22">
        <v>314310</v>
      </c>
      <c r="C477" s="22">
        <v>25527725</v>
      </c>
      <c r="D477" s="23" t="s">
        <v>2438</v>
      </c>
      <c r="E477" s="22" t="s">
        <v>2439</v>
      </c>
      <c r="F477" s="22" t="s">
        <v>2440</v>
      </c>
      <c r="G477" s="22">
        <v>20170401</v>
      </c>
      <c r="H477" s="22">
        <v>20170416</v>
      </c>
      <c r="I477" s="22" t="s">
        <v>223</v>
      </c>
      <c r="J477" s="22"/>
      <c r="K477" s="22"/>
      <c r="L477" s="22" t="s">
        <v>34</v>
      </c>
      <c r="M477" s="22" t="s">
        <v>34</v>
      </c>
      <c r="N477" s="22" t="s">
        <v>35</v>
      </c>
      <c r="O477" s="22" t="s">
        <v>35</v>
      </c>
      <c r="P477" s="22" t="s">
        <v>35</v>
      </c>
      <c r="Q477" s="22" t="s">
        <v>35</v>
      </c>
      <c r="R477" s="22" t="s">
        <v>35</v>
      </c>
      <c r="S477" s="22" t="s">
        <v>34</v>
      </c>
      <c r="T477" s="22">
        <v>20170417</v>
      </c>
      <c r="U477" s="22"/>
      <c r="V477" s="22"/>
      <c r="W477" s="22"/>
      <c r="X477" s="22"/>
      <c r="Y477" s="22"/>
      <c r="Z477" s="22"/>
      <c r="AA477" s="22"/>
      <c r="AB477" s="22"/>
      <c r="AC477" s="22" t="s">
        <v>1900</v>
      </c>
      <c r="AD477" s="22">
        <v>20170413</v>
      </c>
      <c r="AE477" s="22">
        <v>476</v>
      </c>
      <c r="AF477" s="22"/>
      <c r="AG477" s="22" t="str">
        <f>IFERROR(VLOOKUP(TblFeedFile[[#This Row],[Leave Type ]],LkupPayType[],2,FALSE),"TBD")</f>
        <v>Paid</v>
      </c>
      <c r="AH477" s="22"/>
      <c r="AI477" s="25"/>
      <c r="AJ477" s="25"/>
      <c r="AK477" s="26" t="s">
        <v>35</v>
      </c>
    </row>
    <row r="478" spans="1:37" x14ac:dyDescent="0.25">
      <c r="A478" s="21" t="s">
        <v>37</v>
      </c>
      <c r="B478" s="22">
        <v>314304</v>
      </c>
      <c r="C478" s="22">
        <v>25540888</v>
      </c>
      <c r="D478" s="23" t="s">
        <v>2441</v>
      </c>
      <c r="E478" s="22" t="s">
        <v>1919</v>
      </c>
      <c r="F478" s="22" t="s">
        <v>2442</v>
      </c>
      <c r="G478" s="22">
        <v>20170413</v>
      </c>
      <c r="H478" s="22">
        <v>20170525</v>
      </c>
      <c r="I478" s="22" t="s">
        <v>36</v>
      </c>
      <c r="J478" s="22"/>
      <c r="K478" s="22"/>
      <c r="L478" s="22" t="s">
        <v>34</v>
      </c>
      <c r="M478" s="22" t="s">
        <v>34</v>
      </c>
      <c r="N478" s="22" t="s">
        <v>35</v>
      </c>
      <c r="O478" s="22" t="s">
        <v>35</v>
      </c>
      <c r="P478" s="22" t="s">
        <v>35</v>
      </c>
      <c r="Q478" s="22" t="s">
        <v>35</v>
      </c>
      <c r="R478" s="22" t="s">
        <v>35</v>
      </c>
      <c r="S478" s="22" t="s">
        <v>34</v>
      </c>
      <c r="T478" s="22"/>
      <c r="U478" s="22"/>
      <c r="V478" s="22"/>
      <c r="W478" s="22"/>
      <c r="X478" s="22"/>
      <c r="Y478" s="22"/>
      <c r="Z478" s="22"/>
      <c r="AA478" s="22"/>
      <c r="AB478" s="22"/>
      <c r="AC478" s="22" t="s">
        <v>1905</v>
      </c>
      <c r="AD478" s="22">
        <v>20170413</v>
      </c>
      <c r="AE478" s="22">
        <v>477</v>
      </c>
      <c r="AF478" s="22"/>
      <c r="AG478" s="22" t="str">
        <f>IFERROR(VLOOKUP(TblFeedFile[[#This Row],[Leave Type ]],LkupPayType[],2,FALSE),"TBD")</f>
        <v>Unpaid</v>
      </c>
      <c r="AH478" s="22"/>
      <c r="AI478" s="25"/>
      <c r="AJ478" s="25"/>
      <c r="AK478" s="26"/>
    </row>
    <row r="479" spans="1:37" x14ac:dyDescent="0.25">
      <c r="A479" s="21" t="s">
        <v>29</v>
      </c>
      <c r="B479" s="22">
        <v>314304</v>
      </c>
      <c r="C479" s="22">
        <v>25586220</v>
      </c>
      <c r="D479" s="23" t="s">
        <v>2443</v>
      </c>
      <c r="E479" s="22" t="s">
        <v>2444</v>
      </c>
      <c r="F479" s="22" t="s">
        <v>2445</v>
      </c>
      <c r="G479" s="22">
        <v>20170401</v>
      </c>
      <c r="H479" s="22">
        <v>20170401</v>
      </c>
      <c r="I479" s="22" t="s">
        <v>33</v>
      </c>
      <c r="J479" s="22"/>
      <c r="K479" s="22"/>
      <c r="L479" s="22" t="s">
        <v>34</v>
      </c>
      <c r="M479" s="22" t="s">
        <v>34</v>
      </c>
      <c r="N479" s="22" t="s">
        <v>35</v>
      </c>
      <c r="O479" s="22" t="s">
        <v>35</v>
      </c>
      <c r="P479" s="22" t="s">
        <v>35</v>
      </c>
      <c r="Q479" s="22" t="s">
        <v>35</v>
      </c>
      <c r="R479" s="22" t="s">
        <v>35</v>
      </c>
      <c r="S479" s="22" t="s">
        <v>34</v>
      </c>
      <c r="T479" s="22"/>
      <c r="U479" s="22"/>
      <c r="V479" s="22"/>
      <c r="W479" s="22"/>
      <c r="X479" s="22"/>
      <c r="Y479" s="22"/>
      <c r="Z479" s="22"/>
      <c r="AA479" s="22"/>
      <c r="AB479" s="22"/>
      <c r="AC479" s="22" t="s">
        <v>1917</v>
      </c>
      <c r="AD479" s="22">
        <v>20170413</v>
      </c>
      <c r="AE479" s="22">
        <v>478</v>
      </c>
      <c r="AF479" s="22"/>
      <c r="AG479" s="22" t="str">
        <f>IFERROR(VLOOKUP(TblFeedFile[[#This Row],[Leave Type ]],LkupPayType[],2,FALSE),"TBD")</f>
        <v>Closed</v>
      </c>
      <c r="AH479" s="22"/>
      <c r="AI479" s="25"/>
      <c r="AJ479" s="25"/>
      <c r="AK479" s="26"/>
    </row>
    <row r="480" spans="1:37" x14ac:dyDescent="0.25">
      <c r="A480" s="21" t="s">
        <v>29</v>
      </c>
      <c r="B480" s="22">
        <v>314304</v>
      </c>
      <c r="C480" s="22">
        <v>25586220</v>
      </c>
      <c r="D480" s="23" t="s">
        <v>2443</v>
      </c>
      <c r="E480" s="22" t="s">
        <v>2444</v>
      </c>
      <c r="F480" s="22" t="s">
        <v>2445</v>
      </c>
      <c r="G480" s="22">
        <v>20170317</v>
      </c>
      <c r="H480" s="22">
        <v>20170331</v>
      </c>
      <c r="I480" s="22" t="s">
        <v>36</v>
      </c>
      <c r="J480" s="22"/>
      <c r="K480" s="22"/>
      <c r="L480" s="22" t="s">
        <v>34</v>
      </c>
      <c r="M480" s="22" t="s">
        <v>35</v>
      </c>
      <c r="N480" s="22" t="s">
        <v>35</v>
      </c>
      <c r="O480" s="22" t="s">
        <v>35</v>
      </c>
      <c r="P480" s="22" t="s">
        <v>35</v>
      </c>
      <c r="Q480" s="22" t="s">
        <v>35</v>
      </c>
      <c r="R480" s="22" t="s">
        <v>35</v>
      </c>
      <c r="S480" s="22" t="s">
        <v>34</v>
      </c>
      <c r="T480" s="22"/>
      <c r="U480" s="22"/>
      <c r="V480" s="22"/>
      <c r="W480" s="22"/>
      <c r="X480" s="22"/>
      <c r="Y480" s="22"/>
      <c r="Z480" s="22"/>
      <c r="AA480" s="22"/>
      <c r="AB480" s="22"/>
      <c r="AC480" s="22" t="s">
        <v>1918</v>
      </c>
      <c r="AD480" s="22">
        <v>20170413</v>
      </c>
      <c r="AE480" s="22">
        <v>479</v>
      </c>
      <c r="AF480" s="22"/>
      <c r="AG480" s="22" t="str">
        <f>IFERROR(VLOOKUP(TblFeedFile[[#This Row],[Leave Type ]],LkupPayType[],2,FALSE),"TBD")</f>
        <v>Unpaid</v>
      </c>
      <c r="AH480" s="22"/>
      <c r="AI480" s="25"/>
      <c r="AJ480" s="25"/>
      <c r="AK480" s="26"/>
    </row>
    <row r="481" spans="1:37" x14ac:dyDescent="0.25">
      <c r="A481" s="21" t="s">
        <v>29</v>
      </c>
      <c r="B481" s="22">
        <v>314304</v>
      </c>
      <c r="C481" s="22">
        <v>25586220</v>
      </c>
      <c r="D481" s="23" t="s">
        <v>2443</v>
      </c>
      <c r="E481" s="22" t="s">
        <v>2444</v>
      </c>
      <c r="F481" s="22" t="s">
        <v>2445</v>
      </c>
      <c r="G481" s="22">
        <v>20170315</v>
      </c>
      <c r="H481" s="22">
        <v>20170315</v>
      </c>
      <c r="I481" s="22" t="s">
        <v>33</v>
      </c>
      <c r="J481" s="22"/>
      <c r="K481" s="22"/>
      <c r="L481" s="22" t="s">
        <v>34</v>
      </c>
      <c r="M481" s="22" t="s">
        <v>35</v>
      </c>
      <c r="N481" s="22" t="s">
        <v>35</v>
      </c>
      <c r="O481" s="22" t="s">
        <v>35</v>
      </c>
      <c r="P481" s="22" t="s">
        <v>35</v>
      </c>
      <c r="Q481" s="22" t="s">
        <v>35</v>
      </c>
      <c r="R481" s="22" t="s">
        <v>35</v>
      </c>
      <c r="S481" s="22" t="s">
        <v>35</v>
      </c>
      <c r="T481" s="22"/>
      <c r="U481" s="22"/>
      <c r="V481" s="22"/>
      <c r="W481" s="22"/>
      <c r="X481" s="22"/>
      <c r="Y481" s="22"/>
      <c r="Z481" s="22"/>
      <c r="AA481" s="22"/>
      <c r="AB481" s="22"/>
      <c r="AC481" s="22" t="s">
        <v>1917</v>
      </c>
      <c r="AD481" s="22">
        <v>20170413</v>
      </c>
      <c r="AE481" s="22">
        <v>480</v>
      </c>
      <c r="AF481" s="22"/>
      <c r="AG481" s="22" t="str">
        <f>IFERROR(VLOOKUP(TblFeedFile[[#This Row],[Leave Type ]],LkupPayType[],2,FALSE),"TBD")</f>
        <v>Closed</v>
      </c>
      <c r="AH481" s="22"/>
      <c r="AI481" s="25"/>
      <c r="AJ481" s="25"/>
      <c r="AK481" s="26"/>
    </row>
    <row r="482" spans="1:37" x14ac:dyDescent="0.25">
      <c r="A482" s="21" t="s">
        <v>29</v>
      </c>
      <c r="B482" s="22">
        <v>314304</v>
      </c>
      <c r="C482" s="22">
        <v>25586220</v>
      </c>
      <c r="D482" s="23" t="s">
        <v>2443</v>
      </c>
      <c r="E482" s="22" t="s">
        <v>2444</v>
      </c>
      <c r="F482" s="22" t="s">
        <v>2445</v>
      </c>
      <c r="G482" s="22">
        <v>20170129</v>
      </c>
      <c r="H482" s="22">
        <v>20170331</v>
      </c>
      <c r="I482" s="22" t="s">
        <v>36</v>
      </c>
      <c r="J482" s="22"/>
      <c r="K482" s="22"/>
      <c r="L482" s="22" t="s">
        <v>34</v>
      </c>
      <c r="M482" s="22" t="s">
        <v>35</v>
      </c>
      <c r="N482" s="22" t="s">
        <v>35</v>
      </c>
      <c r="O482" s="22" t="s">
        <v>35</v>
      </c>
      <c r="P482" s="22" t="s">
        <v>35</v>
      </c>
      <c r="Q482" s="22" t="s">
        <v>35</v>
      </c>
      <c r="R482" s="22" t="s">
        <v>35</v>
      </c>
      <c r="S482" s="22" t="s">
        <v>35</v>
      </c>
      <c r="T482" s="22"/>
      <c r="U482" s="22"/>
      <c r="V482" s="22"/>
      <c r="W482" s="22"/>
      <c r="X482" s="22"/>
      <c r="Y482" s="22"/>
      <c r="Z482" s="22"/>
      <c r="AA482" s="22"/>
      <c r="AB482" s="22"/>
      <c r="AC482" s="22" t="s">
        <v>1918</v>
      </c>
      <c r="AD482" s="22">
        <v>20170413</v>
      </c>
      <c r="AE482" s="22">
        <v>481</v>
      </c>
      <c r="AF482" s="22"/>
      <c r="AG482" s="22" t="str">
        <f>IFERROR(VLOOKUP(TblFeedFile[[#This Row],[Leave Type ]],LkupPayType[],2,FALSE),"TBD")</f>
        <v>Unpaid</v>
      </c>
      <c r="AH482" s="22"/>
      <c r="AI482" s="25"/>
      <c r="AJ482" s="25"/>
      <c r="AK482" s="26"/>
    </row>
    <row r="483" spans="1:37" x14ac:dyDescent="0.25">
      <c r="A483" s="21" t="s">
        <v>37</v>
      </c>
      <c r="B483" s="22">
        <v>314304</v>
      </c>
      <c r="C483" s="22">
        <v>25586220</v>
      </c>
      <c r="D483" s="23" t="s">
        <v>2443</v>
      </c>
      <c r="E483" s="22" t="s">
        <v>2444</v>
      </c>
      <c r="F483" s="22" t="s">
        <v>2445</v>
      </c>
      <c r="G483" s="22">
        <v>20170129</v>
      </c>
      <c r="H483" s="22">
        <v>20170313</v>
      </c>
      <c r="I483" s="22" t="s">
        <v>36</v>
      </c>
      <c r="J483" s="22"/>
      <c r="K483" s="22"/>
      <c r="L483" s="22" t="s">
        <v>34</v>
      </c>
      <c r="M483" s="22" t="s">
        <v>34</v>
      </c>
      <c r="N483" s="22" t="s">
        <v>35</v>
      </c>
      <c r="O483" s="22" t="s">
        <v>35</v>
      </c>
      <c r="P483" s="22" t="s">
        <v>35</v>
      </c>
      <c r="Q483" s="22" t="s">
        <v>35</v>
      </c>
      <c r="R483" s="22" t="s">
        <v>35</v>
      </c>
      <c r="S483" s="22" t="s">
        <v>34</v>
      </c>
      <c r="T483" s="22"/>
      <c r="U483" s="22"/>
      <c r="V483" s="22"/>
      <c r="W483" s="22"/>
      <c r="X483" s="22"/>
      <c r="Y483" s="22"/>
      <c r="Z483" s="22"/>
      <c r="AA483" s="22"/>
      <c r="AB483" s="22"/>
      <c r="AC483" s="22" t="s">
        <v>1918</v>
      </c>
      <c r="AD483" s="22">
        <v>20170413</v>
      </c>
      <c r="AE483" s="22">
        <v>482</v>
      </c>
      <c r="AF483" s="22"/>
      <c r="AG483" s="22" t="str">
        <f>IFERROR(VLOOKUP(TblFeedFile[[#This Row],[Leave Type ]],LkupPayType[],2,FALSE),"TBD")</f>
        <v>Unpaid</v>
      </c>
      <c r="AH483" s="22"/>
      <c r="AI483" s="25" t="s">
        <v>35</v>
      </c>
      <c r="AJ483" s="25"/>
      <c r="AK483" s="26"/>
    </row>
    <row r="484" spans="1:37" x14ac:dyDescent="0.25">
      <c r="A484" s="21" t="s">
        <v>37</v>
      </c>
      <c r="B484" s="22">
        <v>314304</v>
      </c>
      <c r="C484" s="22">
        <v>25586220</v>
      </c>
      <c r="D484" s="23" t="s">
        <v>2443</v>
      </c>
      <c r="E484" s="22" t="s">
        <v>2444</v>
      </c>
      <c r="F484" s="22" t="s">
        <v>2445</v>
      </c>
      <c r="G484" s="22">
        <v>20170314</v>
      </c>
      <c r="H484" s="22">
        <v>20170314</v>
      </c>
      <c r="I484" s="22" t="s">
        <v>33</v>
      </c>
      <c r="J484" s="22"/>
      <c r="K484" s="22"/>
      <c r="L484" s="22" t="s">
        <v>34</v>
      </c>
      <c r="M484" s="22" t="s">
        <v>34</v>
      </c>
      <c r="N484" s="22" t="s">
        <v>35</v>
      </c>
      <c r="O484" s="22" t="s">
        <v>35</v>
      </c>
      <c r="P484" s="22" t="s">
        <v>35</v>
      </c>
      <c r="Q484" s="22" t="s">
        <v>35</v>
      </c>
      <c r="R484" s="22" t="s">
        <v>35</v>
      </c>
      <c r="S484" s="22" t="s">
        <v>34</v>
      </c>
      <c r="T484" s="22">
        <v>20170320</v>
      </c>
      <c r="U484" s="22"/>
      <c r="V484" s="22"/>
      <c r="W484" s="22"/>
      <c r="X484" s="22"/>
      <c r="Y484" s="22"/>
      <c r="Z484" s="22"/>
      <c r="AA484" s="22"/>
      <c r="AB484" s="22"/>
      <c r="AC484" s="22" t="s">
        <v>1905</v>
      </c>
      <c r="AD484" s="22">
        <v>20170413</v>
      </c>
      <c r="AE484" s="22">
        <v>483</v>
      </c>
      <c r="AF484" s="22"/>
      <c r="AG484" s="22" t="str">
        <f>IFERROR(VLOOKUP(TblFeedFile[[#This Row],[Leave Type ]],LkupPayType[],2,FALSE),"TBD")</f>
        <v>Closed</v>
      </c>
      <c r="AH484" s="22"/>
      <c r="AI484" s="25"/>
      <c r="AJ484" s="25"/>
      <c r="AK484" s="26" t="s">
        <v>35</v>
      </c>
    </row>
    <row r="485" spans="1:37" x14ac:dyDescent="0.25">
      <c r="A485" s="21" t="s">
        <v>37</v>
      </c>
      <c r="B485" s="22">
        <v>314304</v>
      </c>
      <c r="C485" s="22">
        <v>25609453</v>
      </c>
      <c r="D485" s="23">
        <v>511704038879</v>
      </c>
      <c r="E485" s="22" t="s">
        <v>2446</v>
      </c>
      <c r="F485" s="22" t="s">
        <v>2447</v>
      </c>
      <c r="G485" s="22">
        <v>20170408</v>
      </c>
      <c r="H485" s="22">
        <v>20170526</v>
      </c>
      <c r="I485" s="22" t="s">
        <v>53</v>
      </c>
      <c r="J485" s="22"/>
      <c r="K485" s="22"/>
      <c r="L485" s="22" t="s">
        <v>34</v>
      </c>
      <c r="M485" s="22" t="s">
        <v>34</v>
      </c>
      <c r="N485" s="22" t="s">
        <v>35</v>
      </c>
      <c r="O485" s="22" t="s">
        <v>35</v>
      </c>
      <c r="P485" s="22" t="s">
        <v>35</v>
      </c>
      <c r="Q485" s="22" t="s">
        <v>35</v>
      </c>
      <c r="R485" s="22" t="s">
        <v>35</v>
      </c>
      <c r="S485" s="22" t="s">
        <v>34</v>
      </c>
      <c r="T485" s="22"/>
      <c r="U485" s="22"/>
      <c r="V485" s="22"/>
      <c r="W485" s="22"/>
      <c r="X485" s="22"/>
      <c r="Y485" s="22"/>
      <c r="Z485" s="22"/>
      <c r="AA485" s="22"/>
      <c r="AB485" s="22"/>
      <c r="AC485" s="22" t="s">
        <v>1900</v>
      </c>
      <c r="AD485" s="22">
        <v>20170413</v>
      </c>
      <c r="AE485" s="22">
        <v>484</v>
      </c>
      <c r="AF485" s="22"/>
      <c r="AG485" s="22" t="str">
        <f>IFERROR(VLOOKUP(TblFeedFile[[#This Row],[Leave Type ]],LkupPayType[],2,FALSE),"TBD")</f>
        <v>Paid</v>
      </c>
      <c r="AH485" s="22"/>
      <c r="AI485" s="25"/>
      <c r="AJ485" s="25"/>
      <c r="AK485" s="26"/>
    </row>
    <row r="486" spans="1:37" x14ac:dyDescent="0.25">
      <c r="A486" s="21" t="s">
        <v>29</v>
      </c>
      <c r="B486" s="22">
        <v>314304</v>
      </c>
      <c r="C486" s="22">
        <v>25625280</v>
      </c>
      <c r="D486" s="23" t="s">
        <v>2448</v>
      </c>
      <c r="E486" s="22" t="s">
        <v>221</v>
      </c>
      <c r="F486" s="22" t="s">
        <v>2449</v>
      </c>
      <c r="G486" s="22">
        <v>20170410</v>
      </c>
      <c r="H486" s="22">
        <v>20170410</v>
      </c>
      <c r="I486" s="22" t="s">
        <v>33</v>
      </c>
      <c r="J486" s="22"/>
      <c r="K486" s="22"/>
      <c r="L486" s="22" t="s">
        <v>34</v>
      </c>
      <c r="M486" s="22" t="s">
        <v>34</v>
      </c>
      <c r="N486" s="22" t="s">
        <v>35</v>
      </c>
      <c r="O486" s="22" t="s">
        <v>35</v>
      </c>
      <c r="P486" s="22" t="s">
        <v>35</v>
      </c>
      <c r="Q486" s="22" t="s">
        <v>35</v>
      </c>
      <c r="R486" s="22" t="s">
        <v>35</v>
      </c>
      <c r="S486" s="22" t="s">
        <v>34</v>
      </c>
      <c r="T486" s="22"/>
      <c r="U486" s="22"/>
      <c r="V486" s="22"/>
      <c r="W486" s="22"/>
      <c r="X486" s="22"/>
      <c r="Y486" s="22"/>
      <c r="Z486" s="22"/>
      <c r="AA486" s="22"/>
      <c r="AB486" s="22"/>
      <c r="AC486" s="22" t="s">
        <v>1949</v>
      </c>
      <c r="AD486" s="22">
        <v>20170413</v>
      </c>
      <c r="AE486" s="22">
        <v>485</v>
      </c>
      <c r="AF486" s="22"/>
      <c r="AG486" s="22" t="str">
        <f>IFERROR(VLOOKUP(TblFeedFile[[#This Row],[Leave Type ]],LkupPayType[],2,FALSE),"TBD")</f>
        <v>Closed</v>
      </c>
      <c r="AH486" s="22"/>
      <c r="AI486" s="25"/>
      <c r="AJ486" s="25"/>
      <c r="AK486" s="26"/>
    </row>
    <row r="487" spans="1:37" x14ac:dyDescent="0.25">
      <c r="A487" s="21" t="s">
        <v>29</v>
      </c>
      <c r="B487" s="22">
        <v>314304</v>
      </c>
      <c r="C487" s="22">
        <v>25625280</v>
      </c>
      <c r="D487" s="23" t="s">
        <v>2448</v>
      </c>
      <c r="E487" s="22" t="s">
        <v>221</v>
      </c>
      <c r="F487" s="22" t="s">
        <v>2449</v>
      </c>
      <c r="G487" s="22">
        <v>20170130</v>
      </c>
      <c r="H487" s="22">
        <v>20170409</v>
      </c>
      <c r="I487" s="22" t="s">
        <v>127</v>
      </c>
      <c r="J487" s="22"/>
      <c r="K487" s="22"/>
      <c r="L487" s="22" t="s">
        <v>34</v>
      </c>
      <c r="M487" s="22" t="s">
        <v>34</v>
      </c>
      <c r="N487" s="22" t="s">
        <v>35</v>
      </c>
      <c r="O487" s="22" t="s">
        <v>35</v>
      </c>
      <c r="P487" s="22" t="s">
        <v>35</v>
      </c>
      <c r="Q487" s="22" t="s">
        <v>35</v>
      </c>
      <c r="R487" s="22" t="s">
        <v>35</v>
      </c>
      <c r="S487" s="22" t="s">
        <v>34</v>
      </c>
      <c r="T487" s="22"/>
      <c r="U487" s="22"/>
      <c r="V487" s="22"/>
      <c r="W487" s="22"/>
      <c r="X487" s="22"/>
      <c r="Y487" s="22"/>
      <c r="Z487" s="22"/>
      <c r="AA487" s="22"/>
      <c r="AB487" s="22"/>
      <c r="AC487" s="22" t="s">
        <v>1895</v>
      </c>
      <c r="AD487" s="22">
        <v>20170413</v>
      </c>
      <c r="AE487" s="22">
        <v>486</v>
      </c>
      <c r="AF487" s="22"/>
      <c r="AG487" s="22" t="str">
        <f>IFERROR(VLOOKUP(TblFeedFile[[#This Row],[Leave Type ]],LkupPayType[],2,FALSE),"TBD")</f>
        <v>Unpaid</v>
      </c>
      <c r="AH487" s="22"/>
      <c r="AI487" s="25"/>
      <c r="AJ487" s="25"/>
      <c r="AK487" s="26"/>
    </row>
    <row r="488" spans="1:37" x14ac:dyDescent="0.25">
      <c r="A488" s="21" t="s">
        <v>37</v>
      </c>
      <c r="B488" s="22">
        <v>314304</v>
      </c>
      <c r="C488" s="22">
        <v>25625280</v>
      </c>
      <c r="D488" s="23" t="s">
        <v>2448</v>
      </c>
      <c r="E488" s="22" t="s">
        <v>221</v>
      </c>
      <c r="F488" s="22" t="s">
        <v>2449</v>
      </c>
      <c r="G488" s="22">
        <v>20170130</v>
      </c>
      <c r="H488" s="22">
        <v>20170416</v>
      </c>
      <c r="I488" s="22" t="s">
        <v>127</v>
      </c>
      <c r="J488" s="22"/>
      <c r="K488" s="22"/>
      <c r="L488" s="22" t="s">
        <v>34</v>
      </c>
      <c r="M488" s="22" t="s">
        <v>34</v>
      </c>
      <c r="N488" s="22" t="s">
        <v>35</v>
      </c>
      <c r="O488" s="22" t="s">
        <v>35</v>
      </c>
      <c r="P488" s="22" t="s">
        <v>35</v>
      </c>
      <c r="Q488" s="22" t="s">
        <v>35</v>
      </c>
      <c r="R488" s="22" t="s">
        <v>35</v>
      </c>
      <c r="S488" s="22" t="s">
        <v>34</v>
      </c>
      <c r="T488" s="22">
        <v>20170417</v>
      </c>
      <c r="U488" s="22"/>
      <c r="V488" s="22"/>
      <c r="W488" s="22"/>
      <c r="X488" s="22"/>
      <c r="Y488" s="22"/>
      <c r="Z488" s="22"/>
      <c r="AA488" s="22"/>
      <c r="AB488" s="22"/>
      <c r="AC488" s="22" t="s">
        <v>1901</v>
      </c>
      <c r="AD488" s="22">
        <v>20170413</v>
      </c>
      <c r="AE488" s="22">
        <v>487</v>
      </c>
      <c r="AF488" s="22"/>
      <c r="AG488" s="22" t="str">
        <f>IFERROR(VLOOKUP(TblFeedFile[[#This Row],[Leave Type ]],LkupPayType[],2,FALSE),"TBD")</f>
        <v>Unpaid</v>
      </c>
      <c r="AH488" s="22"/>
      <c r="AI488" s="25" t="s">
        <v>35</v>
      </c>
      <c r="AJ488" s="25"/>
      <c r="AK488" s="26" t="s">
        <v>35</v>
      </c>
    </row>
    <row r="489" spans="1:37" x14ac:dyDescent="0.25">
      <c r="A489" s="21" t="s">
        <v>29</v>
      </c>
      <c r="B489" s="22">
        <v>314304</v>
      </c>
      <c r="C489" s="22">
        <v>25626186</v>
      </c>
      <c r="D489" s="23" t="s">
        <v>2450</v>
      </c>
      <c r="E489" s="22" t="s">
        <v>2451</v>
      </c>
      <c r="F489" s="22" t="s">
        <v>2452</v>
      </c>
      <c r="G489" s="22">
        <v>20170403</v>
      </c>
      <c r="H489" s="22">
        <v>20170723</v>
      </c>
      <c r="I489" s="22" t="s">
        <v>223</v>
      </c>
      <c r="J489" s="22"/>
      <c r="K489" s="22"/>
      <c r="L489" s="22" t="s">
        <v>34</v>
      </c>
      <c r="M489" s="22" t="s">
        <v>34</v>
      </c>
      <c r="N489" s="22" t="s">
        <v>35</v>
      </c>
      <c r="O489" s="22" t="s">
        <v>35</v>
      </c>
      <c r="P489" s="22" t="s">
        <v>35</v>
      </c>
      <c r="Q489" s="22" t="s">
        <v>35</v>
      </c>
      <c r="R489" s="22" t="s">
        <v>35</v>
      </c>
      <c r="S489" s="22" t="s">
        <v>34</v>
      </c>
      <c r="T489" s="22"/>
      <c r="U489" s="22"/>
      <c r="V489" s="22"/>
      <c r="W489" s="22"/>
      <c r="X489" s="22"/>
      <c r="Y489" s="22"/>
      <c r="Z489" s="22"/>
      <c r="AA489" s="22"/>
      <c r="AB489" s="22"/>
      <c r="AC489" s="22" t="s">
        <v>1918</v>
      </c>
      <c r="AD489" s="22">
        <v>20170413</v>
      </c>
      <c r="AE489" s="22">
        <v>488</v>
      </c>
      <c r="AF489" s="22"/>
      <c r="AG489" s="22" t="str">
        <f>IFERROR(VLOOKUP(TblFeedFile[[#This Row],[Leave Type ]],LkupPayType[],2,FALSE),"TBD")</f>
        <v>Paid</v>
      </c>
      <c r="AH489" s="22"/>
      <c r="AI489" s="25"/>
      <c r="AJ489" s="25"/>
      <c r="AK489" s="26"/>
    </row>
    <row r="490" spans="1:37" x14ac:dyDescent="0.25">
      <c r="A490" s="21" t="s">
        <v>37</v>
      </c>
      <c r="B490" s="22">
        <v>314304</v>
      </c>
      <c r="C490" s="22">
        <v>25626186</v>
      </c>
      <c r="D490" s="23" t="s">
        <v>2450</v>
      </c>
      <c r="E490" s="22" t="s">
        <v>2451</v>
      </c>
      <c r="F490" s="22" t="s">
        <v>2452</v>
      </c>
      <c r="G490" s="22">
        <v>20170403</v>
      </c>
      <c r="H490" s="22">
        <v>20170423</v>
      </c>
      <c r="I490" s="22" t="s">
        <v>223</v>
      </c>
      <c r="J490" s="22"/>
      <c r="K490" s="22"/>
      <c r="L490" s="22" t="s">
        <v>34</v>
      </c>
      <c r="M490" s="22" t="s">
        <v>34</v>
      </c>
      <c r="N490" s="22" t="s">
        <v>35</v>
      </c>
      <c r="O490" s="22" t="s">
        <v>35</v>
      </c>
      <c r="P490" s="22" t="s">
        <v>35</v>
      </c>
      <c r="Q490" s="22" t="s">
        <v>35</v>
      </c>
      <c r="R490" s="22" t="s">
        <v>35</v>
      </c>
      <c r="S490" s="22" t="s">
        <v>34</v>
      </c>
      <c r="T490" s="22"/>
      <c r="U490" s="22"/>
      <c r="V490" s="22"/>
      <c r="W490" s="22"/>
      <c r="X490" s="22"/>
      <c r="Y490" s="22"/>
      <c r="Z490" s="22"/>
      <c r="AA490" s="22"/>
      <c r="AB490" s="22"/>
      <c r="AC490" s="22" t="s">
        <v>1918</v>
      </c>
      <c r="AD490" s="22">
        <v>20170413</v>
      </c>
      <c r="AE490" s="22">
        <v>489</v>
      </c>
      <c r="AF490" s="22"/>
      <c r="AG490" s="22" t="str">
        <f>IFERROR(VLOOKUP(TblFeedFile[[#This Row],[Leave Type ]],LkupPayType[],2,FALSE),"TBD")</f>
        <v>Paid</v>
      </c>
      <c r="AH490" s="22"/>
      <c r="AI490" s="25"/>
      <c r="AJ490" s="25"/>
      <c r="AK490" s="26"/>
    </row>
    <row r="491" spans="1:37" x14ac:dyDescent="0.25">
      <c r="A491" s="21" t="s">
        <v>37</v>
      </c>
      <c r="B491" s="22">
        <v>314304</v>
      </c>
      <c r="C491" s="22">
        <v>25639098</v>
      </c>
      <c r="D491" s="23" t="s">
        <v>2453</v>
      </c>
      <c r="E491" s="22" t="s">
        <v>1145</v>
      </c>
      <c r="F491" s="22" t="s">
        <v>2454</v>
      </c>
      <c r="G491" s="22">
        <v>20170118</v>
      </c>
      <c r="H491" s="22">
        <v>20170414</v>
      </c>
      <c r="I491" s="22" t="s">
        <v>36</v>
      </c>
      <c r="J491" s="22"/>
      <c r="K491" s="22"/>
      <c r="L491" s="22" t="s">
        <v>34</v>
      </c>
      <c r="M491" s="22" t="s">
        <v>34</v>
      </c>
      <c r="N491" s="22" t="s">
        <v>35</v>
      </c>
      <c r="O491" s="22" t="s">
        <v>35</v>
      </c>
      <c r="P491" s="22" t="s">
        <v>35</v>
      </c>
      <c r="Q491" s="22" t="s">
        <v>35</v>
      </c>
      <c r="R491" s="22" t="s">
        <v>35</v>
      </c>
      <c r="S491" s="22" t="s">
        <v>34</v>
      </c>
      <c r="T491" s="22">
        <v>20170417</v>
      </c>
      <c r="U491" s="22"/>
      <c r="V491" s="22"/>
      <c r="W491" s="22"/>
      <c r="X491" s="22"/>
      <c r="Y491" s="22"/>
      <c r="Z491" s="22"/>
      <c r="AA491" s="22"/>
      <c r="AB491" s="22"/>
      <c r="AC491" s="22" t="s">
        <v>1971</v>
      </c>
      <c r="AD491" s="22">
        <v>20170413</v>
      </c>
      <c r="AE491" s="22">
        <v>490</v>
      </c>
      <c r="AF491" s="22"/>
      <c r="AG491" s="22" t="str">
        <f>IFERROR(VLOOKUP(TblFeedFile[[#This Row],[Leave Type ]],LkupPayType[],2,FALSE),"TBD")</f>
        <v>Unpaid</v>
      </c>
      <c r="AH491" s="22"/>
      <c r="AI491" s="25"/>
      <c r="AJ491" s="25"/>
      <c r="AK491" s="26" t="s">
        <v>35</v>
      </c>
    </row>
    <row r="492" spans="1:37" x14ac:dyDescent="0.25">
      <c r="A492" s="21" t="s">
        <v>37</v>
      </c>
      <c r="B492" s="22">
        <v>314304</v>
      </c>
      <c r="C492" s="22">
        <v>25657326</v>
      </c>
      <c r="D492" s="23" t="s">
        <v>2017</v>
      </c>
      <c r="E492" s="22" t="s">
        <v>606</v>
      </c>
      <c r="F492" s="22" t="s">
        <v>1036</v>
      </c>
      <c r="G492" s="22">
        <v>20170316</v>
      </c>
      <c r="H492" s="22">
        <v>20170416</v>
      </c>
      <c r="I492" s="22" t="s">
        <v>36</v>
      </c>
      <c r="J492" s="22"/>
      <c r="K492" s="22"/>
      <c r="L492" s="22" t="s">
        <v>34</v>
      </c>
      <c r="M492" s="22" t="s">
        <v>34</v>
      </c>
      <c r="N492" s="22" t="s">
        <v>35</v>
      </c>
      <c r="O492" s="22" t="s">
        <v>35</v>
      </c>
      <c r="P492" s="22" t="s">
        <v>35</v>
      </c>
      <c r="Q492" s="22" t="s">
        <v>35</v>
      </c>
      <c r="R492" s="22" t="s">
        <v>35</v>
      </c>
      <c r="S492" s="22" t="s">
        <v>34</v>
      </c>
      <c r="T492" s="22">
        <v>20170417</v>
      </c>
      <c r="U492" s="22"/>
      <c r="V492" s="22"/>
      <c r="W492" s="22"/>
      <c r="X492" s="22"/>
      <c r="Y492" s="22"/>
      <c r="Z492" s="22"/>
      <c r="AA492" s="22"/>
      <c r="AB492" s="22"/>
      <c r="AC492" s="22" t="s">
        <v>1912</v>
      </c>
      <c r="AD492" s="22">
        <v>20170413</v>
      </c>
      <c r="AE492" s="22">
        <v>491</v>
      </c>
      <c r="AF492" s="22"/>
      <c r="AG492" s="22" t="str">
        <f>IFERROR(VLOOKUP(TblFeedFile[[#This Row],[Leave Type ]],LkupPayType[],2,FALSE),"TBD")</f>
        <v>Unpaid</v>
      </c>
      <c r="AH492" s="22"/>
      <c r="AI492" s="25"/>
      <c r="AJ492" s="25"/>
      <c r="AK492" s="26" t="s">
        <v>35</v>
      </c>
    </row>
    <row r="493" spans="1:37" x14ac:dyDescent="0.25">
      <c r="A493" s="21" t="s">
        <v>37</v>
      </c>
      <c r="B493" s="22">
        <v>314304</v>
      </c>
      <c r="C493" s="22">
        <v>25661520</v>
      </c>
      <c r="D493" s="23" t="s">
        <v>2455</v>
      </c>
      <c r="E493" s="22" t="s">
        <v>2019</v>
      </c>
      <c r="F493" s="22" t="s">
        <v>2020</v>
      </c>
      <c r="G493" s="22">
        <v>20170330</v>
      </c>
      <c r="H493" s="22">
        <v>20170707</v>
      </c>
      <c r="I493" s="22" t="s">
        <v>36</v>
      </c>
      <c r="J493" s="22"/>
      <c r="K493" s="22"/>
      <c r="L493" s="22" t="s">
        <v>34</v>
      </c>
      <c r="M493" s="22" t="s">
        <v>34</v>
      </c>
      <c r="N493" s="22" t="s">
        <v>35</v>
      </c>
      <c r="O493" s="22" t="s">
        <v>35</v>
      </c>
      <c r="P493" s="22" t="s">
        <v>35</v>
      </c>
      <c r="Q493" s="22" t="s">
        <v>35</v>
      </c>
      <c r="R493" s="22" t="s">
        <v>35</v>
      </c>
      <c r="S493" s="22" t="s">
        <v>34</v>
      </c>
      <c r="T493" s="22"/>
      <c r="U493" s="22"/>
      <c r="V493" s="22"/>
      <c r="W493" s="22"/>
      <c r="X493" s="22"/>
      <c r="Y493" s="22"/>
      <c r="Z493" s="22"/>
      <c r="AA493" s="22"/>
      <c r="AB493" s="22"/>
      <c r="AC493" s="22" t="s">
        <v>1918</v>
      </c>
      <c r="AD493" s="22">
        <v>20170413</v>
      </c>
      <c r="AE493" s="22">
        <v>492</v>
      </c>
      <c r="AF493" s="22"/>
      <c r="AG493" s="22" t="str">
        <f>IFERROR(VLOOKUP(TblFeedFile[[#This Row],[Leave Type ]],LkupPayType[],2,FALSE),"TBD")</f>
        <v>Unpaid</v>
      </c>
      <c r="AH493" s="22"/>
      <c r="AI493" s="25"/>
      <c r="AJ493" s="25"/>
      <c r="AK493" s="26"/>
    </row>
    <row r="494" spans="1:37" x14ac:dyDescent="0.25">
      <c r="A494" s="21" t="s">
        <v>37</v>
      </c>
      <c r="B494" s="22">
        <v>314304</v>
      </c>
      <c r="C494" s="22">
        <v>25661520</v>
      </c>
      <c r="D494" s="23" t="s">
        <v>2018</v>
      </c>
      <c r="E494" s="22" t="s">
        <v>2019</v>
      </c>
      <c r="F494" s="22" t="s">
        <v>2020</v>
      </c>
      <c r="G494" s="22">
        <v>20170413</v>
      </c>
      <c r="H494" s="22">
        <v>20170413</v>
      </c>
      <c r="I494" s="22" t="s">
        <v>33</v>
      </c>
      <c r="J494" s="22"/>
      <c r="K494" s="22"/>
      <c r="L494" s="22" t="s">
        <v>34</v>
      </c>
      <c r="M494" s="22" t="s">
        <v>34</v>
      </c>
      <c r="N494" s="22" t="s">
        <v>35</v>
      </c>
      <c r="O494" s="22" t="s">
        <v>35</v>
      </c>
      <c r="P494" s="22" t="s">
        <v>35</v>
      </c>
      <c r="Q494" s="22" t="s">
        <v>35</v>
      </c>
      <c r="R494" s="22" t="s">
        <v>35</v>
      </c>
      <c r="S494" s="22" t="s">
        <v>34</v>
      </c>
      <c r="T494" s="22"/>
      <c r="U494" s="22"/>
      <c r="V494" s="22"/>
      <c r="W494" s="22"/>
      <c r="X494" s="22"/>
      <c r="Y494" s="22"/>
      <c r="Z494" s="22"/>
      <c r="AA494" s="22"/>
      <c r="AB494" s="22"/>
      <c r="AC494" s="22" t="s">
        <v>1917</v>
      </c>
      <c r="AD494" s="22">
        <v>20170413</v>
      </c>
      <c r="AE494" s="22">
        <v>493</v>
      </c>
      <c r="AF494" s="22"/>
      <c r="AG494" s="22" t="str">
        <f>IFERROR(VLOOKUP(TblFeedFile[[#This Row],[Leave Type ]],LkupPayType[],2,FALSE),"TBD")</f>
        <v>Closed</v>
      </c>
      <c r="AH494" s="22"/>
      <c r="AI494" s="25"/>
      <c r="AJ494" s="25"/>
      <c r="AK494" s="26"/>
    </row>
    <row r="495" spans="1:37" x14ac:dyDescent="0.25">
      <c r="A495" s="21" t="s">
        <v>37</v>
      </c>
      <c r="B495" s="22">
        <v>314301</v>
      </c>
      <c r="C495" s="22">
        <v>25668763</v>
      </c>
      <c r="D495" s="23">
        <v>531704138743</v>
      </c>
      <c r="E495" s="22" t="s">
        <v>901</v>
      </c>
      <c r="F495" s="22" t="s">
        <v>2456</v>
      </c>
      <c r="G495" s="22">
        <v>20170412</v>
      </c>
      <c r="H495" s="22">
        <v>20170512</v>
      </c>
      <c r="I495" s="22" t="s">
        <v>53</v>
      </c>
      <c r="J495" s="22"/>
      <c r="K495" s="22"/>
      <c r="L495" s="22" t="s">
        <v>34</v>
      </c>
      <c r="M495" s="22" t="s">
        <v>34</v>
      </c>
      <c r="N495" s="22" t="s">
        <v>35</v>
      </c>
      <c r="O495" s="22" t="s">
        <v>35</v>
      </c>
      <c r="P495" s="22" t="s">
        <v>35</v>
      </c>
      <c r="Q495" s="22" t="s">
        <v>35</v>
      </c>
      <c r="R495" s="22" t="s">
        <v>35</v>
      </c>
      <c r="S495" s="22" t="s">
        <v>34</v>
      </c>
      <c r="T495" s="22"/>
      <c r="U495" s="22"/>
      <c r="V495" s="22"/>
      <c r="W495" s="22"/>
      <c r="X495" s="22"/>
      <c r="Y495" s="22"/>
      <c r="Z495" s="22"/>
      <c r="AA495" s="22"/>
      <c r="AB495" s="22"/>
      <c r="AC495" s="22" t="s">
        <v>1902</v>
      </c>
      <c r="AD495" s="22">
        <v>20170413</v>
      </c>
      <c r="AE495" s="22">
        <v>494</v>
      </c>
      <c r="AF495" s="22"/>
      <c r="AG495" s="22" t="str">
        <f>IFERROR(VLOOKUP(TblFeedFile[[#This Row],[Leave Type ]],LkupPayType[],2,FALSE),"TBD")</f>
        <v>Paid</v>
      </c>
      <c r="AH495" s="22"/>
      <c r="AI495" s="25"/>
      <c r="AJ495" s="25"/>
      <c r="AK495" s="26"/>
    </row>
    <row r="496" spans="1:37" x14ac:dyDescent="0.25">
      <c r="A496" s="21" t="s">
        <v>37</v>
      </c>
      <c r="B496" s="22">
        <v>314304</v>
      </c>
      <c r="C496" s="22">
        <v>25706980</v>
      </c>
      <c r="D496" s="23">
        <v>511702098401</v>
      </c>
      <c r="E496" s="22" t="s">
        <v>2457</v>
      </c>
      <c r="F496" s="22" t="s">
        <v>1991</v>
      </c>
      <c r="G496" s="22">
        <v>20170413</v>
      </c>
      <c r="H496" s="22">
        <v>20170704</v>
      </c>
      <c r="I496" s="22" t="s">
        <v>1893</v>
      </c>
      <c r="J496" s="22"/>
      <c r="K496" s="22"/>
      <c r="L496" s="22" t="s">
        <v>34</v>
      </c>
      <c r="M496" s="22" t="s">
        <v>34</v>
      </c>
      <c r="N496" s="22" t="s">
        <v>35</v>
      </c>
      <c r="O496" s="22" t="s">
        <v>35</v>
      </c>
      <c r="P496" s="22" t="s">
        <v>35</v>
      </c>
      <c r="Q496" s="22" t="s">
        <v>35</v>
      </c>
      <c r="R496" s="22" t="s">
        <v>35</v>
      </c>
      <c r="S496" s="22" t="s">
        <v>34</v>
      </c>
      <c r="T496" s="22"/>
      <c r="U496" s="22"/>
      <c r="V496" s="22"/>
      <c r="W496" s="22"/>
      <c r="X496" s="22"/>
      <c r="Y496" s="22"/>
      <c r="Z496" s="22"/>
      <c r="AA496" s="22"/>
      <c r="AB496" s="22"/>
      <c r="AC496" s="22" t="s">
        <v>1902</v>
      </c>
      <c r="AD496" s="22">
        <v>20170413</v>
      </c>
      <c r="AE496" s="22">
        <v>495</v>
      </c>
      <c r="AF496" s="22"/>
      <c r="AG496" s="22" t="str">
        <f>IFERROR(VLOOKUP(TblFeedFile[[#This Row],[Leave Type ]],LkupPayType[],2,FALSE),"TBD")</f>
        <v>Paid</v>
      </c>
      <c r="AH496" s="22"/>
      <c r="AI496" s="25"/>
      <c r="AJ496" s="25"/>
      <c r="AK496" s="26"/>
    </row>
    <row r="497" spans="1:37" x14ac:dyDescent="0.25">
      <c r="A497" s="21" t="s">
        <v>29</v>
      </c>
      <c r="B497" s="22">
        <v>314304</v>
      </c>
      <c r="C497" s="22">
        <v>25708398</v>
      </c>
      <c r="D497" s="23">
        <v>561703298056</v>
      </c>
      <c r="E497" s="22" t="s">
        <v>1246</v>
      </c>
      <c r="F497" s="22" t="s">
        <v>822</v>
      </c>
      <c r="G497" s="22">
        <v>20170325</v>
      </c>
      <c r="H497" s="22">
        <v>20170502</v>
      </c>
      <c r="I497" s="22" t="s">
        <v>459</v>
      </c>
      <c r="J497" s="22"/>
      <c r="K497" s="22"/>
      <c r="L497" s="22" t="s">
        <v>34</v>
      </c>
      <c r="M497" s="22" t="s">
        <v>34</v>
      </c>
      <c r="N497" s="22" t="s">
        <v>35</v>
      </c>
      <c r="O497" s="22" t="s">
        <v>35</v>
      </c>
      <c r="P497" s="22" t="s">
        <v>35</v>
      </c>
      <c r="Q497" s="22" t="s">
        <v>35</v>
      </c>
      <c r="R497" s="22" t="s">
        <v>35</v>
      </c>
      <c r="S497" s="22" t="s">
        <v>34</v>
      </c>
      <c r="T497" s="22"/>
      <c r="U497" s="22"/>
      <c r="V497" s="22"/>
      <c r="W497" s="22"/>
      <c r="X497" s="22"/>
      <c r="Y497" s="22"/>
      <c r="Z497" s="22"/>
      <c r="AA497" s="22"/>
      <c r="AB497" s="22"/>
      <c r="AC497" s="22" t="s">
        <v>1921</v>
      </c>
      <c r="AD497" s="22">
        <v>20170413</v>
      </c>
      <c r="AE497" s="22">
        <v>496</v>
      </c>
      <c r="AF497" s="22"/>
      <c r="AG497" s="22" t="str">
        <f>IFERROR(VLOOKUP(TblFeedFile[[#This Row],[Leave Type ]],LkupPayType[],2,FALSE),"TBD")</f>
        <v>Paid</v>
      </c>
      <c r="AH497" s="22"/>
      <c r="AI497" s="25"/>
      <c r="AJ497" s="25"/>
      <c r="AK497" s="26"/>
    </row>
    <row r="498" spans="1:37" x14ac:dyDescent="0.25">
      <c r="A498" s="21" t="s">
        <v>37</v>
      </c>
      <c r="B498" s="22">
        <v>314304</v>
      </c>
      <c r="C498" s="22">
        <v>25708398</v>
      </c>
      <c r="D498" s="23">
        <v>561703298056</v>
      </c>
      <c r="E498" s="22" t="s">
        <v>1246</v>
      </c>
      <c r="F498" s="22" t="s">
        <v>822</v>
      </c>
      <c r="G498" s="22">
        <v>20170325</v>
      </c>
      <c r="H498" s="22">
        <v>20170711</v>
      </c>
      <c r="I498" s="22" t="s">
        <v>459</v>
      </c>
      <c r="J498" s="22"/>
      <c r="K498" s="22"/>
      <c r="L498" s="22" t="s">
        <v>34</v>
      </c>
      <c r="M498" s="22" t="s">
        <v>34</v>
      </c>
      <c r="N498" s="22" t="s">
        <v>35</v>
      </c>
      <c r="O498" s="22" t="s">
        <v>35</v>
      </c>
      <c r="P498" s="22" t="s">
        <v>35</v>
      </c>
      <c r="Q498" s="22" t="s">
        <v>35</v>
      </c>
      <c r="R498" s="22" t="s">
        <v>35</v>
      </c>
      <c r="S498" s="22" t="s">
        <v>34</v>
      </c>
      <c r="T498" s="22"/>
      <c r="U498" s="22"/>
      <c r="V498" s="22"/>
      <c r="W498" s="22"/>
      <c r="X498" s="22"/>
      <c r="Y498" s="22"/>
      <c r="Z498" s="22"/>
      <c r="AA498" s="22"/>
      <c r="AB498" s="22"/>
      <c r="AC498" s="22" t="s">
        <v>1921</v>
      </c>
      <c r="AD498" s="22">
        <v>20170413</v>
      </c>
      <c r="AE498" s="22">
        <v>497</v>
      </c>
      <c r="AF498" s="22"/>
      <c r="AG498" s="22" t="str">
        <f>IFERROR(VLOOKUP(TblFeedFile[[#This Row],[Leave Type ]],LkupPayType[],2,FALSE),"TBD")</f>
        <v>Paid</v>
      </c>
      <c r="AH498" s="22"/>
      <c r="AI498" s="25"/>
      <c r="AJ498" s="25"/>
      <c r="AK498" s="26"/>
    </row>
    <row r="499" spans="1:37" x14ac:dyDescent="0.25">
      <c r="A499" s="21" t="s">
        <v>37</v>
      </c>
      <c r="B499" s="22">
        <v>314304</v>
      </c>
      <c r="C499" s="22">
        <v>25748368</v>
      </c>
      <c r="D499" s="23" t="s">
        <v>2458</v>
      </c>
      <c r="E499" s="22" t="s">
        <v>2459</v>
      </c>
      <c r="F499" s="22" t="s">
        <v>2460</v>
      </c>
      <c r="G499" s="22">
        <v>20170413</v>
      </c>
      <c r="H499" s="22">
        <v>20170512</v>
      </c>
      <c r="I499" s="22" t="s">
        <v>36</v>
      </c>
      <c r="J499" s="22"/>
      <c r="K499" s="22"/>
      <c r="L499" s="22" t="s">
        <v>34</v>
      </c>
      <c r="M499" s="22" t="s">
        <v>34</v>
      </c>
      <c r="N499" s="22" t="s">
        <v>35</v>
      </c>
      <c r="O499" s="22" t="s">
        <v>35</v>
      </c>
      <c r="P499" s="22" t="s">
        <v>35</v>
      </c>
      <c r="Q499" s="22" t="s">
        <v>35</v>
      </c>
      <c r="R499" s="22" t="s">
        <v>35</v>
      </c>
      <c r="S499" s="22" t="s">
        <v>34</v>
      </c>
      <c r="T499" s="22"/>
      <c r="U499" s="22"/>
      <c r="V499" s="22"/>
      <c r="W499" s="22"/>
      <c r="X499" s="22"/>
      <c r="Y499" s="22"/>
      <c r="Z499" s="22"/>
      <c r="AA499" s="22"/>
      <c r="AB499" s="22"/>
      <c r="AC499" s="22" t="s">
        <v>1907</v>
      </c>
      <c r="AD499" s="22">
        <v>20170413</v>
      </c>
      <c r="AE499" s="22">
        <v>498</v>
      </c>
      <c r="AF499" s="22"/>
      <c r="AG499" s="22" t="str">
        <f>IFERROR(VLOOKUP(TblFeedFile[[#This Row],[Leave Type ]],LkupPayType[],2,FALSE),"TBD")</f>
        <v>Unpaid</v>
      </c>
      <c r="AH499" s="22"/>
      <c r="AI499" s="25"/>
      <c r="AJ499" s="25"/>
      <c r="AK499" s="26"/>
    </row>
    <row r="500" spans="1:37" x14ac:dyDescent="0.25">
      <c r="A500" s="21" t="s">
        <v>37</v>
      </c>
      <c r="B500" s="22">
        <v>314304</v>
      </c>
      <c r="C500" s="22">
        <v>25763190</v>
      </c>
      <c r="D500" s="23">
        <v>511702238869</v>
      </c>
      <c r="E500" s="22" t="s">
        <v>2461</v>
      </c>
      <c r="F500" s="22" t="s">
        <v>1807</v>
      </c>
      <c r="G500" s="22">
        <v>20170329</v>
      </c>
      <c r="H500" s="22">
        <v>20170414</v>
      </c>
      <c r="I500" s="22" t="s">
        <v>40</v>
      </c>
      <c r="J500" s="22"/>
      <c r="K500" s="22"/>
      <c r="L500" s="22" t="s">
        <v>34</v>
      </c>
      <c r="M500" s="22" t="s">
        <v>34</v>
      </c>
      <c r="N500" s="22" t="s">
        <v>35</v>
      </c>
      <c r="O500" s="22" t="s">
        <v>35</v>
      </c>
      <c r="P500" s="22" t="s">
        <v>35</v>
      </c>
      <c r="Q500" s="22" t="s">
        <v>35</v>
      </c>
      <c r="R500" s="22" t="s">
        <v>35</v>
      </c>
      <c r="S500" s="22" t="s">
        <v>34</v>
      </c>
      <c r="T500" s="22">
        <v>20170417</v>
      </c>
      <c r="U500" s="22"/>
      <c r="V500" s="22"/>
      <c r="W500" s="22"/>
      <c r="X500" s="22"/>
      <c r="Y500" s="22"/>
      <c r="Z500" s="22"/>
      <c r="AA500" s="22"/>
      <c r="AB500" s="22"/>
      <c r="AC500" s="22" t="s">
        <v>1945</v>
      </c>
      <c r="AD500" s="22">
        <v>20170413</v>
      </c>
      <c r="AE500" s="22">
        <v>499</v>
      </c>
      <c r="AF500" s="22"/>
      <c r="AG500" s="22" t="str">
        <f>IFERROR(VLOOKUP(TblFeedFile[[#This Row],[Leave Type ]],LkupPayType[],2,FALSE),"TBD")</f>
        <v>Paid</v>
      </c>
      <c r="AH500" s="22"/>
      <c r="AI500" s="25"/>
      <c r="AJ500" s="25"/>
      <c r="AK500" s="26" t="s">
        <v>35</v>
      </c>
    </row>
    <row r="501" spans="1:37" x14ac:dyDescent="0.25">
      <c r="A501" s="21" t="s">
        <v>37</v>
      </c>
      <c r="B501" s="22">
        <v>314304</v>
      </c>
      <c r="C501" s="22">
        <v>25780644</v>
      </c>
      <c r="D501" s="23" t="s">
        <v>2021</v>
      </c>
      <c r="E501" s="22" t="s">
        <v>2022</v>
      </c>
      <c r="F501" s="22" t="s">
        <v>2023</v>
      </c>
      <c r="G501" s="22">
        <v>20170323</v>
      </c>
      <c r="H501" s="22">
        <v>20170416</v>
      </c>
      <c r="I501" s="22" t="s">
        <v>36</v>
      </c>
      <c r="J501" s="22"/>
      <c r="K501" s="22"/>
      <c r="L501" s="22" t="s">
        <v>34</v>
      </c>
      <c r="M501" s="22" t="s">
        <v>34</v>
      </c>
      <c r="N501" s="22" t="s">
        <v>35</v>
      </c>
      <c r="O501" s="22" t="s">
        <v>35</v>
      </c>
      <c r="P501" s="22" t="s">
        <v>35</v>
      </c>
      <c r="Q501" s="22" t="s">
        <v>35</v>
      </c>
      <c r="R501" s="22" t="s">
        <v>35</v>
      </c>
      <c r="S501" s="22" t="s">
        <v>34</v>
      </c>
      <c r="T501" s="22">
        <v>20170417</v>
      </c>
      <c r="U501" s="22"/>
      <c r="V501" s="22"/>
      <c r="W501" s="22"/>
      <c r="X501" s="22"/>
      <c r="Y501" s="22"/>
      <c r="Z501" s="22"/>
      <c r="AA501" s="22"/>
      <c r="AB501" s="22"/>
      <c r="AC501" s="22" t="s">
        <v>1897</v>
      </c>
      <c r="AD501" s="22">
        <v>20170413</v>
      </c>
      <c r="AE501" s="22">
        <v>500</v>
      </c>
      <c r="AF501" s="22"/>
      <c r="AG501" s="22" t="str">
        <f>IFERROR(VLOOKUP(TblFeedFile[[#This Row],[Leave Type ]],LkupPayType[],2,FALSE),"TBD")</f>
        <v>Unpaid</v>
      </c>
      <c r="AH501" s="22"/>
      <c r="AI501" s="25"/>
      <c r="AJ501" s="25"/>
      <c r="AK501" s="26" t="s">
        <v>35</v>
      </c>
    </row>
    <row r="502" spans="1:37" x14ac:dyDescent="0.25">
      <c r="A502" s="21" t="s">
        <v>29</v>
      </c>
      <c r="B502" s="22">
        <v>314304</v>
      </c>
      <c r="C502" s="22">
        <v>25793919</v>
      </c>
      <c r="D502" s="23" t="s">
        <v>1192</v>
      </c>
      <c r="E502" s="22" t="s">
        <v>1193</v>
      </c>
      <c r="F502" s="22" t="s">
        <v>1194</v>
      </c>
      <c r="G502" s="22">
        <v>20170401</v>
      </c>
      <c r="H502" s="22">
        <v>20170401</v>
      </c>
      <c r="I502" s="22" t="s">
        <v>33</v>
      </c>
      <c r="J502" s="22"/>
      <c r="K502" s="22"/>
      <c r="L502" s="22" t="s">
        <v>34</v>
      </c>
      <c r="M502" s="22" t="s">
        <v>34</v>
      </c>
      <c r="N502" s="22" t="s">
        <v>35</v>
      </c>
      <c r="O502" s="22" t="s">
        <v>35</v>
      </c>
      <c r="P502" s="22" t="s">
        <v>35</v>
      </c>
      <c r="Q502" s="22" t="s">
        <v>35</v>
      </c>
      <c r="R502" s="22" t="s">
        <v>35</v>
      </c>
      <c r="S502" s="22" t="s">
        <v>34</v>
      </c>
      <c r="T502" s="22"/>
      <c r="U502" s="22"/>
      <c r="V502" s="22"/>
      <c r="W502" s="22"/>
      <c r="X502" s="22"/>
      <c r="Y502" s="22"/>
      <c r="Z502" s="22"/>
      <c r="AA502" s="22"/>
      <c r="AB502" s="22"/>
      <c r="AC502" s="22" t="s">
        <v>2062</v>
      </c>
      <c r="AD502" s="22">
        <v>20170413</v>
      </c>
      <c r="AE502" s="22">
        <v>501</v>
      </c>
      <c r="AF502" s="22"/>
      <c r="AG502" s="22" t="str">
        <f>IFERROR(VLOOKUP(TblFeedFile[[#This Row],[Leave Type ]],LkupPayType[],2,FALSE),"TBD")</f>
        <v>Closed</v>
      </c>
      <c r="AH502" s="22"/>
      <c r="AI502" s="25"/>
      <c r="AJ502" s="25"/>
      <c r="AK502" s="26"/>
    </row>
    <row r="503" spans="1:37" x14ac:dyDescent="0.25">
      <c r="A503" s="21" t="s">
        <v>29</v>
      </c>
      <c r="B503" s="22">
        <v>314304</v>
      </c>
      <c r="C503" s="22">
        <v>25793919</v>
      </c>
      <c r="D503" s="23" t="s">
        <v>1192</v>
      </c>
      <c r="E503" s="22" t="s">
        <v>1193</v>
      </c>
      <c r="F503" s="22" t="s">
        <v>1194</v>
      </c>
      <c r="G503" s="22">
        <v>20161129</v>
      </c>
      <c r="H503" s="22">
        <v>20170331</v>
      </c>
      <c r="I503" s="22" t="s">
        <v>537</v>
      </c>
      <c r="J503" s="22"/>
      <c r="K503" s="22"/>
      <c r="L503" s="22" t="s">
        <v>34</v>
      </c>
      <c r="M503" s="22" t="s">
        <v>34</v>
      </c>
      <c r="N503" s="22" t="s">
        <v>35</v>
      </c>
      <c r="O503" s="22" t="s">
        <v>35</v>
      </c>
      <c r="P503" s="22" t="s">
        <v>35</v>
      </c>
      <c r="Q503" s="22" t="s">
        <v>35</v>
      </c>
      <c r="R503" s="22" t="s">
        <v>35</v>
      </c>
      <c r="S503" s="22" t="s">
        <v>34</v>
      </c>
      <c r="T503" s="22"/>
      <c r="U503" s="22"/>
      <c r="V503" s="22"/>
      <c r="W503" s="22"/>
      <c r="X503" s="22"/>
      <c r="Y503" s="22"/>
      <c r="Z503" s="22"/>
      <c r="AA503" s="22"/>
      <c r="AB503" s="22"/>
      <c r="AC503" s="22" t="s">
        <v>2462</v>
      </c>
      <c r="AD503" s="22">
        <v>20170413</v>
      </c>
      <c r="AE503" s="22">
        <v>502</v>
      </c>
      <c r="AF503" s="22"/>
      <c r="AG503" s="22" t="str">
        <f>IFERROR(VLOOKUP(TblFeedFile[[#This Row],[Leave Type ]],LkupPayType[],2,FALSE),"TBD")</f>
        <v>Paid</v>
      </c>
      <c r="AH503" s="22"/>
      <c r="AI503" s="25"/>
      <c r="AJ503" s="25"/>
      <c r="AK503" s="26"/>
    </row>
    <row r="504" spans="1:37" x14ac:dyDescent="0.25">
      <c r="A504" s="21" t="s">
        <v>37</v>
      </c>
      <c r="B504" s="22">
        <v>314304</v>
      </c>
      <c r="C504" s="22">
        <v>25793919</v>
      </c>
      <c r="D504" s="23" t="s">
        <v>1192</v>
      </c>
      <c r="E504" s="22" t="s">
        <v>1193</v>
      </c>
      <c r="F504" s="22" t="s">
        <v>1194</v>
      </c>
      <c r="G504" s="22">
        <v>20161129</v>
      </c>
      <c r="H504" s="22">
        <v>20170327</v>
      </c>
      <c r="I504" s="22" t="s">
        <v>537</v>
      </c>
      <c r="J504" s="22"/>
      <c r="K504" s="22"/>
      <c r="L504" s="22" t="s">
        <v>34</v>
      </c>
      <c r="M504" s="22" t="s">
        <v>34</v>
      </c>
      <c r="N504" s="22" t="s">
        <v>35</v>
      </c>
      <c r="O504" s="22" t="s">
        <v>35</v>
      </c>
      <c r="P504" s="22" t="s">
        <v>35</v>
      </c>
      <c r="Q504" s="22" t="s">
        <v>35</v>
      </c>
      <c r="R504" s="22" t="s">
        <v>35</v>
      </c>
      <c r="S504" s="22" t="s">
        <v>34</v>
      </c>
      <c r="T504" s="22"/>
      <c r="U504" s="22"/>
      <c r="V504" s="22"/>
      <c r="W504" s="22"/>
      <c r="X504" s="22"/>
      <c r="Y504" s="22"/>
      <c r="Z504" s="22"/>
      <c r="AA504" s="22"/>
      <c r="AB504" s="22"/>
      <c r="AC504" s="22" t="s">
        <v>2462</v>
      </c>
      <c r="AD504" s="22">
        <v>20170413</v>
      </c>
      <c r="AE504" s="22">
        <v>503</v>
      </c>
      <c r="AF504" s="22"/>
      <c r="AG504" s="22" t="str">
        <f>IFERROR(VLOOKUP(TblFeedFile[[#This Row],[Leave Type ]],LkupPayType[],2,FALSE),"TBD")</f>
        <v>Paid</v>
      </c>
      <c r="AH504" s="22"/>
      <c r="AI504" s="25" t="s">
        <v>35</v>
      </c>
      <c r="AJ504" s="25"/>
      <c r="AK504" s="26"/>
    </row>
    <row r="505" spans="1:37" x14ac:dyDescent="0.25">
      <c r="A505" s="21" t="s">
        <v>37</v>
      </c>
      <c r="B505" s="22">
        <v>314304</v>
      </c>
      <c r="C505" s="22">
        <v>25793919</v>
      </c>
      <c r="D505" s="23" t="s">
        <v>1192</v>
      </c>
      <c r="E505" s="22" t="s">
        <v>1193</v>
      </c>
      <c r="F505" s="22" t="s">
        <v>1194</v>
      </c>
      <c r="G505" s="22">
        <v>20170328</v>
      </c>
      <c r="H505" s="22">
        <v>20170328</v>
      </c>
      <c r="I505" s="22" t="s">
        <v>33</v>
      </c>
      <c r="J505" s="22"/>
      <c r="K505" s="22"/>
      <c r="L505" s="22" t="s">
        <v>34</v>
      </c>
      <c r="M505" s="22" t="s">
        <v>34</v>
      </c>
      <c r="N505" s="22" t="s">
        <v>35</v>
      </c>
      <c r="O505" s="22" t="s">
        <v>35</v>
      </c>
      <c r="P505" s="22" t="s">
        <v>35</v>
      </c>
      <c r="Q505" s="22" t="s">
        <v>35</v>
      </c>
      <c r="R505" s="22" t="s">
        <v>35</v>
      </c>
      <c r="S505" s="22" t="s">
        <v>34</v>
      </c>
      <c r="T505" s="22"/>
      <c r="U505" s="22"/>
      <c r="V505" s="22"/>
      <c r="W505" s="22"/>
      <c r="X505" s="22"/>
      <c r="Y505" s="22"/>
      <c r="Z505" s="22"/>
      <c r="AA505" s="22"/>
      <c r="AB505" s="22"/>
      <c r="AC505" s="22" t="s">
        <v>2062</v>
      </c>
      <c r="AD505" s="22">
        <v>20170413</v>
      </c>
      <c r="AE505" s="22">
        <v>504</v>
      </c>
      <c r="AF505" s="22"/>
      <c r="AG505" s="22" t="str">
        <f>IFERROR(VLOOKUP(TblFeedFile[[#This Row],[Leave Type ]],LkupPayType[],2,FALSE),"TBD")</f>
        <v>Closed</v>
      </c>
      <c r="AH505" s="22"/>
      <c r="AI505" s="25"/>
      <c r="AJ505" s="25"/>
      <c r="AK505" s="26"/>
    </row>
    <row r="506" spans="1:37" x14ac:dyDescent="0.25">
      <c r="A506" s="21" t="s">
        <v>37</v>
      </c>
      <c r="B506" s="22">
        <v>314301</v>
      </c>
      <c r="C506" s="22">
        <v>25820151</v>
      </c>
      <c r="D506" s="23" t="s">
        <v>2463</v>
      </c>
      <c r="E506" s="22" t="s">
        <v>2464</v>
      </c>
      <c r="F506" s="22" t="s">
        <v>2465</v>
      </c>
      <c r="G506" s="22">
        <v>20170213</v>
      </c>
      <c r="H506" s="22">
        <v>20170416</v>
      </c>
      <c r="I506" s="22" t="s">
        <v>223</v>
      </c>
      <c r="J506" s="22"/>
      <c r="K506" s="22"/>
      <c r="L506" s="22" t="s">
        <v>34</v>
      </c>
      <c r="M506" s="22" t="s">
        <v>34</v>
      </c>
      <c r="N506" s="22" t="s">
        <v>35</v>
      </c>
      <c r="O506" s="22" t="s">
        <v>35</v>
      </c>
      <c r="P506" s="22" t="s">
        <v>35</v>
      </c>
      <c r="Q506" s="22" t="s">
        <v>35</v>
      </c>
      <c r="R506" s="22" t="s">
        <v>35</v>
      </c>
      <c r="S506" s="22" t="s">
        <v>34</v>
      </c>
      <c r="T506" s="22">
        <v>20170417</v>
      </c>
      <c r="U506" s="22"/>
      <c r="V506" s="22"/>
      <c r="W506" s="22"/>
      <c r="X506" s="22"/>
      <c r="Y506" s="22"/>
      <c r="Z506" s="22"/>
      <c r="AA506" s="22"/>
      <c r="AB506" s="22"/>
      <c r="AC506" s="22" t="s">
        <v>1921</v>
      </c>
      <c r="AD506" s="22">
        <v>20170413</v>
      </c>
      <c r="AE506" s="22">
        <v>505</v>
      </c>
      <c r="AF506" s="22"/>
      <c r="AG506" s="22" t="str">
        <f>IFERROR(VLOOKUP(TblFeedFile[[#This Row],[Leave Type ]],LkupPayType[],2,FALSE),"TBD")</f>
        <v>Paid</v>
      </c>
      <c r="AH506" s="22"/>
      <c r="AI506" s="25"/>
      <c r="AJ506" s="25"/>
      <c r="AK506" s="26" t="s">
        <v>35</v>
      </c>
    </row>
    <row r="507" spans="1:37" x14ac:dyDescent="0.25">
      <c r="A507" s="21" t="s">
        <v>29</v>
      </c>
      <c r="B507" s="22">
        <v>314304</v>
      </c>
      <c r="C507" s="22">
        <v>25821005</v>
      </c>
      <c r="D507" s="23" t="s">
        <v>2466</v>
      </c>
      <c r="E507" s="22" t="s">
        <v>80</v>
      </c>
      <c r="F507" s="22" t="s">
        <v>2467</v>
      </c>
      <c r="G507" s="22">
        <v>20170125</v>
      </c>
      <c r="H507" s="22">
        <v>20170415</v>
      </c>
      <c r="I507" s="22" t="s">
        <v>36</v>
      </c>
      <c r="J507" s="22"/>
      <c r="K507" s="22"/>
      <c r="L507" s="22" t="s">
        <v>34</v>
      </c>
      <c r="M507" s="22" t="s">
        <v>34</v>
      </c>
      <c r="N507" s="22" t="s">
        <v>35</v>
      </c>
      <c r="O507" s="22" t="s">
        <v>35</v>
      </c>
      <c r="P507" s="22" t="s">
        <v>35</v>
      </c>
      <c r="Q507" s="22" t="s">
        <v>35</v>
      </c>
      <c r="R507" s="22" t="s">
        <v>35</v>
      </c>
      <c r="S507" s="22" t="s">
        <v>34</v>
      </c>
      <c r="T507" s="22"/>
      <c r="U507" s="22"/>
      <c r="V507" s="22"/>
      <c r="W507" s="22"/>
      <c r="X507" s="22"/>
      <c r="Y507" s="22"/>
      <c r="Z507" s="22"/>
      <c r="AA507" s="22"/>
      <c r="AB507" s="22"/>
      <c r="AC507" s="22" t="s">
        <v>1901</v>
      </c>
      <c r="AD507" s="22">
        <v>20170413</v>
      </c>
      <c r="AE507" s="22">
        <v>506</v>
      </c>
      <c r="AF507" s="22"/>
      <c r="AG507" s="22" t="str">
        <f>IFERROR(VLOOKUP(TblFeedFile[[#This Row],[Leave Type ]],LkupPayType[],2,FALSE),"TBD")</f>
        <v>Unpaid</v>
      </c>
      <c r="AH507" s="22"/>
      <c r="AI507" s="25"/>
      <c r="AJ507" s="25"/>
      <c r="AK507" s="26"/>
    </row>
    <row r="508" spans="1:37" x14ac:dyDescent="0.25">
      <c r="A508" s="21" t="s">
        <v>37</v>
      </c>
      <c r="B508" s="22">
        <v>314304</v>
      </c>
      <c r="C508" s="22">
        <v>25821005</v>
      </c>
      <c r="D508" s="23" t="s">
        <v>2466</v>
      </c>
      <c r="E508" s="22" t="s">
        <v>80</v>
      </c>
      <c r="F508" s="22" t="s">
        <v>2467</v>
      </c>
      <c r="G508" s="22">
        <v>20170125</v>
      </c>
      <c r="H508" s="22">
        <v>20170524</v>
      </c>
      <c r="I508" s="22" t="s">
        <v>36</v>
      </c>
      <c r="J508" s="22"/>
      <c r="K508" s="22"/>
      <c r="L508" s="22" t="s">
        <v>34</v>
      </c>
      <c r="M508" s="22" t="s">
        <v>34</v>
      </c>
      <c r="N508" s="22" t="s">
        <v>35</v>
      </c>
      <c r="O508" s="22" t="s">
        <v>35</v>
      </c>
      <c r="P508" s="22" t="s">
        <v>35</v>
      </c>
      <c r="Q508" s="22" t="s">
        <v>35</v>
      </c>
      <c r="R508" s="22" t="s">
        <v>35</v>
      </c>
      <c r="S508" s="22" t="s">
        <v>34</v>
      </c>
      <c r="T508" s="22"/>
      <c r="U508" s="22"/>
      <c r="V508" s="22"/>
      <c r="W508" s="22"/>
      <c r="X508" s="22"/>
      <c r="Y508" s="22"/>
      <c r="Z508" s="22"/>
      <c r="AA508" s="22"/>
      <c r="AB508" s="22"/>
      <c r="AC508" s="22" t="s">
        <v>1901</v>
      </c>
      <c r="AD508" s="22">
        <v>20170413</v>
      </c>
      <c r="AE508" s="22">
        <v>507</v>
      </c>
      <c r="AF508" s="22"/>
      <c r="AG508" s="22" t="str">
        <f>IFERROR(VLOOKUP(TblFeedFile[[#This Row],[Leave Type ]],LkupPayType[],2,FALSE),"TBD")</f>
        <v>Unpaid</v>
      </c>
      <c r="AH508" s="22"/>
      <c r="AI508" s="25"/>
      <c r="AJ508" s="25"/>
      <c r="AK508" s="26"/>
    </row>
    <row r="509" spans="1:37" x14ac:dyDescent="0.25">
      <c r="A509" s="21" t="s">
        <v>37</v>
      </c>
      <c r="B509" s="22">
        <v>314301</v>
      </c>
      <c r="C509" s="22">
        <v>25825770</v>
      </c>
      <c r="D509" s="23" t="s">
        <v>2468</v>
      </c>
      <c r="E509" s="22" t="s">
        <v>2469</v>
      </c>
      <c r="F509" s="22" t="s">
        <v>2470</v>
      </c>
      <c r="G509" s="22">
        <v>20170410</v>
      </c>
      <c r="H509" s="22">
        <v>20170730</v>
      </c>
      <c r="I509" s="22" t="s">
        <v>223</v>
      </c>
      <c r="J509" s="22"/>
      <c r="K509" s="22"/>
      <c r="L509" s="22" t="s">
        <v>34</v>
      </c>
      <c r="M509" s="22" t="s">
        <v>34</v>
      </c>
      <c r="N509" s="22" t="s">
        <v>35</v>
      </c>
      <c r="O509" s="22" t="s">
        <v>35</v>
      </c>
      <c r="P509" s="22" t="s">
        <v>35</v>
      </c>
      <c r="Q509" s="22" t="s">
        <v>35</v>
      </c>
      <c r="R509" s="22" t="s">
        <v>35</v>
      </c>
      <c r="S509" s="22" t="s">
        <v>34</v>
      </c>
      <c r="T509" s="22"/>
      <c r="U509" s="22"/>
      <c r="V509" s="22"/>
      <c r="W509" s="22"/>
      <c r="X509" s="22"/>
      <c r="Y509" s="22"/>
      <c r="Z509" s="22"/>
      <c r="AA509" s="22"/>
      <c r="AB509" s="22"/>
      <c r="AC509" s="22" t="s">
        <v>1895</v>
      </c>
      <c r="AD509" s="22">
        <v>20170413</v>
      </c>
      <c r="AE509" s="22">
        <v>508</v>
      </c>
      <c r="AF509" s="22"/>
      <c r="AG509" s="22" t="str">
        <f>IFERROR(VLOOKUP(TblFeedFile[[#This Row],[Leave Type ]],LkupPayType[],2,FALSE),"TBD")</f>
        <v>Paid</v>
      </c>
      <c r="AH509" s="22"/>
      <c r="AI509" s="25"/>
      <c r="AJ509" s="25"/>
      <c r="AK509" s="26"/>
    </row>
    <row r="510" spans="1:37" x14ac:dyDescent="0.25">
      <c r="A510" s="21" t="s">
        <v>29</v>
      </c>
      <c r="B510" s="22">
        <v>314304</v>
      </c>
      <c r="C510" s="22">
        <v>25836604</v>
      </c>
      <c r="D510" s="23" t="s">
        <v>2471</v>
      </c>
      <c r="E510" s="22" t="s">
        <v>872</v>
      </c>
      <c r="F510" s="22" t="s">
        <v>2472</v>
      </c>
      <c r="G510" s="22">
        <v>20170328</v>
      </c>
      <c r="H510" s="22">
        <v>20170430</v>
      </c>
      <c r="I510" s="22" t="s">
        <v>36</v>
      </c>
      <c r="J510" s="22"/>
      <c r="K510" s="22"/>
      <c r="L510" s="22" t="s">
        <v>34</v>
      </c>
      <c r="M510" s="22" t="s">
        <v>34</v>
      </c>
      <c r="N510" s="22" t="s">
        <v>34</v>
      </c>
      <c r="O510" s="22" t="s">
        <v>35</v>
      </c>
      <c r="P510" s="22" t="s">
        <v>35</v>
      </c>
      <c r="Q510" s="22" t="s">
        <v>35</v>
      </c>
      <c r="R510" s="22" t="s">
        <v>35</v>
      </c>
      <c r="S510" s="22" t="s">
        <v>35</v>
      </c>
      <c r="T510" s="22"/>
      <c r="U510" s="22"/>
      <c r="V510" s="22"/>
      <c r="W510" s="22"/>
      <c r="X510" s="22"/>
      <c r="Y510" s="22"/>
      <c r="Z510" s="22"/>
      <c r="AA510" s="22"/>
      <c r="AB510" s="22"/>
      <c r="AC510" s="22" t="s">
        <v>1936</v>
      </c>
      <c r="AD510" s="22">
        <v>20170413</v>
      </c>
      <c r="AE510" s="22">
        <v>509</v>
      </c>
      <c r="AF510" s="22"/>
      <c r="AG510" s="22" t="str">
        <f>IFERROR(VLOOKUP(TblFeedFile[[#This Row],[Leave Type ]],LkupPayType[],2,FALSE),"TBD")</f>
        <v>Unpaid</v>
      </c>
      <c r="AH510" s="22"/>
      <c r="AI510" s="25"/>
      <c r="AJ510" s="25"/>
      <c r="AK510" s="26"/>
    </row>
    <row r="511" spans="1:37" x14ac:dyDescent="0.25">
      <c r="A511" s="21" t="s">
        <v>37</v>
      </c>
      <c r="B511" s="22">
        <v>314304</v>
      </c>
      <c r="C511" s="22">
        <v>25836604</v>
      </c>
      <c r="D511" s="23" t="s">
        <v>2471</v>
      </c>
      <c r="E511" s="22" t="s">
        <v>872</v>
      </c>
      <c r="F511" s="22" t="s">
        <v>2472</v>
      </c>
      <c r="G511" s="22">
        <v>20170328</v>
      </c>
      <c r="H511" s="22">
        <v>20170414</v>
      </c>
      <c r="I511" s="22" t="s">
        <v>36</v>
      </c>
      <c r="J511" s="22"/>
      <c r="K511" s="22"/>
      <c r="L511" s="22" t="s">
        <v>34</v>
      </c>
      <c r="M511" s="22" t="s">
        <v>34</v>
      </c>
      <c r="N511" s="22" t="s">
        <v>34</v>
      </c>
      <c r="O511" s="22" t="s">
        <v>35</v>
      </c>
      <c r="P511" s="22" t="s">
        <v>35</v>
      </c>
      <c r="Q511" s="22" t="s">
        <v>35</v>
      </c>
      <c r="R511" s="22" t="s">
        <v>35</v>
      </c>
      <c r="S511" s="22" t="s">
        <v>35</v>
      </c>
      <c r="T511" s="22">
        <v>20170415</v>
      </c>
      <c r="U511" s="22"/>
      <c r="V511" s="22"/>
      <c r="W511" s="22"/>
      <c r="X511" s="22"/>
      <c r="Y511" s="22"/>
      <c r="Z511" s="22"/>
      <c r="AA511" s="22"/>
      <c r="AB511" s="22"/>
      <c r="AC511" s="22" t="s">
        <v>1902</v>
      </c>
      <c r="AD511" s="22">
        <v>20170413</v>
      </c>
      <c r="AE511" s="22">
        <v>510</v>
      </c>
      <c r="AF511" s="22"/>
      <c r="AG511" s="22" t="str">
        <f>IFERROR(VLOOKUP(TblFeedFile[[#This Row],[Leave Type ]],LkupPayType[],2,FALSE),"TBD")</f>
        <v>Unpaid</v>
      </c>
      <c r="AH511" s="22"/>
      <c r="AI511" s="25"/>
      <c r="AJ511" s="25"/>
      <c r="AK511" s="26" t="s">
        <v>35</v>
      </c>
    </row>
    <row r="512" spans="1:37" x14ac:dyDescent="0.25">
      <c r="A512" s="21" t="s">
        <v>37</v>
      </c>
      <c r="B512" s="22">
        <v>314304</v>
      </c>
      <c r="C512" s="22">
        <v>25849633</v>
      </c>
      <c r="D512" s="23">
        <v>561704128656</v>
      </c>
      <c r="E512" s="22" t="s">
        <v>1246</v>
      </c>
      <c r="F512" s="22" t="s">
        <v>2025</v>
      </c>
      <c r="G512" s="22">
        <v>20170411</v>
      </c>
      <c r="H512" s="22">
        <v>20170511</v>
      </c>
      <c r="I512" s="22" t="s">
        <v>53</v>
      </c>
      <c r="J512" s="22"/>
      <c r="K512" s="22"/>
      <c r="L512" s="22" t="s">
        <v>34</v>
      </c>
      <c r="M512" s="22" t="s">
        <v>34</v>
      </c>
      <c r="N512" s="22" t="s">
        <v>35</v>
      </c>
      <c r="O512" s="22" t="s">
        <v>35</v>
      </c>
      <c r="P512" s="22" t="s">
        <v>35</v>
      </c>
      <c r="Q512" s="22" t="s">
        <v>35</v>
      </c>
      <c r="R512" s="22" t="s">
        <v>34</v>
      </c>
      <c r="S512" s="22" t="s">
        <v>35</v>
      </c>
      <c r="T512" s="22"/>
      <c r="U512" s="22"/>
      <c r="V512" s="22"/>
      <c r="W512" s="22"/>
      <c r="X512" s="22"/>
      <c r="Y512" s="22"/>
      <c r="Z512" s="22"/>
      <c r="AA512" s="22"/>
      <c r="AB512" s="22"/>
      <c r="AC512" s="22" t="s">
        <v>1908</v>
      </c>
      <c r="AD512" s="22">
        <v>20170413</v>
      </c>
      <c r="AE512" s="22">
        <v>511</v>
      </c>
      <c r="AF512" s="22"/>
      <c r="AG512" s="22" t="str">
        <f>IFERROR(VLOOKUP(TblFeedFile[[#This Row],[Leave Type ]],LkupPayType[],2,FALSE),"TBD")</f>
        <v>Paid</v>
      </c>
      <c r="AH512" s="22"/>
      <c r="AI512" s="25"/>
      <c r="AJ512" s="25"/>
      <c r="AK512" s="26"/>
    </row>
    <row r="513" spans="1:37" x14ac:dyDescent="0.25">
      <c r="A513" s="21" t="s">
        <v>37</v>
      </c>
      <c r="B513" s="22">
        <v>314304</v>
      </c>
      <c r="C513" s="22">
        <v>25885860</v>
      </c>
      <c r="D513" s="23" t="s">
        <v>2473</v>
      </c>
      <c r="E513" s="22" t="s">
        <v>2278</v>
      </c>
      <c r="F513" s="22" t="s">
        <v>487</v>
      </c>
      <c r="G513" s="22">
        <v>20170413</v>
      </c>
      <c r="H513" s="22">
        <v>20170513</v>
      </c>
      <c r="I513" s="22" t="s">
        <v>36</v>
      </c>
      <c r="J513" s="22"/>
      <c r="K513" s="22"/>
      <c r="L513" s="22" t="s">
        <v>34</v>
      </c>
      <c r="M513" s="22" t="s">
        <v>34</v>
      </c>
      <c r="N513" s="22" t="s">
        <v>35</v>
      </c>
      <c r="O513" s="22" t="s">
        <v>35</v>
      </c>
      <c r="P513" s="22" t="s">
        <v>35</v>
      </c>
      <c r="Q513" s="22" t="s">
        <v>35</v>
      </c>
      <c r="R513" s="22" t="s">
        <v>35</v>
      </c>
      <c r="S513" s="22" t="s">
        <v>34</v>
      </c>
      <c r="T513" s="22"/>
      <c r="U513" s="22"/>
      <c r="V513" s="22"/>
      <c r="W513" s="22"/>
      <c r="X513" s="22"/>
      <c r="Y513" s="22"/>
      <c r="Z513" s="22"/>
      <c r="AA513" s="22"/>
      <c r="AB513" s="22"/>
      <c r="AC513" s="22" t="s">
        <v>1911</v>
      </c>
      <c r="AD513" s="22">
        <v>20170413</v>
      </c>
      <c r="AE513" s="22">
        <v>512</v>
      </c>
      <c r="AF513" s="22"/>
      <c r="AG513" s="22" t="str">
        <f>IFERROR(VLOOKUP(TblFeedFile[[#This Row],[Leave Type ]],LkupPayType[],2,FALSE),"TBD")</f>
        <v>Unpaid</v>
      </c>
      <c r="AH513" s="22"/>
      <c r="AI513" s="25"/>
      <c r="AJ513" s="25"/>
      <c r="AK513" s="26"/>
    </row>
    <row r="514" spans="1:37" x14ac:dyDescent="0.25">
      <c r="A514" s="21" t="s">
        <v>37</v>
      </c>
      <c r="B514" s="22">
        <v>314304</v>
      </c>
      <c r="C514" s="22">
        <v>25899681</v>
      </c>
      <c r="D514" s="23" t="s">
        <v>2474</v>
      </c>
      <c r="E514" s="22" t="s">
        <v>2475</v>
      </c>
      <c r="F514" s="22" t="s">
        <v>2476</v>
      </c>
      <c r="G514" s="22">
        <v>20170412</v>
      </c>
      <c r="H514" s="22">
        <v>20170424</v>
      </c>
      <c r="I514" s="22" t="s">
        <v>36</v>
      </c>
      <c r="J514" s="22"/>
      <c r="K514" s="22"/>
      <c r="L514" s="22" t="s">
        <v>34</v>
      </c>
      <c r="M514" s="22" t="s">
        <v>34</v>
      </c>
      <c r="N514" s="22" t="s">
        <v>35</v>
      </c>
      <c r="O514" s="22" t="s">
        <v>35</v>
      </c>
      <c r="P514" s="22" t="s">
        <v>35</v>
      </c>
      <c r="Q514" s="22" t="s">
        <v>35</v>
      </c>
      <c r="R514" s="22" t="s">
        <v>35</v>
      </c>
      <c r="S514" s="22" t="s">
        <v>34</v>
      </c>
      <c r="T514" s="22"/>
      <c r="U514" s="22"/>
      <c r="V514" s="22"/>
      <c r="W514" s="22"/>
      <c r="X514" s="22"/>
      <c r="Y514" s="22"/>
      <c r="Z514" s="22"/>
      <c r="AA514" s="22"/>
      <c r="AB514" s="22"/>
      <c r="AC514" s="22" t="s">
        <v>1901</v>
      </c>
      <c r="AD514" s="22">
        <v>20170413</v>
      </c>
      <c r="AE514" s="22">
        <v>513</v>
      </c>
      <c r="AF514" s="22"/>
      <c r="AG514" s="22" t="str">
        <f>IFERROR(VLOOKUP(TblFeedFile[[#This Row],[Leave Type ]],LkupPayType[],2,FALSE),"TBD")</f>
        <v>Unpaid</v>
      </c>
      <c r="AH514" s="22"/>
      <c r="AI514" s="25"/>
      <c r="AJ514" s="25"/>
      <c r="AK514" s="26"/>
    </row>
    <row r="515" spans="1:37" x14ac:dyDescent="0.25">
      <c r="A515" s="21" t="s">
        <v>29</v>
      </c>
      <c r="B515" s="22">
        <v>314301</v>
      </c>
      <c r="C515" s="22">
        <v>25907930</v>
      </c>
      <c r="D515" s="23" t="s">
        <v>2477</v>
      </c>
      <c r="E515" s="22" t="s">
        <v>1585</v>
      </c>
      <c r="F515" s="22" t="s">
        <v>2478</v>
      </c>
      <c r="G515" s="22">
        <v>20170403</v>
      </c>
      <c r="H515" s="22">
        <v>20170531</v>
      </c>
      <c r="I515" s="22" t="s">
        <v>223</v>
      </c>
      <c r="J515" s="22"/>
      <c r="K515" s="22"/>
      <c r="L515" s="22" t="s">
        <v>34</v>
      </c>
      <c r="M515" s="22" t="s">
        <v>34</v>
      </c>
      <c r="N515" s="22" t="s">
        <v>35</v>
      </c>
      <c r="O515" s="22" t="s">
        <v>35</v>
      </c>
      <c r="P515" s="22" t="s">
        <v>35</v>
      </c>
      <c r="Q515" s="22" t="s">
        <v>35</v>
      </c>
      <c r="R515" s="22" t="s">
        <v>35</v>
      </c>
      <c r="S515" s="22" t="s">
        <v>34</v>
      </c>
      <c r="T515" s="22"/>
      <c r="U515" s="22"/>
      <c r="V515" s="22"/>
      <c r="W515" s="22"/>
      <c r="X515" s="22"/>
      <c r="Y515" s="22"/>
      <c r="Z515" s="22"/>
      <c r="AA515" s="22"/>
      <c r="AB515" s="22"/>
      <c r="AC515" s="22" t="s">
        <v>1943</v>
      </c>
      <c r="AD515" s="22">
        <v>20170413</v>
      </c>
      <c r="AE515" s="22">
        <v>514</v>
      </c>
      <c r="AF515" s="22"/>
      <c r="AG515" s="22" t="str">
        <f>IFERROR(VLOOKUP(TblFeedFile[[#This Row],[Leave Type ]],LkupPayType[],2,FALSE),"TBD")</f>
        <v>Paid</v>
      </c>
      <c r="AH515" s="22"/>
      <c r="AI515" s="25"/>
      <c r="AJ515" s="25"/>
      <c r="AK515" s="26"/>
    </row>
    <row r="516" spans="1:37" x14ac:dyDescent="0.25">
      <c r="A516" s="21" t="s">
        <v>37</v>
      </c>
      <c r="B516" s="22">
        <v>314301</v>
      </c>
      <c r="C516" s="22">
        <v>25907930</v>
      </c>
      <c r="D516" s="23" t="s">
        <v>2477</v>
      </c>
      <c r="E516" s="22" t="s">
        <v>1585</v>
      </c>
      <c r="F516" s="22" t="s">
        <v>2478</v>
      </c>
      <c r="G516" s="22">
        <v>20170403</v>
      </c>
      <c r="H516" s="22">
        <v>20170529</v>
      </c>
      <c r="I516" s="22" t="s">
        <v>223</v>
      </c>
      <c r="J516" s="22"/>
      <c r="K516" s="22"/>
      <c r="L516" s="22" t="s">
        <v>34</v>
      </c>
      <c r="M516" s="22" t="s">
        <v>34</v>
      </c>
      <c r="N516" s="22" t="s">
        <v>35</v>
      </c>
      <c r="O516" s="22" t="s">
        <v>35</v>
      </c>
      <c r="P516" s="22" t="s">
        <v>35</v>
      </c>
      <c r="Q516" s="22" t="s">
        <v>35</v>
      </c>
      <c r="R516" s="22" t="s">
        <v>35</v>
      </c>
      <c r="S516" s="22" t="s">
        <v>34</v>
      </c>
      <c r="T516" s="22"/>
      <c r="U516" s="22"/>
      <c r="V516" s="22"/>
      <c r="W516" s="22"/>
      <c r="X516" s="22"/>
      <c r="Y516" s="22"/>
      <c r="Z516" s="22"/>
      <c r="AA516" s="22"/>
      <c r="AB516" s="22"/>
      <c r="AC516" s="22" t="s">
        <v>1943</v>
      </c>
      <c r="AD516" s="22">
        <v>20170413</v>
      </c>
      <c r="AE516" s="22">
        <v>515</v>
      </c>
      <c r="AF516" s="22"/>
      <c r="AG516" s="22" t="str">
        <f>IFERROR(VLOOKUP(TblFeedFile[[#This Row],[Leave Type ]],LkupPayType[],2,FALSE),"TBD")</f>
        <v>Paid</v>
      </c>
      <c r="AH516" s="22"/>
      <c r="AI516" s="25"/>
      <c r="AJ516" s="25"/>
      <c r="AK516" s="26"/>
    </row>
    <row r="517" spans="1:37" x14ac:dyDescent="0.25">
      <c r="A517" s="21" t="s">
        <v>37</v>
      </c>
      <c r="B517" s="22">
        <v>314301</v>
      </c>
      <c r="C517" s="22">
        <v>25908191</v>
      </c>
      <c r="D517" s="23" t="s">
        <v>2479</v>
      </c>
      <c r="E517" s="22" t="s">
        <v>766</v>
      </c>
      <c r="F517" s="22" t="s">
        <v>2480</v>
      </c>
      <c r="G517" s="22">
        <v>20170411</v>
      </c>
      <c r="H517" s="22">
        <v>20170604</v>
      </c>
      <c r="I517" s="22" t="s">
        <v>36</v>
      </c>
      <c r="J517" s="22"/>
      <c r="K517" s="22"/>
      <c r="L517" s="22" t="s">
        <v>34</v>
      </c>
      <c r="M517" s="22" t="s">
        <v>34</v>
      </c>
      <c r="N517" s="22" t="s">
        <v>35</v>
      </c>
      <c r="O517" s="22" t="s">
        <v>35</v>
      </c>
      <c r="P517" s="22" t="s">
        <v>35</v>
      </c>
      <c r="Q517" s="22" t="s">
        <v>35</v>
      </c>
      <c r="R517" s="22" t="s">
        <v>35</v>
      </c>
      <c r="S517" s="22" t="s">
        <v>34</v>
      </c>
      <c r="T517" s="22"/>
      <c r="U517" s="22"/>
      <c r="V517" s="22"/>
      <c r="W517" s="22"/>
      <c r="X517" s="22"/>
      <c r="Y517" s="22"/>
      <c r="Z517" s="22"/>
      <c r="AA517" s="22"/>
      <c r="AB517" s="22"/>
      <c r="AC517" s="22" t="s">
        <v>1911</v>
      </c>
      <c r="AD517" s="22">
        <v>20170413</v>
      </c>
      <c r="AE517" s="22">
        <v>516</v>
      </c>
      <c r="AF517" s="22"/>
      <c r="AG517" s="22" t="str">
        <f>IFERROR(VLOOKUP(TblFeedFile[[#This Row],[Leave Type ]],LkupPayType[],2,FALSE),"TBD")</f>
        <v>Unpaid</v>
      </c>
      <c r="AH517" s="22"/>
      <c r="AI517" s="25"/>
      <c r="AJ517" s="25"/>
      <c r="AK517" s="26"/>
    </row>
    <row r="518" spans="1:37" x14ac:dyDescent="0.25">
      <c r="A518" s="21" t="s">
        <v>37</v>
      </c>
      <c r="B518" s="22">
        <v>314304</v>
      </c>
      <c r="C518" s="22">
        <v>25916989</v>
      </c>
      <c r="D518" s="23">
        <v>561704138816</v>
      </c>
      <c r="E518" s="22" t="s">
        <v>2481</v>
      </c>
      <c r="F518" s="22" t="s">
        <v>2482</v>
      </c>
      <c r="G518" s="22">
        <v>20170408</v>
      </c>
      <c r="H518" s="22">
        <v>20170728</v>
      </c>
      <c r="I518" s="22" t="s">
        <v>53</v>
      </c>
      <c r="J518" s="22"/>
      <c r="K518" s="22"/>
      <c r="L518" s="22" t="s">
        <v>34</v>
      </c>
      <c r="M518" s="22" t="s">
        <v>34</v>
      </c>
      <c r="N518" s="22" t="s">
        <v>35</v>
      </c>
      <c r="O518" s="22" t="s">
        <v>35</v>
      </c>
      <c r="P518" s="22" t="s">
        <v>35</v>
      </c>
      <c r="Q518" s="22" t="s">
        <v>35</v>
      </c>
      <c r="R518" s="22" t="s">
        <v>35</v>
      </c>
      <c r="S518" s="22" t="s">
        <v>34</v>
      </c>
      <c r="T518" s="22"/>
      <c r="U518" s="22"/>
      <c r="V518" s="22"/>
      <c r="W518" s="22"/>
      <c r="X518" s="22"/>
      <c r="Y518" s="22"/>
      <c r="Z518" s="22"/>
      <c r="AA518" s="22"/>
      <c r="AB518" s="22"/>
      <c r="AC518" s="22" t="s">
        <v>1921</v>
      </c>
      <c r="AD518" s="22">
        <v>20170413</v>
      </c>
      <c r="AE518" s="22">
        <v>517</v>
      </c>
      <c r="AF518" s="22"/>
      <c r="AG518" s="22" t="str">
        <f>IFERROR(VLOOKUP(TblFeedFile[[#This Row],[Leave Type ]],LkupPayType[],2,FALSE),"TBD")</f>
        <v>Paid</v>
      </c>
      <c r="AH518" s="22"/>
      <c r="AI518" s="25"/>
      <c r="AJ518" s="25"/>
      <c r="AK518" s="26"/>
    </row>
    <row r="519" spans="1:37" x14ac:dyDescent="0.25">
      <c r="A519" s="21" t="s">
        <v>37</v>
      </c>
      <c r="B519" s="22">
        <v>314307</v>
      </c>
      <c r="C519" s="22">
        <v>25958659</v>
      </c>
      <c r="D519" s="23" t="s">
        <v>2483</v>
      </c>
      <c r="E519" s="22" t="s">
        <v>2484</v>
      </c>
      <c r="F519" s="22" t="s">
        <v>2485</v>
      </c>
      <c r="G519" s="22">
        <v>20170403</v>
      </c>
      <c r="H519" s="22">
        <v>20170416</v>
      </c>
      <c r="I519" s="22" t="s">
        <v>423</v>
      </c>
      <c r="J519" s="22"/>
      <c r="K519" s="22"/>
      <c r="L519" s="22" t="s">
        <v>34</v>
      </c>
      <c r="M519" s="22" t="s">
        <v>34</v>
      </c>
      <c r="N519" s="22" t="s">
        <v>35</v>
      </c>
      <c r="O519" s="22" t="s">
        <v>35</v>
      </c>
      <c r="P519" s="22" t="s">
        <v>35</v>
      </c>
      <c r="Q519" s="22" t="s">
        <v>35</v>
      </c>
      <c r="R519" s="22" t="s">
        <v>35</v>
      </c>
      <c r="S519" s="22" t="s">
        <v>34</v>
      </c>
      <c r="T519" s="22">
        <v>20170417</v>
      </c>
      <c r="U519" s="22"/>
      <c r="V519" s="22"/>
      <c r="W519" s="22"/>
      <c r="X519" s="22"/>
      <c r="Y519" s="22"/>
      <c r="Z519" s="22"/>
      <c r="AA519" s="22"/>
      <c r="AB519" s="22"/>
      <c r="AC519" s="22" t="s">
        <v>1897</v>
      </c>
      <c r="AD519" s="22">
        <v>20170413</v>
      </c>
      <c r="AE519" s="22">
        <v>518</v>
      </c>
      <c r="AF519" s="22"/>
      <c r="AG519" s="22" t="str">
        <f>IFERROR(VLOOKUP(TblFeedFile[[#This Row],[Leave Type ]],LkupPayType[],2,FALSE),"TBD")</f>
        <v>Paid</v>
      </c>
      <c r="AH519" s="22"/>
      <c r="AI519" s="25"/>
      <c r="AJ519" s="25"/>
      <c r="AK519" s="26" t="s">
        <v>35</v>
      </c>
    </row>
    <row r="520" spans="1:37" x14ac:dyDescent="0.25">
      <c r="A520" s="21" t="s">
        <v>37</v>
      </c>
      <c r="B520" s="22">
        <v>314301</v>
      </c>
      <c r="C520" s="22">
        <v>25971767</v>
      </c>
      <c r="D520" s="23">
        <v>571702148357</v>
      </c>
      <c r="E520" s="22" t="s">
        <v>2486</v>
      </c>
      <c r="F520" s="22" t="s">
        <v>1771</v>
      </c>
      <c r="G520" s="22">
        <v>20170316</v>
      </c>
      <c r="H520" s="22">
        <v>20170416</v>
      </c>
      <c r="I520" s="22" t="s">
        <v>1892</v>
      </c>
      <c r="J520" s="22"/>
      <c r="K520" s="22"/>
      <c r="L520" s="22" t="s">
        <v>34</v>
      </c>
      <c r="M520" s="22" t="s">
        <v>34</v>
      </c>
      <c r="N520" s="22" t="s">
        <v>35</v>
      </c>
      <c r="O520" s="22" t="s">
        <v>35</v>
      </c>
      <c r="P520" s="22" t="s">
        <v>35</v>
      </c>
      <c r="Q520" s="22" t="s">
        <v>35</v>
      </c>
      <c r="R520" s="22" t="s">
        <v>35</v>
      </c>
      <c r="S520" s="22" t="s">
        <v>34</v>
      </c>
      <c r="T520" s="22">
        <v>20170417</v>
      </c>
      <c r="U520" s="22"/>
      <c r="V520" s="22"/>
      <c r="W520" s="22"/>
      <c r="X520" s="22"/>
      <c r="Y520" s="22"/>
      <c r="Z520" s="22"/>
      <c r="AA520" s="22"/>
      <c r="AB520" s="22"/>
      <c r="AC520" s="22" t="s">
        <v>1915</v>
      </c>
      <c r="AD520" s="22">
        <v>20170413</v>
      </c>
      <c r="AE520" s="22">
        <v>519</v>
      </c>
      <c r="AF520" s="22"/>
      <c r="AG520" s="22" t="str">
        <f>IFERROR(VLOOKUP(TblFeedFile[[#This Row],[Leave Type ]],LkupPayType[],2,FALSE),"TBD")</f>
        <v>Paid</v>
      </c>
      <c r="AH520" s="22"/>
      <c r="AI520" s="25"/>
      <c r="AJ520" s="25"/>
      <c r="AK520" s="26" t="s">
        <v>35</v>
      </c>
    </row>
    <row r="521" spans="1:37" x14ac:dyDescent="0.25">
      <c r="A521" s="21" t="s">
        <v>29</v>
      </c>
      <c r="B521" s="22">
        <v>314301</v>
      </c>
      <c r="C521" s="22">
        <v>25974133</v>
      </c>
      <c r="D521" s="23" t="s">
        <v>2487</v>
      </c>
      <c r="E521" s="22" t="s">
        <v>346</v>
      </c>
      <c r="F521" s="22" t="s">
        <v>2488</v>
      </c>
      <c r="G521" s="22">
        <v>20170321</v>
      </c>
      <c r="H521" s="22">
        <v>20170321</v>
      </c>
      <c r="I521" s="22" t="s">
        <v>33</v>
      </c>
      <c r="J521" s="22"/>
      <c r="K521" s="22"/>
      <c r="L521" s="22" t="s">
        <v>34</v>
      </c>
      <c r="M521" s="22" t="s">
        <v>34</v>
      </c>
      <c r="N521" s="22" t="s">
        <v>35</v>
      </c>
      <c r="O521" s="22" t="s">
        <v>35</v>
      </c>
      <c r="P521" s="22" t="s">
        <v>35</v>
      </c>
      <c r="Q521" s="22" t="s">
        <v>35</v>
      </c>
      <c r="R521" s="22" t="s">
        <v>35</v>
      </c>
      <c r="S521" s="22" t="s">
        <v>34</v>
      </c>
      <c r="T521" s="22"/>
      <c r="U521" s="22"/>
      <c r="V521" s="22"/>
      <c r="W521" s="22"/>
      <c r="X521" s="22"/>
      <c r="Y521" s="22"/>
      <c r="Z521" s="22"/>
      <c r="AA521" s="22"/>
      <c r="AB521" s="22"/>
      <c r="AC521" s="22" t="s">
        <v>1998</v>
      </c>
      <c r="AD521" s="22">
        <v>20170413</v>
      </c>
      <c r="AE521" s="22">
        <v>520</v>
      </c>
      <c r="AF521" s="22"/>
      <c r="AG521" s="22" t="str">
        <f>IFERROR(VLOOKUP(TblFeedFile[[#This Row],[Leave Type ]],LkupPayType[],2,FALSE),"TBD")</f>
        <v>Closed</v>
      </c>
      <c r="AH521" s="22"/>
      <c r="AI521" s="25"/>
      <c r="AJ521" s="25"/>
      <c r="AK521" s="26"/>
    </row>
    <row r="522" spans="1:37" x14ac:dyDescent="0.25">
      <c r="A522" s="21" t="s">
        <v>29</v>
      </c>
      <c r="B522" s="22">
        <v>314301</v>
      </c>
      <c r="C522" s="22">
        <v>25974133</v>
      </c>
      <c r="D522" s="23" t="s">
        <v>2487</v>
      </c>
      <c r="E522" s="22" t="s">
        <v>346</v>
      </c>
      <c r="F522" s="22" t="s">
        <v>2488</v>
      </c>
      <c r="G522" s="22">
        <v>20170110</v>
      </c>
      <c r="H522" s="22">
        <v>20170320</v>
      </c>
      <c r="I522" s="22" t="s">
        <v>36</v>
      </c>
      <c r="J522" s="22"/>
      <c r="K522" s="22"/>
      <c r="L522" s="22" t="s">
        <v>34</v>
      </c>
      <c r="M522" s="22" t="s">
        <v>34</v>
      </c>
      <c r="N522" s="22" t="s">
        <v>35</v>
      </c>
      <c r="O522" s="22" t="s">
        <v>35</v>
      </c>
      <c r="P522" s="22" t="s">
        <v>35</v>
      </c>
      <c r="Q522" s="22" t="s">
        <v>35</v>
      </c>
      <c r="R522" s="22" t="s">
        <v>35</v>
      </c>
      <c r="S522" s="22" t="s">
        <v>34</v>
      </c>
      <c r="T522" s="22"/>
      <c r="U522" s="22"/>
      <c r="V522" s="22"/>
      <c r="W522" s="22"/>
      <c r="X522" s="22"/>
      <c r="Y522" s="22"/>
      <c r="Z522" s="22"/>
      <c r="AA522" s="22"/>
      <c r="AB522" s="22"/>
      <c r="AC522" s="22" t="s">
        <v>1964</v>
      </c>
      <c r="AD522" s="22">
        <v>20170413</v>
      </c>
      <c r="AE522" s="22">
        <v>521</v>
      </c>
      <c r="AF522" s="22"/>
      <c r="AG522" s="22" t="str">
        <f>IFERROR(VLOOKUP(TblFeedFile[[#This Row],[Leave Type ]],LkupPayType[],2,FALSE),"TBD")</f>
        <v>Unpaid</v>
      </c>
      <c r="AH522" s="22"/>
      <c r="AI522" s="25"/>
      <c r="AJ522" s="25"/>
      <c r="AK522" s="26"/>
    </row>
    <row r="523" spans="1:37" x14ac:dyDescent="0.25">
      <c r="A523" s="21" t="s">
        <v>29</v>
      </c>
      <c r="B523" s="22">
        <v>314301</v>
      </c>
      <c r="C523" s="22">
        <v>25974133</v>
      </c>
      <c r="D523" s="23" t="s">
        <v>2487</v>
      </c>
      <c r="E523" s="22" t="s">
        <v>346</v>
      </c>
      <c r="F523" s="22" t="s">
        <v>2488</v>
      </c>
      <c r="G523" s="22">
        <v>20170109</v>
      </c>
      <c r="H523" s="22">
        <v>20170320</v>
      </c>
      <c r="I523" s="22" t="s">
        <v>155</v>
      </c>
      <c r="J523" s="22"/>
      <c r="K523" s="22"/>
      <c r="L523" s="22" t="s">
        <v>34</v>
      </c>
      <c r="M523" s="22" t="s">
        <v>34</v>
      </c>
      <c r="N523" s="22" t="s">
        <v>35</v>
      </c>
      <c r="O523" s="22" t="s">
        <v>35</v>
      </c>
      <c r="P523" s="22" t="s">
        <v>35</v>
      </c>
      <c r="Q523" s="22" t="s">
        <v>35</v>
      </c>
      <c r="R523" s="22" t="s">
        <v>35</v>
      </c>
      <c r="S523" s="22" t="s">
        <v>34</v>
      </c>
      <c r="T523" s="22"/>
      <c r="U523" s="22"/>
      <c r="V523" s="22"/>
      <c r="W523" s="22"/>
      <c r="X523" s="22"/>
      <c r="Y523" s="22"/>
      <c r="Z523" s="22"/>
      <c r="AA523" s="22"/>
      <c r="AB523" s="22"/>
      <c r="AC523" s="22" t="s">
        <v>1964</v>
      </c>
      <c r="AD523" s="22">
        <v>20170413</v>
      </c>
      <c r="AE523" s="22">
        <v>522</v>
      </c>
      <c r="AF523" s="22"/>
      <c r="AG523" s="22" t="str">
        <f>IFERROR(VLOOKUP(TblFeedFile[[#This Row],[Leave Type ]],LkupPayType[],2,FALSE),"TBD")</f>
        <v>Paid</v>
      </c>
      <c r="AH523" s="22"/>
      <c r="AI523" s="25"/>
      <c r="AJ523" s="25"/>
      <c r="AK523" s="26"/>
    </row>
    <row r="524" spans="1:37" x14ac:dyDescent="0.25">
      <c r="A524" s="21" t="s">
        <v>37</v>
      </c>
      <c r="B524" s="22">
        <v>314301</v>
      </c>
      <c r="C524" s="22">
        <v>25974133</v>
      </c>
      <c r="D524" s="23" t="s">
        <v>2487</v>
      </c>
      <c r="E524" s="22" t="s">
        <v>346</v>
      </c>
      <c r="F524" s="22" t="s">
        <v>2488</v>
      </c>
      <c r="G524" s="22">
        <v>20161129</v>
      </c>
      <c r="H524" s="22">
        <v>20170331</v>
      </c>
      <c r="I524" s="22" t="s">
        <v>155</v>
      </c>
      <c r="J524" s="22"/>
      <c r="K524" s="22"/>
      <c r="L524" s="22" t="s">
        <v>34</v>
      </c>
      <c r="M524" s="22" t="s">
        <v>34</v>
      </c>
      <c r="N524" s="22" t="s">
        <v>35</v>
      </c>
      <c r="O524" s="22" t="s">
        <v>35</v>
      </c>
      <c r="P524" s="22" t="s">
        <v>35</v>
      </c>
      <c r="Q524" s="22" t="s">
        <v>35</v>
      </c>
      <c r="R524" s="22" t="s">
        <v>35</v>
      </c>
      <c r="S524" s="22" t="s">
        <v>34</v>
      </c>
      <c r="T524" s="22"/>
      <c r="U524" s="22"/>
      <c r="V524" s="22"/>
      <c r="W524" s="22"/>
      <c r="X524" s="22"/>
      <c r="Y524" s="22"/>
      <c r="Z524" s="22"/>
      <c r="AA524" s="22"/>
      <c r="AB524" s="22"/>
      <c r="AC524" s="22" t="s">
        <v>1964</v>
      </c>
      <c r="AD524" s="22">
        <v>20170413</v>
      </c>
      <c r="AE524" s="22">
        <v>523</v>
      </c>
      <c r="AF524" s="22"/>
      <c r="AG524" s="22" t="str">
        <f>IFERROR(VLOOKUP(TblFeedFile[[#This Row],[Leave Type ]],LkupPayType[],2,FALSE),"TBD")</f>
        <v>Paid</v>
      </c>
      <c r="AH524" s="22"/>
      <c r="AI524" s="25" t="s">
        <v>35</v>
      </c>
      <c r="AJ524" s="25"/>
      <c r="AK524" s="26"/>
    </row>
    <row r="525" spans="1:37" x14ac:dyDescent="0.25">
      <c r="A525" s="21" t="s">
        <v>37</v>
      </c>
      <c r="B525" s="22">
        <v>314301</v>
      </c>
      <c r="C525" s="22">
        <v>25974133</v>
      </c>
      <c r="D525" s="23" t="s">
        <v>2487</v>
      </c>
      <c r="E525" s="22" t="s">
        <v>346</v>
      </c>
      <c r="F525" s="22" t="s">
        <v>2488</v>
      </c>
      <c r="G525" s="22">
        <v>20170110</v>
      </c>
      <c r="H525" s="22">
        <v>20170331</v>
      </c>
      <c r="I525" s="22" t="s">
        <v>36</v>
      </c>
      <c r="J525" s="22"/>
      <c r="K525" s="22"/>
      <c r="L525" s="22" t="s">
        <v>34</v>
      </c>
      <c r="M525" s="22" t="s">
        <v>34</v>
      </c>
      <c r="N525" s="22" t="s">
        <v>35</v>
      </c>
      <c r="O525" s="22" t="s">
        <v>35</v>
      </c>
      <c r="P525" s="22" t="s">
        <v>35</v>
      </c>
      <c r="Q525" s="22" t="s">
        <v>35</v>
      </c>
      <c r="R525" s="22" t="s">
        <v>35</v>
      </c>
      <c r="S525" s="22" t="s">
        <v>34</v>
      </c>
      <c r="T525" s="22"/>
      <c r="U525" s="22"/>
      <c r="V525" s="22"/>
      <c r="W525" s="22"/>
      <c r="X525" s="22"/>
      <c r="Y525" s="22"/>
      <c r="Z525" s="22"/>
      <c r="AA525" s="22"/>
      <c r="AB525" s="22"/>
      <c r="AC525" s="22" t="s">
        <v>1964</v>
      </c>
      <c r="AD525" s="22">
        <v>20170413</v>
      </c>
      <c r="AE525" s="22">
        <v>524</v>
      </c>
      <c r="AF525" s="22"/>
      <c r="AG525" s="22" t="str">
        <f>IFERROR(VLOOKUP(TblFeedFile[[#This Row],[Leave Type ]],LkupPayType[],2,FALSE),"TBD")</f>
        <v>Unpaid</v>
      </c>
      <c r="AH525" s="22"/>
      <c r="AI525" s="25" t="s">
        <v>35</v>
      </c>
      <c r="AJ525" s="25"/>
      <c r="AK525" s="26"/>
    </row>
    <row r="526" spans="1:37" x14ac:dyDescent="0.25">
      <c r="A526" s="21" t="s">
        <v>37</v>
      </c>
      <c r="B526" s="22">
        <v>314301</v>
      </c>
      <c r="C526" s="22">
        <v>25974133</v>
      </c>
      <c r="D526" s="23" t="s">
        <v>2487</v>
      </c>
      <c r="E526" s="22" t="s">
        <v>346</v>
      </c>
      <c r="F526" s="22" t="s">
        <v>2488</v>
      </c>
      <c r="G526" s="22">
        <v>20170321</v>
      </c>
      <c r="H526" s="22">
        <v>20170331</v>
      </c>
      <c r="I526" s="22" t="s">
        <v>156</v>
      </c>
      <c r="J526" s="22"/>
      <c r="K526" s="22"/>
      <c r="L526" s="22" t="s">
        <v>34</v>
      </c>
      <c r="M526" s="22" t="s">
        <v>34</v>
      </c>
      <c r="N526" s="22" t="s">
        <v>35</v>
      </c>
      <c r="O526" s="22" t="s">
        <v>35</v>
      </c>
      <c r="P526" s="22" t="s">
        <v>35</v>
      </c>
      <c r="Q526" s="22" t="s">
        <v>35</v>
      </c>
      <c r="R526" s="22" t="s">
        <v>35</v>
      </c>
      <c r="S526" s="22" t="s">
        <v>34</v>
      </c>
      <c r="T526" s="22"/>
      <c r="U526" s="22"/>
      <c r="V526" s="22"/>
      <c r="W526" s="22"/>
      <c r="X526" s="22"/>
      <c r="Y526" s="22"/>
      <c r="Z526" s="22"/>
      <c r="AA526" s="22"/>
      <c r="AB526" s="22"/>
      <c r="AC526" s="22" t="s">
        <v>1993</v>
      </c>
      <c r="AD526" s="22">
        <v>20170413</v>
      </c>
      <c r="AE526" s="22">
        <v>525</v>
      </c>
      <c r="AF526" s="22"/>
      <c r="AG526" s="22" t="str">
        <f>IFERROR(VLOOKUP(TblFeedFile[[#This Row],[Leave Type ]],LkupPayType[],2,FALSE),"TBD")</f>
        <v>Unpaid</v>
      </c>
      <c r="AH526" s="22"/>
      <c r="AI526" s="25" t="s">
        <v>35</v>
      </c>
      <c r="AJ526" s="25"/>
      <c r="AK526" s="26"/>
    </row>
    <row r="527" spans="1:37" x14ac:dyDescent="0.25">
      <c r="A527" s="21" t="s">
        <v>37</v>
      </c>
      <c r="B527" s="22">
        <v>314301</v>
      </c>
      <c r="C527" s="22">
        <v>25974133</v>
      </c>
      <c r="D527" s="23" t="s">
        <v>2487</v>
      </c>
      <c r="E527" s="22" t="s">
        <v>346</v>
      </c>
      <c r="F527" s="22" t="s">
        <v>2488</v>
      </c>
      <c r="G527" s="22">
        <v>20170401</v>
      </c>
      <c r="H527" s="22">
        <v>20170401</v>
      </c>
      <c r="I527" s="22" t="s">
        <v>33</v>
      </c>
      <c r="J527" s="22"/>
      <c r="K527" s="22"/>
      <c r="L527" s="22" t="s">
        <v>34</v>
      </c>
      <c r="M527" s="22" t="s">
        <v>34</v>
      </c>
      <c r="N527" s="22" t="s">
        <v>35</v>
      </c>
      <c r="O527" s="22" t="s">
        <v>35</v>
      </c>
      <c r="P527" s="22" t="s">
        <v>35</v>
      </c>
      <c r="Q527" s="22" t="s">
        <v>35</v>
      </c>
      <c r="R527" s="22" t="s">
        <v>35</v>
      </c>
      <c r="S527" s="22" t="s">
        <v>34</v>
      </c>
      <c r="T527" s="22"/>
      <c r="U527" s="22"/>
      <c r="V527" s="22"/>
      <c r="W527" s="22"/>
      <c r="X527" s="22"/>
      <c r="Y527" s="22"/>
      <c r="Z527" s="22"/>
      <c r="AA527" s="22"/>
      <c r="AB527" s="22"/>
      <c r="AC527" s="22" t="s">
        <v>1998</v>
      </c>
      <c r="AD527" s="22">
        <v>20170413</v>
      </c>
      <c r="AE527" s="22">
        <v>526</v>
      </c>
      <c r="AF527" s="22"/>
      <c r="AG527" s="22" t="str">
        <f>IFERROR(VLOOKUP(TblFeedFile[[#This Row],[Leave Type ]],LkupPayType[],2,FALSE),"TBD")</f>
        <v>Closed</v>
      </c>
      <c r="AH527" s="22"/>
      <c r="AI527" s="25"/>
      <c r="AJ527" s="25"/>
      <c r="AK527" s="26"/>
    </row>
    <row r="528" spans="1:37" x14ac:dyDescent="0.25">
      <c r="A528" s="21" t="s">
        <v>29</v>
      </c>
      <c r="B528" s="22">
        <v>314304</v>
      </c>
      <c r="C528" s="22">
        <v>26039050</v>
      </c>
      <c r="D528" s="23" t="s">
        <v>2489</v>
      </c>
      <c r="E528" s="22" t="s">
        <v>2490</v>
      </c>
      <c r="F528" s="22" t="s">
        <v>316</v>
      </c>
      <c r="G528" s="22">
        <v>20170401</v>
      </c>
      <c r="H528" s="22">
        <v>20170501</v>
      </c>
      <c r="I528" s="22" t="s">
        <v>78</v>
      </c>
      <c r="J528" s="22"/>
      <c r="K528" s="22" t="s">
        <v>79</v>
      </c>
      <c r="L528" s="22" t="s">
        <v>34</v>
      </c>
      <c r="M528" s="22" t="s">
        <v>34</v>
      </c>
      <c r="N528" s="22" t="s">
        <v>35</v>
      </c>
      <c r="O528" s="22" t="s">
        <v>35</v>
      </c>
      <c r="P528" s="22" t="s">
        <v>35</v>
      </c>
      <c r="Q528" s="22" t="s">
        <v>35</v>
      </c>
      <c r="R528" s="22" t="s">
        <v>35</v>
      </c>
      <c r="S528" s="22" t="s">
        <v>34</v>
      </c>
      <c r="T528" s="22"/>
      <c r="U528" s="22"/>
      <c r="V528" s="22"/>
      <c r="W528" s="22"/>
      <c r="X528" s="22"/>
      <c r="Y528" s="22"/>
      <c r="Z528" s="22"/>
      <c r="AA528" s="22"/>
      <c r="AB528" s="22"/>
      <c r="AC528" s="22" t="s">
        <v>1896</v>
      </c>
      <c r="AD528" s="22">
        <v>20170413</v>
      </c>
      <c r="AE528" s="22">
        <v>527</v>
      </c>
      <c r="AF528" s="22"/>
      <c r="AG528" s="22" t="str">
        <f>IFERROR(VLOOKUP(TblFeedFile[[#This Row],[Leave Type ]],LkupPayType[],2,FALSE),"TBD")</f>
        <v>Unpaid</v>
      </c>
      <c r="AH528" s="22"/>
      <c r="AI528" s="25"/>
      <c r="AJ528" s="25"/>
      <c r="AK528" s="26"/>
    </row>
    <row r="529" spans="1:37" x14ac:dyDescent="0.25">
      <c r="A529" s="21" t="s">
        <v>37</v>
      </c>
      <c r="B529" s="22">
        <v>314304</v>
      </c>
      <c r="C529" s="22">
        <v>26039050</v>
      </c>
      <c r="D529" s="23" t="s">
        <v>2489</v>
      </c>
      <c r="E529" s="22" t="s">
        <v>2490</v>
      </c>
      <c r="F529" s="22" t="s">
        <v>316</v>
      </c>
      <c r="G529" s="22">
        <v>20170401</v>
      </c>
      <c r="H529" s="22">
        <v>20170501</v>
      </c>
      <c r="I529" s="22" t="s">
        <v>36</v>
      </c>
      <c r="J529" s="22"/>
      <c r="K529" s="22"/>
      <c r="L529" s="22" t="s">
        <v>34</v>
      </c>
      <c r="M529" s="22" t="s">
        <v>34</v>
      </c>
      <c r="N529" s="22" t="s">
        <v>35</v>
      </c>
      <c r="O529" s="22" t="s">
        <v>35</v>
      </c>
      <c r="P529" s="22" t="s">
        <v>35</v>
      </c>
      <c r="Q529" s="22" t="s">
        <v>35</v>
      </c>
      <c r="R529" s="22" t="s">
        <v>35</v>
      </c>
      <c r="S529" s="22" t="s">
        <v>34</v>
      </c>
      <c r="T529" s="22"/>
      <c r="U529" s="22"/>
      <c r="V529" s="22"/>
      <c r="W529" s="22"/>
      <c r="X529" s="22"/>
      <c r="Y529" s="22"/>
      <c r="Z529" s="22"/>
      <c r="AA529" s="22"/>
      <c r="AB529" s="22"/>
      <c r="AC529" s="22" t="s">
        <v>1905</v>
      </c>
      <c r="AD529" s="22">
        <v>20170413</v>
      </c>
      <c r="AE529" s="22">
        <v>528</v>
      </c>
      <c r="AF529" s="22"/>
      <c r="AG529" s="22" t="str">
        <f>IFERROR(VLOOKUP(TblFeedFile[[#This Row],[Leave Type ]],LkupPayType[],2,FALSE),"TBD")</f>
        <v>Unpaid</v>
      </c>
      <c r="AH529" s="22"/>
      <c r="AI529" s="25"/>
      <c r="AJ529" s="25"/>
      <c r="AK529" s="26"/>
    </row>
    <row r="530" spans="1:37" x14ac:dyDescent="0.25">
      <c r="A530" s="21" t="s">
        <v>29</v>
      </c>
      <c r="B530" s="22">
        <v>314305</v>
      </c>
      <c r="C530" s="22">
        <v>26072651</v>
      </c>
      <c r="D530" s="23" t="s">
        <v>2027</v>
      </c>
      <c r="E530" s="22" t="s">
        <v>606</v>
      </c>
      <c r="F530" s="22" t="s">
        <v>2028</v>
      </c>
      <c r="G530" s="22">
        <v>20170317</v>
      </c>
      <c r="H530" s="22">
        <v>20170323</v>
      </c>
      <c r="I530" s="22" t="s">
        <v>78</v>
      </c>
      <c r="J530" s="22"/>
      <c r="K530" s="22" t="s">
        <v>219</v>
      </c>
      <c r="L530" s="22" t="s">
        <v>34</v>
      </c>
      <c r="M530" s="22" t="s">
        <v>34</v>
      </c>
      <c r="N530" s="22" t="s">
        <v>35</v>
      </c>
      <c r="O530" s="22" t="s">
        <v>35</v>
      </c>
      <c r="P530" s="22" t="s">
        <v>35</v>
      </c>
      <c r="Q530" s="22" t="s">
        <v>35</v>
      </c>
      <c r="R530" s="22" t="s">
        <v>35</v>
      </c>
      <c r="S530" s="22" t="s">
        <v>34</v>
      </c>
      <c r="T530" s="22"/>
      <c r="U530" s="22"/>
      <c r="V530" s="22"/>
      <c r="W530" s="22"/>
      <c r="X530" s="22"/>
      <c r="Y530" s="22"/>
      <c r="Z530" s="22"/>
      <c r="AA530" s="22"/>
      <c r="AB530" s="22"/>
      <c r="AC530" s="22" t="s">
        <v>1945</v>
      </c>
      <c r="AD530" s="22">
        <v>20170413</v>
      </c>
      <c r="AE530" s="22">
        <v>529</v>
      </c>
      <c r="AF530" s="22"/>
      <c r="AG530" s="22" t="str">
        <f>IFERROR(VLOOKUP(TblFeedFile[[#This Row],[Leave Type ]],LkupPayType[],2,FALSE),"TBD")</f>
        <v>Unpaid</v>
      </c>
      <c r="AH530" s="22"/>
      <c r="AI530" s="25"/>
      <c r="AJ530" s="25"/>
      <c r="AK530" s="26"/>
    </row>
    <row r="531" spans="1:37" x14ac:dyDescent="0.25">
      <c r="A531" s="21" t="s">
        <v>29</v>
      </c>
      <c r="B531" s="22">
        <v>314304</v>
      </c>
      <c r="C531" s="22">
        <v>26095378</v>
      </c>
      <c r="D531" s="23">
        <v>511704048069</v>
      </c>
      <c r="E531" s="22" t="s">
        <v>2491</v>
      </c>
      <c r="F531" s="22" t="s">
        <v>2492</v>
      </c>
      <c r="G531" s="22">
        <v>20170330</v>
      </c>
      <c r="H531" s="22">
        <v>20170719</v>
      </c>
      <c r="I531" s="22" t="s">
        <v>53</v>
      </c>
      <c r="J531" s="22"/>
      <c r="K531" s="22"/>
      <c r="L531" s="22" t="s">
        <v>34</v>
      </c>
      <c r="M531" s="22" t="s">
        <v>34</v>
      </c>
      <c r="N531" s="22" t="s">
        <v>35</v>
      </c>
      <c r="O531" s="22" t="s">
        <v>35</v>
      </c>
      <c r="P531" s="22" t="s">
        <v>35</v>
      </c>
      <c r="Q531" s="22" t="s">
        <v>35</v>
      </c>
      <c r="R531" s="22" t="s">
        <v>35</v>
      </c>
      <c r="S531" s="22" t="s">
        <v>34</v>
      </c>
      <c r="T531" s="22"/>
      <c r="U531" s="22"/>
      <c r="V531" s="22"/>
      <c r="W531" s="22"/>
      <c r="X531" s="22"/>
      <c r="Y531" s="22"/>
      <c r="Z531" s="22"/>
      <c r="AA531" s="22"/>
      <c r="AB531" s="22"/>
      <c r="AC531" s="22" t="s">
        <v>1904</v>
      </c>
      <c r="AD531" s="22">
        <v>20170413</v>
      </c>
      <c r="AE531" s="22">
        <v>530</v>
      </c>
      <c r="AF531" s="22"/>
      <c r="AG531" s="22" t="str">
        <f>IFERROR(VLOOKUP(TblFeedFile[[#This Row],[Leave Type ]],LkupPayType[],2,FALSE),"TBD")</f>
        <v>Paid</v>
      </c>
      <c r="AH531" s="22"/>
      <c r="AI531" s="25"/>
      <c r="AJ531" s="25"/>
      <c r="AK531" s="26"/>
    </row>
    <row r="532" spans="1:37" x14ac:dyDescent="0.25">
      <c r="A532" s="21" t="s">
        <v>37</v>
      </c>
      <c r="B532" s="22">
        <v>314304</v>
      </c>
      <c r="C532" s="22">
        <v>26095378</v>
      </c>
      <c r="D532" s="23">
        <v>511704048069</v>
      </c>
      <c r="E532" s="22" t="s">
        <v>2491</v>
      </c>
      <c r="F532" s="22" t="s">
        <v>2492</v>
      </c>
      <c r="G532" s="22">
        <v>20170403</v>
      </c>
      <c r="H532" s="22">
        <v>20170719</v>
      </c>
      <c r="I532" s="22" t="s">
        <v>155</v>
      </c>
      <c r="J532" s="22"/>
      <c r="K532" s="22"/>
      <c r="L532" s="22" t="s">
        <v>34</v>
      </c>
      <c r="M532" s="22" t="s">
        <v>34</v>
      </c>
      <c r="N532" s="22" t="s">
        <v>35</v>
      </c>
      <c r="O532" s="22" t="s">
        <v>35</v>
      </c>
      <c r="P532" s="22" t="s">
        <v>35</v>
      </c>
      <c r="Q532" s="22" t="s">
        <v>35</v>
      </c>
      <c r="R532" s="22" t="s">
        <v>35</v>
      </c>
      <c r="S532" s="22" t="s">
        <v>34</v>
      </c>
      <c r="T532" s="22"/>
      <c r="U532" s="22"/>
      <c r="V532" s="22"/>
      <c r="W532" s="22"/>
      <c r="X532" s="22"/>
      <c r="Y532" s="22"/>
      <c r="Z532" s="22"/>
      <c r="AA532" s="22"/>
      <c r="AB532" s="22"/>
      <c r="AC532" s="22" t="s">
        <v>1902</v>
      </c>
      <c r="AD532" s="22">
        <v>20170413</v>
      </c>
      <c r="AE532" s="22">
        <v>531</v>
      </c>
      <c r="AF532" s="22"/>
      <c r="AG532" s="22" t="str">
        <f>IFERROR(VLOOKUP(TblFeedFile[[#This Row],[Leave Type ]],LkupPayType[],2,FALSE),"TBD")</f>
        <v>Paid</v>
      </c>
      <c r="AH532" s="22"/>
      <c r="AI532" s="25"/>
      <c r="AJ532" s="25"/>
      <c r="AK532" s="26"/>
    </row>
    <row r="533" spans="1:37" x14ac:dyDescent="0.25">
      <c r="A533" s="21" t="s">
        <v>37</v>
      </c>
      <c r="B533" s="22">
        <v>314304</v>
      </c>
      <c r="C533" s="22">
        <v>26095378</v>
      </c>
      <c r="D533" s="23">
        <v>511704048069</v>
      </c>
      <c r="E533" s="22" t="s">
        <v>2491</v>
      </c>
      <c r="F533" s="22" t="s">
        <v>2492</v>
      </c>
      <c r="G533" s="22">
        <v>20170410</v>
      </c>
      <c r="H533" s="22">
        <v>20170719</v>
      </c>
      <c r="I533" s="22" t="s">
        <v>459</v>
      </c>
      <c r="J533" s="22"/>
      <c r="K533" s="22"/>
      <c r="L533" s="22" t="s">
        <v>34</v>
      </c>
      <c r="M533" s="22" t="s">
        <v>34</v>
      </c>
      <c r="N533" s="22" t="s">
        <v>35</v>
      </c>
      <c r="O533" s="22" t="s">
        <v>35</v>
      </c>
      <c r="P533" s="22" t="s">
        <v>35</v>
      </c>
      <c r="Q533" s="22" t="s">
        <v>35</v>
      </c>
      <c r="R533" s="22" t="s">
        <v>35</v>
      </c>
      <c r="S533" s="22" t="s">
        <v>34</v>
      </c>
      <c r="T533" s="22"/>
      <c r="U533" s="22"/>
      <c r="V533" s="22"/>
      <c r="W533" s="22"/>
      <c r="X533" s="22"/>
      <c r="Y533" s="22"/>
      <c r="Z533" s="22"/>
      <c r="AA533" s="22"/>
      <c r="AB533" s="22"/>
      <c r="AC533" s="22" t="s">
        <v>1896</v>
      </c>
      <c r="AD533" s="22">
        <v>20170413</v>
      </c>
      <c r="AE533" s="22">
        <v>532</v>
      </c>
      <c r="AF533" s="22"/>
      <c r="AG533" s="22" t="str">
        <f>IFERROR(VLOOKUP(TblFeedFile[[#This Row],[Leave Type ]],LkupPayType[],2,FALSE),"TBD")</f>
        <v>Paid</v>
      </c>
      <c r="AH533" s="22"/>
      <c r="AI533" s="25"/>
      <c r="AJ533" s="25"/>
      <c r="AK533" s="26"/>
    </row>
    <row r="534" spans="1:37" x14ac:dyDescent="0.25">
      <c r="A534" s="21" t="s">
        <v>37</v>
      </c>
      <c r="B534" s="22">
        <v>314304</v>
      </c>
      <c r="C534" s="22">
        <v>26095576</v>
      </c>
      <c r="D534" s="23" t="s">
        <v>2030</v>
      </c>
      <c r="E534" s="22" t="s">
        <v>82</v>
      </c>
      <c r="F534" s="22" t="s">
        <v>1245</v>
      </c>
      <c r="G534" s="22">
        <v>20170411</v>
      </c>
      <c r="H534" s="22">
        <v>20170411</v>
      </c>
      <c r="I534" s="22" t="s">
        <v>33</v>
      </c>
      <c r="J534" s="22"/>
      <c r="K534" s="22"/>
      <c r="L534" s="22" t="s">
        <v>34</v>
      </c>
      <c r="M534" s="22" t="s">
        <v>34</v>
      </c>
      <c r="N534" s="22" t="s">
        <v>35</v>
      </c>
      <c r="O534" s="22" t="s">
        <v>35</v>
      </c>
      <c r="P534" s="22" t="s">
        <v>35</v>
      </c>
      <c r="Q534" s="22" t="s">
        <v>35</v>
      </c>
      <c r="R534" s="22" t="s">
        <v>35</v>
      </c>
      <c r="S534" s="22" t="s">
        <v>34</v>
      </c>
      <c r="T534" s="22"/>
      <c r="U534" s="22"/>
      <c r="V534" s="22"/>
      <c r="W534" s="22"/>
      <c r="X534" s="22"/>
      <c r="Y534" s="22"/>
      <c r="Z534" s="22"/>
      <c r="AA534" s="22"/>
      <c r="AB534" s="22"/>
      <c r="AC534" s="22" t="s">
        <v>1935</v>
      </c>
      <c r="AD534" s="22">
        <v>20170413</v>
      </c>
      <c r="AE534" s="22">
        <v>533</v>
      </c>
      <c r="AF534" s="22"/>
      <c r="AG534" s="22" t="str">
        <f>IFERROR(VLOOKUP(TblFeedFile[[#This Row],[Leave Type ]],LkupPayType[],2,FALSE),"TBD")</f>
        <v>Closed</v>
      </c>
      <c r="AH534" s="22"/>
      <c r="AI534" s="25"/>
      <c r="AJ534" s="25"/>
      <c r="AK534" s="26"/>
    </row>
    <row r="535" spans="1:37" x14ac:dyDescent="0.25">
      <c r="A535" s="21" t="s">
        <v>29</v>
      </c>
      <c r="B535" s="22">
        <v>314305</v>
      </c>
      <c r="C535" s="22">
        <v>26101858</v>
      </c>
      <c r="D535" s="23">
        <v>511701098719</v>
      </c>
      <c r="E535" s="22" t="s">
        <v>2493</v>
      </c>
      <c r="F535" s="22" t="s">
        <v>2494</v>
      </c>
      <c r="G535" s="22">
        <v>20170329</v>
      </c>
      <c r="H535" s="22">
        <v>20170510</v>
      </c>
      <c r="I535" s="22" t="s">
        <v>40</v>
      </c>
      <c r="J535" s="22"/>
      <c r="K535" s="22"/>
      <c r="L535" s="22" t="s">
        <v>34</v>
      </c>
      <c r="M535" s="22" t="s">
        <v>34</v>
      </c>
      <c r="N535" s="22" t="s">
        <v>35</v>
      </c>
      <c r="O535" s="22" t="s">
        <v>35</v>
      </c>
      <c r="P535" s="22" t="s">
        <v>35</v>
      </c>
      <c r="Q535" s="22" t="s">
        <v>35</v>
      </c>
      <c r="R535" s="22" t="s">
        <v>35</v>
      </c>
      <c r="S535" s="22" t="s">
        <v>34</v>
      </c>
      <c r="T535" s="22"/>
      <c r="U535" s="22"/>
      <c r="V535" s="22"/>
      <c r="W535" s="22"/>
      <c r="X535" s="22"/>
      <c r="Y535" s="22"/>
      <c r="Z535" s="22"/>
      <c r="AA535" s="22"/>
      <c r="AB535" s="22"/>
      <c r="AC535" s="22" t="s">
        <v>1908</v>
      </c>
      <c r="AD535" s="22">
        <v>20170413</v>
      </c>
      <c r="AE535" s="22">
        <v>534</v>
      </c>
      <c r="AF535" s="22"/>
      <c r="AG535" s="22" t="str">
        <f>IFERROR(VLOOKUP(TblFeedFile[[#This Row],[Leave Type ]],LkupPayType[],2,FALSE),"TBD")</f>
        <v>Paid</v>
      </c>
      <c r="AH535" s="22"/>
      <c r="AI535" s="25"/>
      <c r="AJ535" s="25"/>
      <c r="AK535" s="26"/>
    </row>
    <row r="536" spans="1:37" x14ac:dyDescent="0.25">
      <c r="A536" s="21" t="s">
        <v>37</v>
      </c>
      <c r="B536" s="22">
        <v>314305</v>
      </c>
      <c r="C536" s="22">
        <v>26101858</v>
      </c>
      <c r="D536" s="23">
        <v>511701098719</v>
      </c>
      <c r="E536" s="22" t="s">
        <v>2493</v>
      </c>
      <c r="F536" s="22" t="s">
        <v>2494</v>
      </c>
      <c r="G536" s="22">
        <v>20170329</v>
      </c>
      <c r="H536" s="22">
        <v>20170509</v>
      </c>
      <c r="I536" s="22" t="s">
        <v>40</v>
      </c>
      <c r="J536" s="22"/>
      <c r="K536" s="22"/>
      <c r="L536" s="22" t="s">
        <v>34</v>
      </c>
      <c r="M536" s="22" t="s">
        <v>34</v>
      </c>
      <c r="N536" s="22" t="s">
        <v>35</v>
      </c>
      <c r="O536" s="22" t="s">
        <v>35</v>
      </c>
      <c r="P536" s="22" t="s">
        <v>35</v>
      </c>
      <c r="Q536" s="22" t="s">
        <v>35</v>
      </c>
      <c r="R536" s="22" t="s">
        <v>35</v>
      </c>
      <c r="S536" s="22" t="s">
        <v>34</v>
      </c>
      <c r="T536" s="22"/>
      <c r="U536" s="22"/>
      <c r="V536" s="22"/>
      <c r="W536" s="22"/>
      <c r="X536" s="22"/>
      <c r="Y536" s="22"/>
      <c r="Z536" s="22"/>
      <c r="AA536" s="22"/>
      <c r="AB536" s="22"/>
      <c r="AC536" s="22" t="s">
        <v>1908</v>
      </c>
      <c r="AD536" s="22">
        <v>20170413</v>
      </c>
      <c r="AE536" s="22">
        <v>535</v>
      </c>
      <c r="AF536" s="22"/>
      <c r="AG536" s="22" t="str">
        <f>IFERROR(VLOOKUP(TblFeedFile[[#This Row],[Leave Type ]],LkupPayType[],2,FALSE),"TBD")</f>
        <v>Paid</v>
      </c>
      <c r="AH536" s="22"/>
      <c r="AI536" s="25"/>
      <c r="AJ536" s="25"/>
      <c r="AK536" s="26"/>
    </row>
    <row r="537" spans="1:37" x14ac:dyDescent="0.25">
      <c r="A537" s="21" t="s">
        <v>29</v>
      </c>
      <c r="B537" s="22">
        <v>314304</v>
      </c>
      <c r="C537" s="22">
        <v>26118718</v>
      </c>
      <c r="D537" s="23" t="s">
        <v>2495</v>
      </c>
      <c r="E537" s="22" t="s">
        <v>2496</v>
      </c>
      <c r="F537" s="22" t="s">
        <v>2497</v>
      </c>
      <c r="G537" s="22">
        <v>20170221</v>
      </c>
      <c r="H537" s="22">
        <v>20170403</v>
      </c>
      <c r="I537" s="22" t="s">
        <v>36</v>
      </c>
      <c r="J537" s="22"/>
      <c r="K537" s="22"/>
      <c r="L537" s="22" t="s">
        <v>34</v>
      </c>
      <c r="M537" s="22" t="s">
        <v>34</v>
      </c>
      <c r="N537" s="22" t="s">
        <v>35</v>
      </c>
      <c r="O537" s="22" t="s">
        <v>35</v>
      </c>
      <c r="P537" s="22" t="s">
        <v>35</v>
      </c>
      <c r="Q537" s="22" t="s">
        <v>35</v>
      </c>
      <c r="R537" s="22" t="s">
        <v>35</v>
      </c>
      <c r="S537" s="22" t="s">
        <v>34</v>
      </c>
      <c r="T537" s="22">
        <v>20170403</v>
      </c>
      <c r="U537" s="22"/>
      <c r="V537" s="22"/>
      <c r="W537" s="22"/>
      <c r="X537" s="22"/>
      <c r="Y537" s="22"/>
      <c r="Z537" s="22"/>
      <c r="AA537" s="22"/>
      <c r="AB537" s="22"/>
      <c r="AC537" s="22" t="s">
        <v>1897</v>
      </c>
      <c r="AD537" s="22">
        <v>20170413</v>
      </c>
      <c r="AE537" s="22">
        <v>536</v>
      </c>
      <c r="AF537" s="22"/>
      <c r="AG537" s="22" t="str">
        <f>IFERROR(VLOOKUP(TblFeedFile[[#This Row],[Leave Type ]],LkupPayType[],2,FALSE),"TBD")</f>
        <v>Unpaid</v>
      </c>
      <c r="AH537" s="22"/>
      <c r="AI537" s="25"/>
      <c r="AJ537" s="25"/>
      <c r="AK537" s="26"/>
    </row>
    <row r="538" spans="1:37" x14ac:dyDescent="0.25">
      <c r="A538" s="21" t="s">
        <v>37</v>
      </c>
      <c r="B538" s="22">
        <v>314304</v>
      </c>
      <c r="C538" s="22">
        <v>26118718</v>
      </c>
      <c r="D538" s="23" t="s">
        <v>2495</v>
      </c>
      <c r="E538" s="22" t="s">
        <v>2496</v>
      </c>
      <c r="F538" s="22" t="s">
        <v>2497</v>
      </c>
      <c r="G538" s="22">
        <v>20170221</v>
      </c>
      <c r="H538" s="22">
        <v>20170422</v>
      </c>
      <c r="I538" s="22" t="s">
        <v>36</v>
      </c>
      <c r="J538" s="22"/>
      <c r="K538" s="22"/>
      <c r="L538" s="22" t="s">
        <v>34</v>
      </c>
      <c r="M538" s="22" t="s">
        <v>34</v>
      </c>
      <c r="N538" s="22" t="s">
        <v>35</v>
      </c>
      <c r="O538" s="22" t="s">
        <v>35</v>
      </c>
      <c r="P538" s="22" t="s">
        <v>35</v>
      </c>
      <c r="Q538" s="22" t="s">
        <v>35</v>
      </c>
      <c r="R538" s="22" t="s">
        <v>35</v>
      </c>
      <c r="S538" s="22" t="s">
        <v>34</v>
      </c>
      <c r="T538" s="22"/>
      <c r="U538" s="22"/>
      <c r="V538" s="22"/>
      <c r="W538" s="22"/>
      <c r="X538" s="22"/>
      <c r="Y538" s="22"/>
      <c r="Z538" s="22"/>
      <c r="AA538" s="22"/>
      <c r="AB538" s="22"/>
      <c r="AC538" s="22" t="s">
        <v>1911</v>
      </c>
      <c r="AD538" s="22">
        <v>20170413</v>
      </c>
      <c r="AE538" s="22">
        <v>537</v>
      </c>
      <c r="AF538" s="22"/>
      <c r="AG538" s="22" t="str">
        <f>IFERROR(VLOOKUP(TblFeedFile[[#This Row],[Leave Type ]],LkupPayType[],2,FALSE),"TBD")</f>
        <v>Unpaid</v>
      </c>
      <c r="AH538" s="22"/>
      <c r="AI538" s="25"/>
      <c r="AJ538" s="25"/>
      <c r="AK538" s="26"/>
    </row>
    <row r="539" spans="1:37" x14ac:dyDescent="0.25">
      <c r="A539" s="21" t="s">
        <v>37</v>
      </c>
      <c r="B539" s="22">
        <v>314304</v>
      </c>
      <c r="C539" s="22">
        <v>26165295</v>
      </c>
      <c r="D539" s="23" t="s">
        <v>2498</v>
      </c>
      <c r="E539" s="22" t="s">
        <v>2031</v>
      </c>
      <c r="F539" s="22" t="s">
        <v>178</v>
      </c>
      <c r="G539" s="22">
        <v>20170413</v>
      </c>
      <c r="H539" s="22">
        <v>20170418</v>
      </c>
      <c r="I539" s="22" t="s">
        <v>36</v>
      </c>
      <c r="J539" s="22"/>
      <c r="K539" s="22"/>
      <c r="L539" s="22" t="s">
        <v>34</v>
      </c>
      <c r="M539" s="22" t="s">
        <v>34</v>
      </c>
      <c r="N539" s="22" t="s">
        <v>35</v>
      </c>
      <c r="O539" s="22" t="s">
        <v>35</v>
      </c>
      <c r="P539" s="22" t="s">
        <v>35</v>
      </c>
      <c r="Q539" s="22" t="s">
        <v>35</v>
      </c>
      <c r="R539" s="22" t="s">
        <v>35</v>
      </c>
      <c r="S539" s="22" t="s">
        <v>34</v>
      </c>
      <c r="T539" s="22"/>
      <c r="U539" s="22"/>
      <c r="V539" s="22"/>
      <c r="W539" s="22"/>
      <c r="X539" s="22"/>
      <c r="Y539" s="22"/>
      <c r="Z539" s="22"/>
      <c r="AA539" s="22"/>
      <c r="AB539" s="22"/>
      <c r="AC539" s="22" t="s">
        <v>1905</v>
      </c>
      <c r="AD539" s="22">
        <v>20170413</v>
      </c>
      <c r="AE539" s="22">
        <v>538</v>
      </c>
      <c r="AF539" s="22"/>
      <c r="AG539" s="22" t="str">
        <f>IFERROR(VLOOKUP(TblFeedFile[[#This Row],[Leave Type ]],LkupPayType[],2,FALSE),"TBD")</f>
        <v>Unpaid</v>
      </c>
      <c r="AH539" s="22"/>
      <c r="AI539" s="25"/>
      <c r="AJ539" s="25"/>
      <c r="AK539" s="26"/>
    </row>
    <row r="540" spans="1:37" x14ac:dyDescent="0.25">
      <c r="A540" s="21" t="s">
        <v>29</v>
      </c>
      <c r="B540" s="22">
        <v>314304</v>
      </c>
      <c r="C540" s="22">
        <v>26182460</v>
      </c>
      <c r="D540" s="23">
        <v>531703148253</v>
      </c>
      <c r="E540" s="22" t="s">
        <v>169</v>
      </c>
      <c r="F540" s="22" t="s">
        <v>2499</v>
      </c>
      <c r="G540" s="22">
        <v>20170220</v>
      </c>
      <c r="H540" s="22">
        <v>20170220</v>
      </c>
      <c r="I540" s="22" t="s">
        <v>43</v>
      </c>
      <c r="J540" s="22"/>
      <c r="K540" s="22"/>
      <c r="L540" s="22" t="s">
        <v>34</v>
      </c>
      <c r="M540" s="22" t="s">
        <v>34</v>
      </c>
      <c r="N540" s="22" t="s">
        <v>35</v>
      </c>
      <c r="O540" s="22" t="s">
        <v>35</v>
      </c>
      <c r="P540" s="22" t="s">
        <v>35</v>
      </c>
      <c r="Q540" s="22" t="s">
        <v>35</v>
      </c>
      <c r="R540" s="22" t="s">
        <v>35</v>
      </c>
      <c r="S540" s="22" t="s">
        <v>34</v>
      </c>
      <c r="T540" s="22"/>
      <c r="U540" s="22"/>
      <c r="V540" s="22"/>
      <c r="W540" s="22"/>
      <c r="X540" s="22"/>
      <c r="Y540" s="22"/>
      <c r="Z540" s="22"/>
      <c r="AA540" s="22"/>
      <c r="AB540" s="22"/>
      <c r="AC540" s="22" t="s">
        <v>1949</v>
      </c>
      <c r="AD540" s="22">
        <v>20170413</v>
      </c>
      <c r="AE540" s="22">
        <v>539</v>
      </c>
      <c r="AF540" s="22"/>
      <c r="AG540" s="22" t="str">
        <f>IFERROR(VLOOKUP(TblFeedFile[[#This Row],[Leave Type ]],LkupPayType[],2,FALSE),"TBD")</f>
        <v>Denied</v>
      </c>
      <c r="AH540" s="22"/>
      <c r="AI540" s="25"/>
      <c r="AJ540" s="25"/>
      <c r="AK540" s="26"/>
    </row>
    <row r="541" spans="1:37" x14ac:dyDescent="0.25">
      <c r="A541" s="21" t="s">
        <v>37</v>
      </c>
      <c r="B541" s="22">
        <v>314304</v>
      </c>
      <c r="C541" s="22">
        <v>26182460</v>
      </c>
      <c r="D541" s="23">
        <v>531703148253</v>
      </c>
      <c r="E541" s="22" t="s">
        <v>169</v>
      </c>
      <c r="F541" s="22" t="s">
        <v>2499</v>
      </c>
      <c r="G541" s="22">
        <v>20170220</v>
      </c>
      <c r="H541" s="22">
        <v>20170220</v>
      </c>
      <c r="I541" s="22" t="s">
        <v>43</v>
      </c>
      <c r="J541" s="22"/>
      <c r="K541" s="22"/>
      <c r="L541" s="22" t="s">
        <v>34</v>
      </c>
      <c r="M541" s="22" t="s">
        <v>35</v>
      </c>
      <c r="N541" s="22" t="s">
        <v>35</v>
      </c>
      <c r="O541" s="22" t="s">
        <v>35</v>
      </c>
      <c r="P541" s="22" t="s">
        <v>35</v>
      </c>
      <c r="Q541" s="22" t="s">
        <v>35</v>
      </c>
      <c r="R541" s="22" t="s">
        <v>34</v>
      </c>
      <c r="S541" s="22" t="s">
        <v>34</v>
      </c>
      <c r="T541" s="22"/>
      <c r="U541" s="22"/>
      <c r="V541" s="22"/>
      <c r="W541" s="22"/>
      <c r="X541" s="22"/>
      <c r="Y541" s="22"/>
      <c r="Z541" s="22"/>
      <c r="AA541" s="22"/>
      <c r="AB541" s="22"/>
      <c r="AC541" s="22" t="s">
        <v>1949</v>
      </c>
      <c r="AD541" s="22">
        <v>20170413</v>
      </c>
      <c r="AE541" s="22">
        <v>540</v>
      </c>
      <c r="AF541" s="22"/>
      <c r="AG541" s="22" t="str">
        <f>IFERROR(VLOOKUP(TblFeedFile[[#This Row],[Leave Type ]],LkupPayType[],2,FALSE),"TBD")</f>
        <v>Denied</v>
      </c>
      <c r="AH541" s="22"/>
      <c r="AI541" s="25"/>
      <c r="AJ541" s="25"/>
      <c r="AK541" s="26"/>
    </row>
    <row r="542" spans="1:37" x14ac:dyDescent="0.25">
      <c r="A542" s="21" t="s">
        <v>37</v>
      </c>
      <c r="B542" s="22">
        <v>314304</v>
      </c>
      <c r="C542" s="22">
        <v>26182460</v>
      </c>
      <c r="D542" s="23" t="s">
        <v>2500</v>
      </c>
      <c r="E542" s="22" t="s">
        <v>169</v>
      </c>
      <c r="F542" s="22" t="s">
        <v>2499</v>
      </c>
      <c r="G542" s="22">
        <v>20170405</v>
      </c>
      <c r="H542" s="22">
        <v>20170419</v>
      </c>
      <c r="I542" s="22" t="s">
        <v>36</v>
      </c>
      <c r="J542" s="22"/>
      <c r="K542" s="22"/>
      <c r="L542" s="22" t="s">
        <v>34</v>
      </c>
      <c r="M542" s="22" t="s">
        <v>35</v>
      </c>
      <c r="N542" s="22" t="s">
        <v>35</v>
      </c>
      <c r="O542" s="22" t="s">
        <v>35</v>
      </c>
      <c r="P542" s="22" t="s">
        <v>35</v>
      </c>
      <c r="Q542" s="22" t="s">
        <v>35</v>
      </c>
      <c r="R542" s="22" t="s">
        <v>34</v>
      </c>
      <c r="S542" s="22" t="s">
        <v>34</v>
      </c>
      <c r="T542" s="22"/>
      <c r="U542" s="22"/>
      <c r="V542" s="22"/>
      <c r="W542" s="22"/>
      <c r="X542" s="22"/>
      <c r="Y542" s="22"/>
      <c r="Z542" s="22"/>
      <c r="AA542" s="22"/>
      <c r="AB542" s="22"/>
      <c r="AC542" s="22" t="s">
        <v>1935</v>
      </c>
      <c r="AD542" s="22">
        <v>20170413</v>
      </c>
      <c r="AE542" s="22">
        <v>541</v>
      </c>
      <c r="AF542" s="22"/>
      <c r="AG542" s="22" t="str">
        <f>IFERROR(VLOOKUP(TblFeedFile[[#This Row],[Leave Type ]],LkupPayType[],2,FALSE),"TBD")</f>
        <v>Unpaid</v>
      </c>
      <c r="AH542" s="22"/>
      <c r="AI542" s="25"/>
      <c r="AJ542" s="25"/>
      <c r="AK542" s="26"/>
    </row>
    <row r="543" spans="1:37" x14ac:dyDescent="0.25">
      <c r="A543" s="21" t="s">
        <v>29</v>
      </c>
      <c r="B543" s="22">
        <v>314301</v>
      </c>
      <c r="C543" s="22">
        <v>26183327</v>
      </c>
      <c r="D543" s="23" t="s">
        <v>2501</v>
      </c>
      <c r="E543" s="22" t="s">
        <v>2502</v>
      </c>
      <c r="F543" s="22" t="s">
        <v>2503</v>
      </c>
      <c r="G543" s="22">
        <v>20170322</v>
      </c>
      <c r="H543" s="22">
        <v>20170327</v>
      </c>
      <c r="I543" s="22" t="s">
        <v>49</v>
      </c>
      <c r="J543" s="22"/>
      <c r="K543" s="22"/>
      <c r="L543" s="22" t="s">
        <v>34</v>
      </c>
      <c r="M543" s="22" t="s">
        <v>34</v>
      </c>
      <c r="N543" s="22" t="s">
        <v>35</v>
      </c>
      <c r="O543" s="22" t="s">
        <v>35</v>
      </c>
      <c r="P543" s="22" t="s">
        <v>35</v>
      </c>
      <c r="Q543" s="22" t="s">
        <v>35</v>
      </c>
      <c r="R543" s="22" t="s">
        <v>35</v>
      </c>
      <c r="S543" s="22" t="s">
        <v>34</v>
      </c>
      <c r="T543" s="22">
        <v>20170328</v>
      </c>
      <c r="U543" s="22"/>
      <c r="V543" s="22"/>
      <c r="W543" s="22"/>
      <c r="X543" s="22"/>
      <c r="Y543" s="22"/>
      <c r="Z543" s="22"/>
      <c r="AA543" s="22"/>
      <c r="AB543" s="22"/>
      <c r="AC543" s="22" t="s">
        <v>1912</v>
      </c>
      <c r="AD543" s="22">
        <v>20170413</v>
      </c>
      <c r="AE543" s="22">
        <v>542</v>
      </c>
      <c r="AF543" s="22"/>
      <c r="AG543" s="22" t="str">
        <f>IFERROR(VLOOKUP(TblFeedFile[[#This Row],[Leave Type ]],LkupPayType[],2,FALSE),"TBD")</f>
        <v>Unpaid</v>
      </c>
      <c r="AH543" s="22"/>
      <c r="AI543" s="25"/>
      <c r="AJ543" s="25"/>
      <c r="AK543" s="26"/>
    </row>
    <row r="544" spans="1:37" x14ac:dyDescent="0.25">
      <c r="A544" s="21" t="s">
        <v>37</v>
      </c>
      <c r="B544" s="22">
        <v>314301</v>
      </c>
      <c r="C544" s="22">
        <v>26183327</v>
      </c>
      <c r="D544" s="23" t="s">
        <v>2501</v>
      </c>
      <c r="E544" s="22" t="s">
        <v>2502</v>
      </c>
      <c r="F544" s="22" t="s">
        <v>2503</v>
      </c>
      <c r="G544" s="22">
        <v>20170322</v>
      </c>
      <c r="H544" s="22">
        <v>20170326</v>
      </c>
      <c r="I544" s="22" t="s">
        <v>49</v>
      </c>
      <c r="J544" s="22"/>
      <c r="K544" s="22"/>
      <c r="L544" s="22" t="s">
        <v>34</v>
      </c>
      <c r="M544" s="22" t="s">
        <v>34</v>
      </c>
      <c r="N544" s="22" t="s">
        <v>35</v>
      </c>
      <c r="O544" s="22" t="s">
        <v>35</v>
      </c>
      <c r="P544" s="22" t="s">
        <v>35</v>
      </c>
      <c r="Q544" s="22" t="s">
        <v>35</v>
      </c>
      <c r="R544" s="22" t="s">
        <v>35</v>
      </c>
      <c r="S544" s="22" t="s">
        <v>34</v>
      </c>
      <c r="T544" s="22">
        <v>20170328</v>
      </c>
      <c r="U544" s="22"/>
      <c r="V544" s="22"/>
      <c r="W544" s="22"/>
      <c r="X544" s="22"/>
      <c r="Y544" s="22"/>
      <c r="Z544" s="22"/>
      <c r="AA544" s="22"/>
      <c r="AB544" s="22"/>
      <c r="AC544" s="22" t="s">
        <v>1912</v>
      </c>
      <c r="AD544" s="22">
        <v>20170413</v>
      </c>
      <c r="AE544" s="22">
        <v>543</v>
      </c>
      <c r="AF544" s="22"/>
      <c r="AG544" s="22" t="str">
        <f>IFERROR(VLOOKUP(TblFeedFile[[#This Row],[Leave Type ]],LkupPayType[],2,FALSE),"TBD")</f>
        <v>Unpaid</v>
      </c>
      <c r="AH544" s="22"/>
      <c r="AI544" s="25"/>
      <c r="AJ544" s="25"/>
      <c r="AK544" s="26" t="s">
        <v>35</v>
      </c>
    </row>
    <row r="545" spans="1:37" x14ac:dyDescent="0.25">
      <c r="A545" s="21" t="s">
        <v>29</v>
      </c>
      <c r="B545" s="22">
        <v>314304</v>
      </c>
      <c r="C545" s="22">
        <v>26229075</v>
      </c>
      <c r="D545" s="23">
        <v>531702038483</v>
      </c>
      <c r="E545" s="22" t="s">
        <v>161</v>
      </c>
      <c r="F545" s="22" t="s">
        <v>1553</v>
      </c>
      <c r="G545" s="22">
        <v>20170210</v>
      </c>
      <c r="H545" s="22">
        <v>20170412</v>
      </c>
      <c r="I545" s="22" t="s">
        <v>40</v>
      </c>
      <c r="J545" s="22"/>
      <c r="K545" s="22"/>
      <c r="L545" s="22" t="s">
        <v>34</v>
      </c>
      <c r="M545" s="22" t="s">
        <v>34</v>
      </c>
      <c r="N545" s="22" t="s">
        <v>35</v>
      </c>
      <c r="O545" s="22" t="s">
        <v>35</v>
      </c>
      <c r="P545" s="22" t="s">
        <v>35</v>
      </c>
      <c r="Q545" s="22" t="s">
        <v>35</v>
      </c>
      <c r="R545" s="22" t="s">
        <v>35</v>
      </c>
      <c r="S545" s="22" t="s">
        <v>34</v>
      </c>
      <c r="T545" s="22"/>
      <c r="U545" s="22"/>
      <c r="V545" s="22"/>
      <c r="W545" s="22"/>
      <c r="X545" s="22"/>
      <c r="Y545" s="22"/>
      <c r="Z545" s="22"/>
      <c r="AA545" s="22"/>
      <c r="AB545" s="22"/>
      <c r="AC545" s="22" t="s">
        <v>1912</v>
      </c>
      <c r="AD545" s="22">
        <v>20170413</v>
      </c>
      <c r="AE545" s="22">
        <v>544</v>
      </c>
      <c r="AF545" s="22"/>
      <c r="AG545" s="22" t="str">
        <f>IFERROR(VLOOKUP(TblFeedFile[[#This Row],[Leave Type ]],LkupPayType[],2,FALSE),"TBD")</f>
        <v>Paid</v>
      </c>
      <c r="AH545" s="22"/>
      <c r="AI545" s="25"/>
      <c r="AJ545" s="25"/>
      <c r="AK545" s="26"/>
    </row>
    <row r="546" spans="1:37" x14ac:dyDescent="0.25">
      <c r="A546" s="21" t="s">
        <v>37</v>
      </c>
      <c r="B546" s="22">
        <v>314304</v>
      </c>
      <c r="C546" s="22">
        <v>26229075</v>
      </c>
      <c r="D546" s="23">
        <v>531702038483</v>
      </c>
      <c r="E546" s="22" t="s">
        <v>161</v>
      </c>
      <c r="F546" s="22" t="s">
        <v>1553</v>
      </c>
      <c r="G546" s="22">
        <v>20170210</v>
      </c>
      <c r="H546" s="22">
        <v>20170417</v>
      </c>
      <c r="I546" s="22" t="s">
        <v>40</v>
      </c>
      <c r="J546" s="22"/>
      <c r="K546" s="22"/>
      <c r="L546" s="22" t="s">
        <v>34</v>
      </c>
      <c r="M546" s="22" t="s">
        <v>34</v>
      </c>
      <c r="N546" s="22" t="s">
        <v>35</v>
      </c>
      <c r="O546" s="22" t="s">
        <v>35</v>
      </c>
      <c r="P546" s="22" t="s">
        <v>35</v>
      </c>
      <c r="Q546" s="22" t="s">
        <v>35</v>
      </c>
      <c r="R546" s="22" t="s">
        <v>35</v>
      </c>
      <c r="S546" s="22" t="s">
        <v>34</v>
      </c>
      <c r="T546" s="22"/>
      <c r="U546" s="22"/>
      <c r="V546" s="22"/>
      <c r="W546" s="22"/>
      <c r="X546" s="22"/>
      <c r="Y546" s="22"/>
      <c r="Z546" s="22"/>
      <c r="AA546" s="22"/>
      <c r="AB546" s="22"/>
      <c r="AC546" s="22" t="s">
        <v>1912</v>
      </c>
      <c r="AD546" s="22">
        <v>20170413</v>
      </c>
      <c r="AE546" s="22">
        <v>545</v>
      </c>
      <c r="AF546" s="22"/>
      <c r="AG546" s="22" t="str">
        <f>IFERROR(VLOOKUP(TblFeedFile[[#This Row],[Leave Type ]],LkupPayType[],2,FALSE),"TBD")</f>
        <v>Paid</v>
      </c>
      <c r="AH546" s="22"/>
      <c r="AI546" s="25"/>
      <c r="AJ546" s="25"/>
      <c r="AK546" s="26"/>
    </row>
    <row r="547" spans="1:37" x14ac:dyDescent="0.25">
      <c r="A547" s="21" t="s">
        <v>37</v>
      </c>
      <c r="B547" s="22">
        <v>314304</v>
      </c>
      <c r="C547" s="22">
        <v>26229075</v>
      </c>
      <c r="D547" s="23">
        <v>531702038483</v>
      </c>
      <c r="E547" s="22" t="s">
        <v>161</v>
      </c>
      <c r="F547" s="22" t="s">
        <v>1553</v>
      </c>
      <c r="G547" s="22">
        <v>20170407</v>
      </c>
      <c r="H547" s="22">
        <v>20170417</v>
      </c>
      <c r="I547" s="22" t="s">
        <v>1892</v>
      </c>
      <c r="J547" s="22"/>
      <c r="K547" s="22"/>
      <c r="L547" s="22" t="s">
        <v>34</v>
      </c>
      <c r="M547" s="22" t="s">
        <v>34</v>
      </c>
      <c r="N547" s="22" t="s">
        <v>35</v>
      </c>
      <c r="O547" s="22" t="s">
        <v>35</v>
      </c>
      <c r="P547" s="22" t="s">
        <v>35</v>
      </c>
      <c r="Q547" s="22" t="s">
        <v>35</v>
      </c>
      <c r="R547" s="22" t="s">
        <v>35</v>
      </c>
      <c r="S547" s="22" t="s">
        <v>34</v>
      </c>
      <c r="T547" s="22"/>
      <c r="U547" s="22"/>
      <c r="V547" s="22"/>
      <c r="W547" s="22"/>
      <c r="X547" s="22"/>
      <c r="Y547" s="22"/>
      <c r="Z547" s="22"/>
      <c r="AA547" s="22"/>
      <c r="AB547" s="22"/>
      <c r="AC547" s="22" t="s">
        <v>1916</v>
      </c>
      <c r="AD547" s="22">
        <v>20170413</v>
      </c>
      <c r="AE547" s="22">
        <v>546</v>
      </c>
      <c r="AF547" s="22"/>
      <c r="AG547" s="22" t="str">
        <f>IFERROR(VLOOKUP(TblFeedFile[[#This Row],[Leave Type ]],LkupPayType[],2,FALSE),"TBD")</f>
        <v>Paid</v>
      </c>
      <c r="AH547" s="22"/>
      <c r="AI547" s="25"/>
      <c r="AJ547" s="25"/>
      <c r="AK547" s="26"/>
    </row>
    <row r="548" spans="1:37" x14ac:dyDescent="0.25">
      <c r="A548" s="21" t="s">
        <v>29</v>
      </c>
      <c r="B548" s="22">
        <v>314304</v>
      </c>
      <c r="C548" s="22">
        <v>26262227</v>
      </c>
      <c r="D548" s="23" t="s">
        <v>2504</v>
      </c>
      <c r="E548" s="22" t="s">
        <v>2026</v>
      </c>
      <c r="F548" s="22" t="s">
        <v>2505</v>
      </c>
      <c r="G548" s="22">
        <v>20170208</v>
      </c>
      <c r="H548" s="22">
        <v>20170301</v>
      </c>
      <c r="I548" s="22" t="s">
        <v>36</v>
      </c>
      <c r="J548" s="22"/>
      <c r="K548" s="22"/>
      <c r="L548" s="22" t="s">
        <v>35</v>
      </c>
      <c r="M548" s="22"/>
      <c r="N548" s="22"/>
      <c r="O548" s="22"/>
      <c r="P548" s="22"/>
      <c r="Q548" s="22"/>
      <c r="R548" s="22"/>
      <c r="S548" s="22"/>
      <c r="T548" s="22">
        <v>20170302</v>
      </c>
      <c r="U548" s="22"/>
      <c r="V548" s="22"/>
      <c r="W548" s="22"/>
      <c r="X548" s="22"/>
      <c r="Y548" s="22"/>
      <c r="Z548" s="22"/>
      <c r="AA548" s="22"/>
      <c r="AB548" s="22"/>
      <c r="AC548" s="22" t="s">
        <v>1927</v>
      </c>
      <c r="AD548" s="22">
        <v>20170413</v>
      </c>
      <c r="AE548" s="22">
        <v>547</v>
      </c>
      <c r="AF548" s="22"/>
      <c r="AG548" s="22" t="str">
        <f>IFERROR(VLOOKUP(TblFeedFile[[#This Row],[Leave Type ]],LkupPayType[],2,FALSE),"TBD")</f>
        <v>Unpaid</v>
      </c>
      <c r="AH548" s="22"/>
      <c r="AI548" s="25"/>
      <c r="AJ548" s="25"/>
      <c r="AK548" s="26"/>
    </row>
    <row r="549" spans="1:37" x14ac:dyDescent="0.25">
      <c r="A549" s="21" t="s">
        <v>29</v>
      </c>
      <c r="B549" s="22">
        <v>314304</v>
      </c>
      <c r="C549" s="22">
        <v>26262227</v>
      </c>
      <c r="D549" s="23">
        <v>551701318885</v>
      </c>
      <c r="E549" s="22" t="s">
        <v>2026</v>
      </c>
      <c r="F549" s="22" t="s">
        <v>2505</v>
      </c>
      <c r="G549" s="22">
        <v>20170208</v>
      </c>
      <c r="H549" s="22">
        <v>20170402</v>
      </c>
      <c r="I549" s="22" t="s">
        <v>40</v>
      </c>
      <c r="J549" s="22"/>
      <c r="K549" s="22"/>
      <c r="L549" s="22" t="s">
        <v>35</v>
      </c>
      <c r="M549" s="22"/>
      <c r="N549" s="22"/>
      <c r="O549" s="22"/>
      <c r="P549" s="22"/>
      <c r="Q549" s="22"/>
      <c r="R549" s="22"/>
      <c r="S549" s="22"/>
      <c r="T549" s="22">
        <v>20170403</v>
      </c>
      <c r="U549" s="22"/>
      <c r="V549" s="22"/>
      <c r="W549" s="22"/>
      <c r="X549" s="22"/>
      <c r="Y549" s="22">
        <v>170</v>
      </c>
      <c r="Z549" s="22" t="s">
        <v>341</v>
      </c>
      <c r="AA549" s="22">
        <v>20170208</v>
      </c>
      <c r="AB549" s="22">
        <v>20170402</v>
      </c>
      <c r="AC549" s="22" t="s">
        <v>2506</v>
      </c>
      <c r="AD549" s="22">
        <v>20170413</v>
      </c>
      <c r="AE549" s="22">
        <v>548</v>
      </c>
      <c r="AF549" s="22"/>
      <c r="AG549" s="22" t="str">
        <f>IFERROR(VLOOKUP(TblFeedFile[[#This Row],[Leave Type ]],LkupPayType[],2,FALSE),"TBD")</f>
        <v>Paid</v>
      </c>
      <c r="AH549" s="22"/>
      <c r="AI549" s="24"/>
      <c r="AJ549" s="25"/>
      <c r="AK549" s="26"/>
    </row>
    <row r="550" spans="1:37" x14ac:dyDescent="0.25">
      <c r="A550" s="21" t="s">
        <v>37</v>
      </c>
      <c r="B550" s="22">
        <v>314304</v>
      </c>
      <c r="C550" s="22">
        <v>26262227</v>
      </c>
      <c r="D550" s="23">
        <v>551701318885</v>
      </c>
      <c r="E550" s="22" t="s">
        <v>2026</v>
      </c>
      <c r="F550" s="22" t="s">
        <v>2505</v>
      </c>
      <c r="G550" s="22">
        <v>20170208</v>
      </c>
      <c r="H550" s="22">
        <v>20170426</v>
      </c>
      <c r="I550" s="22" t="s">
        <v>40</v>
      </c>
      <c r="J550" s="22"/>
      <c r="K550" s="22"/>
      <c r="L550" s="22" t="s">
        <v>35</v>
      </c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>
        <v>170</v>
      </c>
      <c r="Z550" s="22" t="s">
        <v>341</v>
      </c>
      <c r="AA550" s="22">
        <v>20170208</v>
      </c>
      <c r="AB550" s="22">
        <v>20170402</v>
      </c>
      <c r="AC550" s="22" t="s">
        <v>2507</v>
      </c>
      <c r="AD550" s="22">
        <v>20170413</v>
      </c>
      <c r="AE550" s="22">
        <v>549</v>
      </c>
      <c r="AF550" s="22"/>
      <c r="AG550" s="22" t="str">
        <f>IFERROR(VLOOKUP(TblFeedFile[[#This Row],[Leave Type ]],LkupPayType[],2,FALSE),"TBD")</f>
        <v>Paid</v>
      </c>
      <c r="AH550" s="22"/>
      <c r="AI550" s="24"/>
      <c r="AJ550" s="25"/>
      <c r="AK550" s="26"/>
    </row>
    <row r="551" spans="1:37" x14ac:dyDescent="0.25">
      <c r="A551" s="21" t="s">
        <v>37</v>
      </c>
      <c r="B551" s="22">
        <v>314304</v>
      </c>
      <c r="C551" s="22">
        <v>26262227</v>
      </c>
      <c r="D551" s="23" t="s">
        <v>2504</v>
      </c>
      <c r="E551" s="22" t="s">
        <v>2026</v>
      </c>
      <c r="F551" s="22" t="s">
        <v>2505</v>
      </c>
      <c r="G551" s="22">
        <v>20170403</v>
      </c>
      <c r="H551" s="22">
        <v>20170426</v>
      </c>
      <c r="I551" s="22" t="s">
        <v>78</v>
      </c>
      <c r="J551" s="22"/>
      <c r="K551" s="22" t="s">
        <v>79</v>
      </c>
      <c r="L551" s="22" t="s">
        <v>35</v>
      </c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 t="s">
        <v>1923</v>
      </c>
      <c r="AD551" s="22">
        <v>20170413</v>
      </c>
      <c r="AE551" s="22">
        <v>550</v>
      </c>
      <c r="AF551" s="22"/>
      <c r="AG551" s="22" t="str">
        <f>IFERROR(VLOOKUP(TblFeedFile[[#This Row],[Leave Type ]],LkupPayType[],2,FALSE),"TBD")</f>
        <v>Unpaid</v>
      </c>
      <c r="AH551" s="22"/>
      <c r="AI551" s="25"/>
      <c r="AJ551" s="25"/>
      <c r="AK551" s="26"/>
    </row>
    <row r="552" spans="1:37" x14ac:dyDescent="0.25">
      <c r="A552" s="21" t="s">
        <v>37</v>
      </c>
      <c r="B552" s="22">
        <v>314304</v>
      </c>
      <c r="C552" s="22">
        <v>26342046</v>
      </c>
      <c r="D552" s="23">
        <v>521704108902</v>
      </c>
      <c r="E552" s="22" t="s">
        <v>2508</v>
      </c>
      <c r="F552" s="22" t="s">
        <v>2509</v>
      </c>
      <c r="G552" s="22">
        <v>20170408</v>
      </c>
      <c r="H552" s="22">
        <v>20170721</v>
      </c>
      <c r="I552" s="22" t="s">
        <v>40</v>
      </c>
      <c r="J552" s="22"/>
      <c r="K552" s="22"/>
      <c r="L552" s="22" t="s">
        <v>34</v>
      </c>
      <c r="M552" s="22" t="s">
        <v>34</v>
      </c>
      <c r="N552" s="22" t="s">
        <v>35</v>
      </c>
      <c r="O552" s="22" t="s">
        <v>35</v>
      </c>
      <c r="P552" s="22" t="s">
        <v>35</v>
      </c>
      <c r="Q552" s="22" t="s">
        <v>35</v>
      </c>
      <c r="R552" s="22" t="s">
        <v>35</v>
      </c>
      <c r="S552" s="22" t="s">
        <v>34</v>
      </c>
      <c r="T552" s="22"/>
      <c r="U552" s="22"/>
      <c r="V552" s="22"/>
      <c r="W552" s="22"/>
      <c r="X552" s="22"/>
      <c r="Y552" s="22"/>
      <c r="Z552" s="22"/>
      <c r="AA552" s="22"/>
      <c r="AB552" s="22"/>
      <c r="AC552" s="22" t="s">
        <v>1904</v>
      </c>
      <c r="AD552" s="22">
        <v>20170413</v>
      </c>
      <c r="AE552" s="22">
        <v>551</v>
      </c>
      <c r="AF552" s="22"/>
      <c r="AG552" s="22" t="str">
        <f>IFERROR(VLOOKUP(TblFeedFile[[#This Row],[Leave Type ]],LkupPayType[],2,FALSE),"TBD")</f>
        <v>Paid</v>
      </c>
      <c r="AH552" s="22"/>
      <c r="AI552" s="25"/>
      <c r="AJ552" s="25"/>
      <c r="AK552" s="26"/>
    </row>
    <row r="553" spans="1:37" x14ac:dyDescent="0.25">
      <c r="A553" s="21" t="s">
        <v>37</v>
      </c>
      <c r="B553" s="22">
        <v>314304</v>
      </c>
      <c r="C553" s="22">
        <v>26370001</v>
      </c>
      <c r="D553" s="23">
        <v>501704078780</v>
      </c>
      <c r="E553" s="22" t="s">
        <v>171</v>
      </c>
      <c r="F553" s="22" t="s">
        <v>2510</v>
      </c>
      <c r="G553" s="22">
        <v>20170411</v>
      </c>
      <c r="H553" s="22">
        <v>20170504</v>
      </c>
      <c r="I553" s="22" t="s">
        <v>40</v>
      </c>
      <c r="J553" s="22"/>
      <c r="K553" s="22"/>
      <c r="L553" s="22" t="s">
        <v>34</v>
      </c>
      <c r="M553" s="22" t="s">
        <v>34</v>
      </c>
      <c r="N553" s="22" t="s">
        <v>35</v>
      </c>
      <c r="O553" s="22" t="s">
        <v>35</v>
      </c>
      <c r="P553" s="22" t="s">
        <v>35</v>
      </c>
      <c r="Q553" s="22" t="s">
        <v>35</v>
      </c>
      <c r="R553" s="22" t="s">
        <v>35</v>
      </c>
      <c r="S553" s="22" t="s">
        <v>34</v>
      </c>
      <c r="T553" s="22"/>
      <c r="U553" s="22"/>
      <c r="V553" s="22"/>
      <c r="W553" s="22"/>
      <c r="X553" s="22"/>
      <c r="Y553" s="22"/>
      <c r="Z553" s="22"/>
      <c r="AA553" s="22"/>
      <c r="AB553" s="22"/>
      <c r="AC553" s="22" t="s">
        <v>1897</v>
      </c>
      <c r="AD553" s="22">
        <v>20170413</v>
      </c>
      <c r="AE553" s="22">
        <v>552</v>
      </c>
      <c r="AF553" s="22"/>
      <c r="AG553" s="22" t="str">
        <f>IFERROR(VLOOKUP(TblFeedFile[[#This Row],[Leave Type ]],LkupPayType[],2,FALSE),"TBD")</f>
        <v>Paid</v>
      </c>
      <c r="AH553" s="22"/>
      <c r="AI553" s="25"/>
      <c r="AJ553" s="25"/>
      <c r="AK553" s="26"/>
    </row>
    <row r="554" spans="1:37" x14ac:dyDescent="0.25">
      <c r="A554" s="21" t="s">
        <v>37</v>
      </c>
      <c r="B554" s="22">
        <v>314304</v>
      </c>
      <c r="C554" s="22">
        <v>26382963</v>
      </c>
      <c r="D554" s="23" t="s">
        <v>2511</v>
      </c>
      <c r="E554" s="22" t="s">
        <v>522</v>
      </c>
      <c r="F554" s="22" t="s">
        <v>66</v>
      </c>
      <c r="G554" s="22">
        <v>20170412</v>
      </c>
      <c r="H554" s="22">
        <v>20170704</v>
      </c>
      <c r="I554" s="22" t="s">
        <v>223</v>
      </c>
      <c r="J554" s="22"/>
      <c r="K554" s="22"/>
      <c r="L554" s="22" t="s">
        <v>34</v>
      </c>
      <c r="M554" s="22" t="s">
        <v>34</v>
      </c>
      <c r="N554" s="22" t="s">
        <v>35</v>
      </c>
      <c r="O554" s="22" t="s">
        <v>35</v>
      </c>
      <c r="P554" s="22" t="s">
        <v>35</v>
      </c>
      <c r="Q554" s="22" t="s">
        <v>35</v>
      </c>
      <c r="R554" s="22" t="s">
        <v>35</v>
      </c>
      <c r="S554" s="22" t="s">
        <v>34</v>
      </c>
      <c r="T554" s="22"/>
      <c r="U554" s="22"/>
      <c r="V554" s="22"/>
      <c r="W554" s="22"/>
      <c r="X554" s="22"/>
      <c r="Y554" s="22"/>
      <c r="Z554" s="22"/>
      <c r="AA554" s="22"/>
      <c r="AB554" s="22"/>
      <c r="AC554" s="22" t="s">
        <v>1927</v>
      </c>
      <c r="AD554" s="22">
        <v>20170413</v>
      </c>
      <c r="AE554" s="22">
        <v>553</v>
      </c>
      <c r="AF554" s="22"/>
      <c r="AG554" s="22" t="str">
        <f>IFERROR(VLOOKUP(TblFeedFile[[#This Row],[Leave Type ]],LkupPayType[],2,FALSE),"TBD")</f>
        <v>Paid</v>
      </c>
      <c r="AH554" s="22"/>
      <c r="AI554" s="25"/>
      <c r="AJ554" s="25"/>
      <c r="AK554" s="26"/>
    </row>
    <row r="555" spans="1:37" x14ac:dyDescent="0.25">
      <c r="A555" s="21" t="s">
        <v>37</v>
      </c>
      <c r="B555" s="22">
        <v>314304</v>
      </c>
      <c r="C555" s="22">
        <v>26400840</v>
      </c>
      <c r="D555" s="23">
        <v>571704128647</v>
      </c>
      <c r="E555" s="22" t="s">
        <v>2032</v>
      </c>
      <c r="F555" s="22" t="s">
        <v>260</v>
      </c>
      <c r="G555" s="22">
        <v>20170407</v>
      </c>
      <c r="H555" s="22">
        <v>20170507</v>
      </c>
      <c r="I555" s="22" t="s">
        <v>53</v>
      </c>
      <c r="J555" s="22"/>
      <c r="K555" s="22"/>
      <c r="L555" s="22" t="s">
        <v>34</v>
      </c>
      <c r="M555" s="22" t="s">
        <v>34</v>
      </c>
      <c r="N555" s="22" t="s">
        <v>34</v>
      </c>
      <c r="O555" s="22" t="s">
        <v>35</v>
      </c>
      <c r="P555" s="22" t="s">
        <v>35</v>
      </c>
      <c r="Q555" s="22" t="s">
        <v>35</v>
      </c>
      <c r="R555" s="22" t="s">
        <v>35</v>
      </c>
      <c r="S555" s="22" t="s">
        <v>35</v>
      </c>
      <c r="T555" s="22"/>
      <c r="U555" s="22"/>
      <c r="V555" s="22"/>
      <c r="W555" s="22"/>
      <c r="X555" s="22"/>
      <c r="Y555" s="22"/>
      <c r="Z555" s="22"/>
      <c r="AA555" s="22"/>
      <c r="AB555" s="22"/>
      <c r="AC555" s="22" t="s">
        <v>1900</v>
      </c>
      <c r="AD555" s="22">
        <v>20170413</v>
      </c>
      <c r="AE555" s="22">
        <v>554</v>
      </c>
      <c r="AF555" s="22"/>
      <c r="AG555" s="22" t="str">
        <f>IFERROR(VLOOKUP(TblFeedFile[[#This Row],[Leave Type ]],LkupPayType[],2,FALSE),"TBD")</f>
        <v>Paid</v>
      </c>
      <c r="AH555" s="22"/>
      <c r="AI555" s="25"/>
      <c r="AJ555" s="25"/>
      <c r="AK555" s="26"/>
    </row>
    <row r="556" spans="1:37" x14ac:dyDescent="0.25">
      <c r="A556" s="21" t="s">
        <v>29</v>
      </c>
      <c r="B556" s="22">
        <v>314304</v>
      </c>
      <c r="C556" s="22">
        <v>26405041</v>
      </c>
      <c r="D556" s="23">
        <v>541703168794</v>
      </c>
      <c r="E556" s="22" t="s">
        <v>277</v>
      </c>
      <c r="F556" s="22" t="s">
        <v>2512</v>
      </c>
      <c r="G556" s="22">
        <v>20170329</v>
      </c>
      <c r="H556" s="22">
        <v>20170723</v>
      </c>
      <c r="I556" s="22" t="s">
        <v>459</v>
      </c>
      <c r="J556" s="22"/>
      <c r="K556" s="22"/>
      <c r="L556" s="22" t="s">
        <v>35</v>
      </c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 t="s">
        <v>1936</v>
      </c>
      <c r="AD556" s="22">
        <v>20170413</v>
      </c>
      <c r="AE556" s="22">
        <v>555</v>
      </c>
      <c r="AF556" s="22"/>
      <c r="AG556" s="22" t="str">
        <f>IFERROR(VLOOKUP(TblFeedFile[[#This Row],[Leave Type ]],LkupPayType[],2,FALSE),"TBD")</f>
        <v>Paid</v>
      </c>
      <c r="AH556" s="22"/>
      <c r="AI556" s="25"/>
      <c r="AJ556" s="25"/>
      <c r="AK556" s="26"/>
    </row>
    <row r="557" spans="1:37" x14ac:dyDescent="0.25">
      <c r="A557" s="21" t="s">
        <v>29</v>
      </c>
      <c r="B557" s="22">
        <v>314304</v>
      </c>
      <c r="C557" s="22">
        <v>26405041</v>
      </c>
      <c r="D557" s="23">
        <v>541703168794</v>
      </c>
      <c r="E557" s="22" t="s">
        <v>277</v>
      </c>
      <c r="F557" s="22" t="s">
        <v>2512</v>
      </c>
      <c r="G557" s="22">
        <v>20170322</v>
      </c>
      <c r="H557" s="22">
        <v>20170723</v>
      </c>
      <c r="I557" s="22" t="s">
        <v>155</v>
      </c>
      <c r="J557" s="22"/>
      <c r="K557" s="22"/>
      <c r="L557" s="22" t="s">
        <v>35</v>
      </c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 t="s">
        <v>1911</v>
      </c>
      <c r="AD557" s="22">
        <v>20170413</v>
      </c>
      <c r="AE557" s="22">
        <v>556</v>
      </c>
      <c r="AF557" s="22"/>
      <c r="AG557" s="22" t="str">
        <f>IFERROR(VLOOKUP(TblFeedFile[[#This Row],[Leave Type ]],LkupPayType[],2,FALSE),"TBD")</f>
        <v>Paid</v>
      </c>
      <c r="AH557" s="22"/>
      <c r="AI557" s="25"/>
      <c r="AJ557" s="25"/>
      <c r="AK557" s="26"/>
    </row>
    <row r="558" spans="1:37" x14ac:dyDescent="0.25">
      <c r="A558" s="21" t="s">
        <v>29</v>
      </c>
      <c r="B558" s="22">
        <v>314304</v>
      </c>
      <c r="C558" s="22">
        <v>26405041</v>
      </c>
      <c r="D558" s="23">
        <v>541703168794</v>
      </c>
      <c r="E558" s="22" t="s">
        <v>277</v>
      </c>
      <c r="F558" s="22" t="s">
        <v>2512</v>
      </c>
      <c r="G558" s="22">
        <v>20170322</v>
      </c>
      <c r="H558" s="22">
        <v>20170723</v>
      </c>
      <c r="I558" s="22" t="s">
        <v>53</v>
      </c>
      <c r="J558" s="22"/>
      <c r="K558" s="22"/>
      <c r="L558" s="22" t="s">
        <v>35</v>
      </c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 t="s">
        <v>1900</v>
      </c>
      <c r="AD558" s="22">
        <v>20170413</v>
      </c>
      <c r="AE558" s="22">
        <v>557</v>
      </c>
      <c r="AF558" s="22"/>
      <c r="AG558" s="22" t="str">
        <f>IFERROR(VLOOKUP(TblFeedFile[[#This Row],[Leave Type ]],LkupPayType[],2,FALSE),"TBD")</f>
        <v>Paid</v>
      </c>
      <c r="AH558" s="22"/>
      <c r="AI558" s="25"/>
      <c r="AJ558" s="25"/>
      <c r="AK558" s="26"/>
    </row>
    <row r="559" spans="1:37" x14ac:dyDescent="0.25">
      <c r="A559" s="21" t="s">
        <v>37</v>
      </c>
      <c r="B559" s="22">
        <v>314304</v>
      </c>
      <c r="C559" s="22">
        <v>26405041</v>
      </c>
      <c r="D559" s="23">
        <v>541703168794</v>
      </c>
      <c r="E559" s="22" t="s">
        <v>277</v>
      </c>
      <c r="F559" s="22" t="s">
        <v>2512</v>
      </c>
      <c r="G559" s="22">
        <v>20170320</v>
      </c>
      <c r="H559" s="22">
        <v>20170507</v>
      </c>
      <c r="I559" s="22" t="s">
        <v>53</v>
      </c>
      <c r="J559" s="22"/>
      <c r="K559" s="22"/>
      <c r="L559" s="22" t="s">
        <v>35</v>
      </c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 t="s">
        <v>1900</v>
      </c>
      <c r="AD559" s="22">
        <v>20170413</v>
      </c>
      <c r="AE559" s="22">
        <v>558</v>
      </c>
      <c r="AF559" s="22"/>
      <c r="AG559" s="22" t="str">
        <f>IFERROR(VLOOKUP(TblFeedFile[[#This Row],[Leave Type ]],LkupPayType[],2,FALSE),"TBD")</f>
        <v>Paid</v>
      </c>
      <c r="AH559" s="22"/>
      <c r="AI559" s="25"/>
      <c r="AJ559" s="25"/>
      <c r="AK559" s="26"/>
    </row>
    <row r="560" spans="1:37" x14ac:dyDescent="0.25">
      <c r="A560" s="21" t="s">
        <v>37</v>
      </c>
      <c r="B560" s="22">
        <v>314304</v>
      </c>
      <c r="C560" s="22">
        <v>26405041</v>
      </c>
      <c r="D560" s="23">
        <v>541703168794</v>
      </c>
      <c r="E560" s="22" t="s">
        <v>277</v>
      </c>
      <c r="F560" s="22" t="s">
        <v>2512</v>
      </c>
      <c r="G560" s="22">
        <v>20170327</v>
      </c>
      <c r="H560" s="22">
        <v>20170507</v>
      </c>
      <c r="I560" s="22" t="s">
        <v>459</v>
      </c>
      <c r="J560" s="22"/>
      <c r="K560" s="22"/>
      <c r="L560" s="22" t="s">
        <v>35</v>
      </c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 t="s">
        <v>1936</v>
      </c>
      <c r="AD560" s="22">
        <v>20170413</v>
      </c>
      <c r="AE560" s="22">
        <v>559</v>
      </c>
      <c r="AF560" s="22"/>
      <c r="AG560" s="22" t="str">
        <f>IFERROR(VLOOKUP(TblFeedFile[[#This Row],[Leave Type ]],LkupPayType[],2,FALSE),"TBD")</f>
        <v>Paid</v>
      </c>
      <c r="AH560" s="22"/>
      <c r="AI560" s="25"/>
      <c r="AJ560" s="25"/>
      <c r="AK560" s="26"/>
    </row>
    <row r="561" spans="1:37" x14ac:dyDescent="0.25">
      <c r="A561" s="21" t="s">
        <v>29</v>
      </c>
      <c r="B561" s="22">
        <v>314301</v>
      </c>
      <c r="C561" s="22">
        <v>26440816</v>
      </c>
      <c r="D561" s="23">
        <v>551704068505</v>
      </c>
      <c r="E561" s="22" t="s">
        <v>2513</v>
      </c>
      <c r="F561" s="22" t="s">
        <v>2514</v>
      </c>
      <c r="G561" s="22">
        <v>20170401</v>
      </c>
      <c r="H561" s="22">
        <v>20170503</v>
      </c>
      <c r="I561" s="22" t="s">
        <v>53</v>
      </c>
      <c r="J561" s="22"/>
      <c r="K561" s="22"/>
      <c r="L561" s="22" t="s">
        <v>34</v>
      </c>
      <c r="M561" s="22" t="s">
        <v>34</v>
      </c>
      <c r="N561" s="22" t="s">
        <v>35</v>
      </c>
      <c r="O561" s="22" t="s">
        <v>35</v>
      </c>
      <c r="P561" s="22" t="s">
        <v>35</v>
      </c>
      <c r="Q561" s="22" t="s">
        <v>35</v>
      </c>
      <c r="R561" s="22" t="s">
        <v>35</v>
      </c>
      <c r="S561" s="22" t="s">
        <v>34</v>
      </c>
      <c r="T561" s="22"/>
      <c r="U561" s="22"/>
      <c r="V561" s="22"/>
      <c r="W561" s="22"/>
      <c r="X561" s="22"/>
      <c r="Y561" s="22"/>
      <c r="Z561" s="22"/>
      <c r="AA561" s="22"/>
      <c r="AB561" s="22"/>
      <c r="AC561" s="22" t="s">
        <v>1900</v>
      </c>
      <c r="AD561" s="22">
        <v>20170413</v>
      </c>
      <c r="AE561" s="22">
        <v>560</v>
      </c>
      <c r="AF561" s="22"/>
      <c r="AG561" s="22" t="str">
        <f>IFERROR(VLOOKUP(TblFeedFile[[#This Row],[Leave Type ]],LkupPayType[],2,FALSE),"TBD")</f>
        <v>Paid</v>
      </c>
      <c r="AH561" s="22"/>
      <c r="AI561" s="25"/>
      <c r="AJ561" s="25"/>
      <c r="AK561" s="26"/>
    </row>
    <row r="562" spans="1:37" x14ac:dyDescent="0.25">
      <c r="A562" s="21" t="s">
        <v>37</v>
      </c>
      <c r="B562" s="22">
        <v>314301</v>
      </c>
      <c r="C562" s="22">
        <v>26440816</v>
      </c>
      <c r="D562" s="23">
        <v>551704068505</v>
      </c>
      <c r="E562" s="22" t="s">
        <v>2513</v>
      </c>
      <c r="F562" s="22" t="s">
        <v>2514</v>
      </c>
      <c r="G562" s="22">
        <v>20170403</v>
      </c>
      <c r="H562" s="22">
        <v>20170503</v>
      </c>
      <c r="I562" s="22" t="s">
        <v>53</v>
      </c>
      <c r="J562" s="22"/>
      <c r="K562" s="22"/>
      <c r="L562" s="22" t="s">
        <v>34</v>
      </c>
      <c r="M562" s="22" t="s">
        <v>34</v>
      </c>
      <c r="N562" s="22" t="s">
        <v>35</v>
      </c>
      <c r="O562" s="22" t="s">
        <v>35</v>
      </c>
      <c r="P562" s="22" t="s">
        <v>35</v>
      </c>
      <c r="Q562" s="22" t="s">
        <v>35</v>
      </c>
      <c r="R562" s="22" t="s">
        <v>35</v>
      </c>
      <c r="S562" s="22" t="s">
        <v>34</v>
      </c>
      <c r="T562" s="22"/>
      <c r="U562" s="22"/>
      <c r="V562" s="22"/>
      <c r="W562" s="22"/>
      <c r="X562" s="22"/>
      <c r="Y562" s="22"/>
      <c r="Z562" s="22"/>
      <c r="AA562" s="22"/>
      <c r="AB562" s="22"/>
      <c r="AC562" s="22" t="s">
        <v>1900</v>
      </c>
      <c r="AD562" s="22">
        <v>20170413</v>
      </c>
      <c r="AE562" s="22">
        <v>561</v>
      </c>
      <c r="AF562" s="22"/>
      <c r="AG562" s="22" t="str">
        <f>IFERROR(VLOOKUP(TblFeedFile[[#This Row],[Leave Type ]],LkupPayType[],2,FALSE),"TBD")</f>
        <v>Paid</v>
      </c>
      <c r="AH562" s="22"/>
      <c r="AI562" s="25"/>
      <c r="AJ562" s="25"/>
      <c r="AK562" s="26"/>
    </row>
    <row r="563" spans="1:37" x14ac:dyDescent="0.25">
      <c r="A563" s="21" t="s">
        <v>37</v>
      </c>
      <c r="B563" s="22">
        <v>314301</v>
      </c>
      <c r="C563" s="22">
        <v>26440816</v>
      </c>
      <c r="D563" s="23">
        <v>551704068505</v>
      </c>
      <c r="E563" s="22" t="s">
        <v>2513</v>
      </c>
      <c r="F563" s="22" t="s">
        <v>2514</v>
      </c>
      <c r="G563" s="22">
        <v>20170410</v>
      </c>
      <c r="H563" s="22">
        <v>20170503</v>
      </c>
      <c r="I563" s="22" t="s">
        <v>40</v>
      </c>
      <c r="J563" s="22"/>
      <c r="K563" s="22"/>
      <c r="L563" s="22" t="s">
        <v>34</v>
      </c>
      <c r="M563" s="22" t="s">
        <v>34</v>
      </c>
      <c r="N563" s="22" t="s">
        <v>35</v>
      </c>
      <c r="O563" s="22" t="s">
        <v>35</v>
      </c>
      <c r="P563" s="22" t="s">
        <v>35</v>
      </c>
      <c r="Q563" s="22" t="s">
        <v>35</v>
      </c>
      <c r="R563" s="22" t="s">
        <v>35</v>
      </c>
      <c r="S563" s="22" t="s">
        <v>34</v>
      </c>
      <c r="T563" s="22"/>
      <c r="U563" s="22"/>
      <c r="V563" s="22"/>
      <c r="W563" s="22"/>
      <c r="X563" s="22"/>
      <c r="Y563" s="22"/>
      <c r="Z563" s="22"/>
      <c r="AA563" s="22"/>
      <c r="AB563" s="22"/>
      <c r="AC563" s="22" t="s">
        <v>1902</v>
      </c>
      <c r="AD563" s="22">
        <v>20170413</v>
      </c>
      <c r="AE563" s="22">
        <v>562</v>
      </c>
      <c r="AF563" s="22"/>
      <c r="AG563" s="22" t="str">
        <f>IFERROR(VLOOKUP(TblFeedFile[[#This Row],[Leave Type ]],LkupPayType[],2,FALSE),"TBD")</f>
        <v>Paid</v>
      </c>
      <c r="AH563" s="22"/>
      <c r="AI563" s="25"/>
      <c r="AJ563" s="25"/>
      <c r="AK563" s="26"/>
    </row>
    <row r="564" spans="1:37" x14ac:dyDescent="0.25">
      <c r="A564" s="21" t="s">
        <v>29</v>
      </c>
      <c r="B564" s="22">
        <v>314304</v>
      </c>
      <c r="C564" s="22">
        <v>26451586</v>
      </c>
      <c r="D564" s="23" t="s">
        <v>2515</v>
      </c>
      <c r="E564" s="22" t="s">
        <v>2516</v>
      </c>
      <c r="F564" s="22" t="s">
        <v>2517</v>
      </c>
      <c r="G564" s="22">
        <v>20170324</v>
      </c>
      <c r="H564" s="22">
        <v>20170423</v>
      </c>
      <c r="I564" s="22" t="s">
        <v>49</v>
      </c>
      <c r="J564" s="22"/>
      <c r="K564" s="22"/>
      <c r="L564" s="22" t="s">
        <v>34</v>
      </c>
      <c r="M564" s="22" t="s">
        <v>34</v>
      </c>
      <c r="N564" s="22" t="s">
        <v>35</v>
      </c>
      <c r="O564" s="22" t="s">
        <v>35</v>
      </c>
      <c r="P564" s="22" t="s">
        <v>35</v>
      </c>
      <c r="Q564" s="22" t="s">
        <v>35</v>
      </c>
      <c r="R564" s="22" t="s">
        <v>35</v>
      </c>
      <c r="S564" s="22" t="s">
        <v>34</v>
      </c>
      <c r="T564" s="22"/>
      <c r="U564" s="22"/>
      <c r="V564" s="22"/>
      <c r="W564" s="22"/>
      <c r="X564" s="22"/>
      <c r="Y564" s="22"/>
      <c r="Z564" s="22"/>
      <c r="AA564" s="22"/>
      <c r="AB564" s="22"/>
      <c r="AC564" s="22" t="s">
        <v>1924</v>
      </c>
      <c r="AD564" s="22">
        <v>20170413</v>
      </c>
      <c r="AE564" s="22">
        <v>563</v>
      </c>
      <c r="AF564" s="22"/>
      <c r="AG564" s="22" t="str">
        <f>IFERROR(VLOOKUP(TblFeedFile[[#This Row],[Leave Type ]],LkupPayType[],2,FALSE),"TBD")</f>
        <v>Unpaid</v>
      </c>
      <c r="AH564" s="22"/>
      <c r="AI564" s="25"/>
      <c r="AJ564" s="25"/>
      <c r="AK564" s="26"/>
    </row>
    <row r="565" spans="1:37" x14ac:dyDescent="0.25">
      <c r="A565" s="21" t="s">
        <v>37</v>
      </c>
      <c r="B565" s="22">
        <v>314304</v>
      </c>
      <c r="C565" s="22">
        <v>26451586</v>
      </c>
      <c r="D565" s="23" t="s">
        <v>2515</v>
      </c>
      <c r="E565" s="22" t="s">
        <v>2516</v>
      </c>
      <c r="F565" s="22" t="s">
        <v>2517</v>
      </c>
      <c r="G565" s="22">
        <v>20170324</v>
      </c>
      <c r="H565" s="22">
        <v>20170507</v>
      </c>
      <c r="I565" s="22" t="s">
        <v>49</v>
      </c>
      <c r="J565" s="22"/>
      <c r="K565" s="22"/>
      <c r="L565" s="22" t="s">
        <v>34</v>
      </c>
      <c r="M565" s="22" t="s">
        <v>34</v>
      </c>
      <c r="N565" s="22" t="s">
        <v>35</v>
      </c>
      <c r="O565" s="22" t="s">
        <v>35</v>
      </c>
      <c r="P565" s="22" t="s">
        <v>35</v>
      </c>
      <c r="Q565" s="22" t="s">
        <v>35</v>
      </c>
      <c r="R565" s="22" t="s">
        <v>35</v>
      </c>
      <c r="S565" s="22" t="s">
        <v>34</v>
      </c>
      <c r="T565" s="22"/>
      <c r="U565" s="22"/>
      <c r="V565" s="22"/>
      <c r="W565" s="22"/>
      <c r="X565" s="22"/>
      <c r="Y565" s="22"/>
      <c r="Z565" s="22"/>
      <c r="AA565" s="22"/>
      <c r="AB565" s="22"/>
      <c r="AC565" s="22" t="s">
        <v>1924</v>
      </c>
      <c r="AD565" s="22">
        <v>20170413</v>
      </c>
      <c r="AE565" s="22">
        <v>564</v>
      </c>
      <c r="AF565" s="22"/>
      <c r="AG565" s="22" t="str">
        <f>IFERROR(VLOOKUP(TblFeedFile[[#This Row],[Leave Type ]],LkupPayType[],2,FALSE),"TBD")</f>
        <v>Unpaid</v>
      </c>
      <c r="AH565" s="22"/>
      <c r="AI565" s="25"/>
      <c r="AJ565" s="25"/>
      <c r="AK565" s="26"/>
    </row>
    <row r="566" spans="1:37" x14ac:dyDescent="0.25">
      <c r="A566" s="21" t="s">
        <v>29</v>
      </c>
      <c r="B566" s="22">
        <v>314301</v>
      </c>
      <c r="C566" s="22">
        <v>26463310</v>
      </c>
      <c r="D566" s="23">
        <v>511701038659</v>
      </c>
      <c r="E566" s="22" t="s">
        <v>2518</v>
      </c>
      <c r="F566" s="22" t="s">
        <v>2519</v>
      </c>
      <c r="G566" s="22">
        <v>20170220</v>
      </c>
      <c r="H566" s="22">
        <v>20170507</v>
      </c>
      <c r="I566" s="22" t="s">
        <v>40</v>
      </c>
      <c r="J566" s="22"/>
      <c r="K566" s="22"/>
      <c r="L566" s="22" t="s">
        <v>34</v>
      </c>
      <c r="M566" s="22" t="s">
        <v>34</v>
      </c>
      <c r="N566" s="22" t="s">
        <v>35</v>
      </c>
      <c r="O566" s="22" t="s">
        <v>35</v>
      </c>
      <c r="P566" s="22" t="s">
        <v>35</v>
      </c>
      <c r="Q566" s="22" t="s">
        <v>35</v>
      </c>
      <c r="R566" s="22" t="s">
        <v>35</v>
      </c>
      <c r="S566" s="22" t="s">
        <v>34</v>
      </c>
      <c r="T566" s="22"/>
      <c r="U566" s="22"/>
      <c r="V566" s="22"/>
      <c r="W566" s="22"/>
      <c r="X566" s="22"/>
      <c r="Y566" s="22">
        <v>633</v>
      </c>
      <c r="Z566" s="22" t="s">
        <v>306</v>
      </c>
      <c r="AA566" s="22">
        <v>20170220</v>
      </c>
      <c r="AB566" s="22">
        <v>20170813</v>
      </c>
      <c r="AC566" s="22" t="s">
        <v>2506</v>
      </c>
      <c r="AD566" s="22">
        <v>20170413</v>
      </c>
      <c r="AE566" s="22">
        <v>565</v>
      </c>
      <c r="AF566" s="22"/>
      <c r="AG566" s="22" t="str">
        <f>IFERROR(VLOOKUP(TblFeedFile[[#This Row],[Leave Type ]],LkupPayType[],2,FALSE),"TBD")</f>
        <v>Paid</v>
      </c>
      <c r="AH566" s="22"/>
      <c r="AI566" s="25"/>
      <c r="AJ566" s="25"/>
      <c r="AK566" s="26"/>
    </row>
    <row r="567" spans="1:37" x14ac:dyDescent="0.25">
      <c r="A567" s="21" t="s">
        <v>37</v>
      </c>
      <c r="B567" s="22">
        <v>314301</v>
      </c>
      <c r="C567" s="22">
        <v>26463310</v>
      </c>
      <c r="D567" s="23">
        <v>511701038659</v>
      </c>
      <c r="E567" s="22" t="s">
        <v>2518</v>
      </c>
      <c r="F567" s="22" t="s">
        <v>2519</v>
      </c>
      <c r="G567" s="22">
        <v>20170220</v>
      </c>
      <c r="H567" s="22">
        <v>20170409</v>
      </c>
      <c r="I567" s="22" t="s">
        <v>40</v>
      </c>
      <c r="J567" s="22"/>
      <c r="K567" s="22"/>
      <c r="L567" s="22" t="s">
        <v>34</v>
      </c>
      <c r="M567" s="22" t="s">
        <v>34</v>
      </c>
      <c r="N567" s="22" t="s">
        <v>35</v>
      </c>
      <c r="O567" s="22" t="s">
        <v>35</v>
      </c>
      <c r="P567" s="22" t="s">
        <v>35</v>
      </c>
      <c r="Q567" s="22" t="s">
        <v>35</v>
      </c>
      <c r="R567" s="22" t="s">
        <v>35</v>
      </c>
      <c r="S567" s="22" t="s">
        <v>34</v>
      </c>
      <c r="T567" s="22">
        <v>20170410</v>
      </c>
      <c r="U567" s="22"/>
      <c r="V567" s="22"/>
      <c r="W567" s="22"/>
      <c r="X567" s="22"/>
      <c r="Y567" s="22">
        <v>633</v>
      </c>
      <c r="Z567" s="22" t="s">
        <v>306</v>
      </c>
      <c r="AA567" s="22">
        <v>20170220</v>
      </c>
      <c r="AB567" s="22">
        <v>20170813</v>
      </c>
      <c r="AC567" s="22" t="s">
        <v>2034</v>
      </c>
      <c r="AD567" s="22">
        <v>20170413</v>
      </c>
      <c r="AE567" s="22">
        <v>566</v>
      </c>
      <c r="AF567" s="22"/>
      <c r="AG567" s="22" t="str">
        <f>IFERROR(VLOOKUP(TblFeedFile[[#This Row],[Leave Type ]],LkupPayType[],2,FALSE),"TBD")</f>
        <v>Paid</v>
      </c>
      <c r="AH567" s="22"/>
      <c r="AI567" s="25"/>
      <c r="AJ567" s="25"/>
      <c r="AK567" s="26" t="s">
        <v>35</v>
      </c>
    </row>
    <row r="568" spans="1:37" x14ac:dyDescent="0.25">
      <c r="A568" s="21" t="s">
        <v>37</v>
      </c>
      <c r="B568" s="22">
        <v>314304</v>
      </c>
      <c r="C568" s="22">
        <v>26489138</v>
      </c>
      <c r="D568" s="23" t="s">
        <v>2520</v>
      </c>
      <c r="E568" s="22" t="s">
        <v>2521</v>
      </c>
      <c r="F568" s="22" t="s">
        <v>2522</v>
      </c>
      <c r="G568" s="22">
        <v>20170413</v>
      </c>
      <c r="H568" s="22">
        <v>20170705</v>
      </c>
      <c r="I568" s="22" t="s">
        <v>223</v>
      </c>
      <c r="J568" s="22"/>
      <c r="K568" s="22"/>
      <c r="L568" s="22" t="s">
        <v>34</v>
      </c>
      <c r="M568" s="22" t="s">
        <v>34</v>
      </c>
      <c r="N568" s="22" t="s">
        <v>35</v>
      </c>
      <c r="O568" s="22" t="s">
        <v>35</v>
      </c>
      <c r="P568" s="22" t="s">
        <v>35</v>
      </c>
      <c r="Q568" s="22" t="s">
        <v>35</v>
      </c>
      <c r="R568" s="22" t="s">
        <v>35</v>
      </c>
      <c r="S568" s="22" t="s">
        <v>34</v>
      </c>
      <c r="T568" s="22"/>
      <c r="U568" s="22"/>
      <c r="V568" s="22"/>
      <c r="W568" s="22"/>
      <c r="X568" s="22"/>
      <c r="Y568" s="22"/>
      <c r="Z568" s="22"/>
      <c r="AA568" s="22"/>
      <c r="AB568" s="22"/>
      <c r="AC568" s="22" t="s">
        <v>1905</v>
      </c>
      <c r="AD568" s="22">
        <v>20170413</v>
      </c>
      <c r="AE568" s="22">
        <v>567</v>
      </c>
      <c r="AF568" s="22"/>
      <c r="AG568" s="22" t="str">
        <f>IFERROR(VLOOKUP(TblFeedFile[[#This Row],[Leave Type ]],LkupPayType[],2,FALSE),"TBD")</f>
        <v>Paid</v>
      </c>
      <c r="AH568" s="22"/>
      <c r="AI568" s="25"/>
      <c r="AJ568" s="25"/>
      <c r="AK568" s="26"/>
    </row>
    <row r="569" spans="1:37" x14ac:dyDescent="0.25">
      <c r="A569" s="21" t="s">
        <v>37</v>
      </c>
      <c r="B569" s="22">
        <v>314304</v>
      </c>
      <c r="C569" s="22">
        <v>26529118</v>
      </c>
      <c r="D569" s="23">
        <v>531703168793</v>
      </c>
      <c r="E569" s="22" t="s">
        <v>737</v>
      </c>
      <c r="F569" s="22" t="s">
        <v>2033</v>
      </c>
      <c r="G569" s="22">
        <v>20170413</v>
      </c>
      <c r="H569" s="22">
        <v>20170601</v>
      </c>
      <c r="I569" s="22" t="s">
        <v>40</v>
      </c>
      <c r="J569" s="22"/>
      <c r="K569" s="22"/>
      <c r="L569" s="22" t="s">
        <v>34</v>
      </c>
      <c r="M569" s="22" t="s">
        <v>34</v>
      </c>
      <c r="N569" s="22" t="s">
        <v>35</v>
      </c>
      <c r="O569" s="22" t="s">
        <v>35</v>
      </c>
      <c r="P569" s="22" t="s">
        <v>35</v>
      </c>
      <c r="Q569" s="22" t="s">
        <v>35</v>
      </c>
      <c r="R569" s="22" t="s">
        <v>35</v>
      </c>
      <c r="S569" s="22" t="s">
        <v>34</v>
      </c>
      <c r="T569" s="22"/>
      <c r="U569" s="22"/>
      <c r="V569" s="22"/>
      <c r="W569" s="22"/>
      <c r="X569" s="22"/>
      <c r="Y569" s="22"/>
      <c r="Z569" s="22"/>
      <c r="AA569" s="22"/>
      <c r="AB569" s="22"/>
      <c r="AC569" s="22" t="s">
        <v>1912</v>
      </c>
      <c r="AD569" s="22">
        <v>20170413</v>
      </c>
      <c r="AE569" s="22">
        <v>568</v>
      </c>
      <c r="AF569" s="22"/>
      <c r="AG569" s="22" t="str">
        <f>IFERROR(VLOOKUP(TblFeedFile[[#This Row],[Leave Type ]],LkupPayType[],2,FALSE),"TBD")</f>
        <v>Paid</v>
      </c>
      <c r="AH569" s="22"/>
      <c r="AI569" s="25"/>
      <c r="AJ569" s="25"/>
      <c r="AK569" s="26"/>
    </row>
    <row r="570" spans="1:37" x14ac:dyDescent="0.25">
      <c r="A570" s="21" t="s">
        <v>29</v>
      </c>
      <c r="B570" s="22">
        <v>314304</v>
      </c>
      <c r="C570" s="22">
        <v>26581350</v>
      </c>
      <c r="D570" s="23" t="s">
        <v>2523</v>
      </c>
      <c r="E570" s="22" t="s">
        <v>2524</v>
      </c>
      <c r="F570" s="22" t="s">
        <v>2525</v>
      </c>
      <c r="G570" s="22">
        <v>20170403</v>
      </c>
      <c r="H570" s="22">
        <v>20170403</v>
      </c>
      <c r="I570" s="22" t="s">
        <v>33</v>
      </c>
      <c r="J570" s="22"/>
      <c r="K570" s="22"/>
      <c r="L570" s="22" t="s">
        <v>34</v>
      </c>
      <c r="M570" s="22" t="s">
        <v>34</v>
      </c>
      <c r="N570" s="22" t="s">
        <v>35</v>
      </c>
      <c r="O570" s="22" t="s">
        <v>35</v>
      </c>
      <c r="P570" s="22" t="s">
        <v>35</v>
      </c>
      <c r="Q570" s="22" t="s">
        <v>35</v>
      </c>
      <c r="R570" s="22" t="s">
        <v>35</v>
      </c>
      <c r="S570" s="22" t="s">
        <v>34</v>
      </c>
      <c r="T570" s="22"/>
      <c r="U570" s="22"/>
      <c r="V570" s="22"/>
      <c r="W570" s="22"/>
      <c r="X570" s="22"/>
      <c r="Y570" s="22"/>
      <c r="Z570" s="22"/>
      <c r="AA570" s="22"/>
      <c r="AB570" s="22"/>
      <c r="AC570" s="22" t="s">
        <v>1958</v>
      </c>
      <c r="AD570" s="22">
        <v>20170413</v>
      </c>
      <c r="AE570" s="22">
        <v>569</v>
      </c>
      <c r="AF570" s="22"/>
      <c r="AG570" s="22" t="str">
        <f>IFERROR(VLOOKUP(TblFeedFile[[#This Row],[Leave Type ]],LkupPayType[],2,FALSE),"TBD")</f>
        <v>Closed</v>
      </c>
      <c r="AH570" s="22"/>
      <c r="AI570" s="25"/>
      <c r="AJ570" s="25"/>
      <c r="AK570" s="26"/>
    </row>
    <row r="571" spans="1:37" x14ac:dyDescent="0.25">
      <c r="A571" s="21" t="s">
        <v>29</v>
      </c>
      <c r="B571" s="22">
        <v>314304</v>
      </c>
      <c r="C571" s="22">
        <v>26581350</v>
      </c>
      <c r="D571" s="23" t="s">
        <v>2523</v>
      </c>
      <c r="E571" s="22" t="s">
        <v>2524</v>
      </c>
      <c r="F571" s="22" t="s">
        <v>2525</v>
      </c>
      <c r="G571" s="22">
        <v>20170122</v>
      </c>
      <c r="H571" s="22">
        <v>20170402</v>
      </c>
      <c r="I571" s="22" t="s">
        <v>155</v>
      </c>
      <c r="J571" s="22"/>
      <c r="K571" s="22"/>
      <c r="L571" s="22" t="s">
        <v>34</v>
      </c>
      <c r="M571" s="22" t="s">
        <v>34</v>
      </c>
      <c r="N571" s="22" t="s">
        <v>35</v>
      </c>
      <c r="O571" s="22" t="s">
        <v>35</v>
      </c>
      <c r="P571" s="22" t="s">
        <v>35</v>
      </c>
      <c r="Q571" s="22" t="s">
        <v>35</v>
      </c>
      <c r="R571" s="22" t="s">
        <v>35</v>
      </c>
      <c r="S571" s="22" t="s">
        <v>34</v>
      </c>
      <c r="T571" s="22"/>
      <c r="U571" s="22"/>
      <c r="V571" s="22"/>
      <c r="W571" s="22"/>
      <c r="X571" s="22"/>
      <c r="Y571" s="22"/>
      <c r="Z571" s="22"/>
      <c r="AA571" s="22"/>
      <c r="AB571" s="22"/>
      <c r="AC571" s="22" t="s">
        <v>2189</v>
      </c>
      <c r="AD571" s="22">
        <v>20170413</v>
      </c>
      <c r="AE571" s="22">
        <v>570</v>
      </c>
      <c r="AF571" s="22"/>
      <c r="AG571" s="22" t="str">
        <f>IFERROR(VLOOKUP(TblFeedFile[[#This Row],[Leave Type ]],LkupPayType[],2,FALSE),"TBD")</f>
        <v>Paid</v>
      </c>
      <c r="AH571" s="22"/>
      <c r="AI571" s="25"/>
      <c r="AJ571" s="25"/>
      <c r="AK571" s="26"/>
    </row>
    <row r="572" spans="1:37" x14ac:dyDescent="0.25">
      <c r="A572" s="21" t="s">
        <v>29</v>
      </c>
      <c r="B572" s="22">
        <v>314304</v>
      </c>
      <c r="C572" s="22">
        <v>26581350</v>
      </c>
      <c r="D572" s="23" t="s">
        <v>2523</v>
      </c>
      <c r="E572" s="22" t="s">
        <v>2524</v>
      </c>
      <c r="F572" s="22" t="s">
        <v>2525</v>
      </c>
      <c r="G572" s="22">
        <v>20161126</v>
      </c>
      <c r="H572" s="22">
        <v>20170402</v>
      </c>
      <c r="I572" s="22" t="s">
        <v>156</v>
      </c>
      <c r="J572" s="22"/>
      <c r="K572" s="22"/>
      <c r="L572" s="22" t="s">
        <v>34</v>
      </c>
      <c r="M572" s="22" t="s">
        <v>34</v>
      </c>
      <c r="N572" s="22" t="s">
        <v>35</v>
      </c>
      <c r="O572" s="22" t="s">
        <v>35</v>
      </c>
      <c r="P572" s="22" t="s">
        <v>35</v>
      </c>
      <c r="Q572" s="22" t="s">
        <v>35</v>
      </c>
      <c r="R572" s="22" t="s">
        <v>35</v>
      </c>
      <c r="S572" s="22" t="s">
        <v>34</v>
      </c>
      <c r="T572" s="22"/>
      <c r="U572" s="22"/>
      <c r="V572" s="22"/>
      <c r="W572" s="22"/>
      <c r="X572" s="22"/>
      <c r="Y572" s="22"/>
      <c r="Z572" s="22"/>
      <c r="AA572" s="22"/>
      <c r="AB572" s="22"/>
      <c r="AC572" s="22" t="s">
        <v>2227</v>
      </c>
      <c r="AD572" s="22">
        <v>20170413</v>
      </c>
      <c r="AE572" s="22">
        <v>571</v>
      </c>
      <c r="AF572" s="22"/>
      <c r="AG572" s="22" t="str">
        <f>IFERROR(VLOOKUP(TblFeedFile[[#This Row],[Leave Type ]],LkupPayType[],2,FALSE),"TBD")</f>
        <v>Unpaid</v>
      </c>
      <c r="AH572" s="22"/>
      <c r="AI572" s="25"/>
      <c r="AJ572" s="25"/>
      <c r="AK572" s="26"/>
    </row>
    <row r="573" spans="1:37" x14ac:dyDescent="0.25">
      <c r="A573" s="21" t="s">
        <v>37</v>
      </c>
      <c r="B573" s="22">
        <v>314304</v>
      </c>
      <c r="C573" s="22">
        <v>26581350</v>
      </c>
      <c r="D573" s="23" t="s">
        <v>2523</v>
      </c>
      <c r="E573" s="22" t="s">
        <v>2524</v>
      </c>
      <c r="F573" s="22" t="s">
        <v>2525</v>
      </c>
      <c r="G573" s="22">
        <v>20161211</v>
      </c>
      <c r="H573" s="22">
        <v>20170331</v>
      </c>
      <c r="I573" s="22" t="s">
        <v>156</v>
      </c>
      <c r="J573" s="22"/>
      <c r="K573" s="22"/>
      <c r="L573" s="22" t="s">
        <v>34</v>
      </c>
      <c r="M573" s="22" t="s">
        <v>34</v>
      </c>
      <c r="N573" s="22" t="s">
        <v>35</v>
      </c>
      <c r="O573" s="22" t="s">
        <v>35</v>
      </c>
      <c r="P573" s="22" t="s">
        <v>35</v>
      </c>
      <c r="Q573" s="22" t="s">
        <v>35</v>
      </c>
      <c r="R573" s="22" t="s">
        <v>35</v>
      </c>
      <c r="S573" s="22" t="s">
        <v>34</v>
      </c>
      <c r="T573" s="22"/>
      <c r="U573" s="22"/>
      <c r="V573" s="22"/>
      <c r="W573" s="22"/>
      <c r="X573" s="22"/>
      <c r="Y573" s="22"/>
      <c r="Z573" s="22"/>
      <c r="AA573" s="22"/>
      <c r="AB573" s="22"/>
      <c r="AC573" s="22" t="s">
        <v>2227</v>
      </c>
      <c r="AD573" s="22">
        <v>20170413</v>
      </c>
      <c r="AE573" s="22">
        <v>572</v>
      </c>
      <c r="AF573" s="22"/>
      <c r="AG573" s="22" t="str">
        <f>IFERROR(VLOOKUP(TblFeedFile[[#This Row],[Leave Type ]],LkupPayType[],2,FALSE),"TBD")</f>
        <v>Unpaid</v>
      </c>
      <c r="AH573" s="22"/>
      <c r="AI573" s="25" t="s">
        <v>35</v>
      </c>
      <c r="AJ573" s="25"/>
      <c r="AK573" s="26"/>
    </row>
    <row r="574" spans="1:37" x14ac:dyDescent="0.25">
      <c r="A574" s="21" t="s">
        <v>37</v>
      </c>
      <c r="B574" s="22">
        <v>314304</v>
      </c>
      <c r="C574" s="22">
        <v>26581350</v>
      </c>
      <c r="D574" s="23" t="s">
        <v>2523</v>
      </c>
      <c r="E574" s="22" t="s">
        <v>2524</v>
      </c>
      <c r="F574" s="22" t="s">
        <v>2525</v>
      </c>
      <c r="G574" s="22">
        <v>20170122</v>
      </c>
      <c r="H574" s="22">
        <v>20170331</v>
      </c>
      <c r="I574" s="22" t="s">
        <v>155</v>
      </c>
      <c r="J574" s="22"/>
      <c r="K574" s="22"/>
      <c r="L574" s="22" t="s">
        <v>34</v>
      </c>
      <c r="M574" s="22" t="s">
        <v>34</v>
      </c>
      <c r="N574" s="22" t="s">
        <v>35</v>
      </c>
      <c r="O574" s="22" t="s">
        <v>35</v>
      </c>
      <c r="P574" s="22" t="s">
        <v>35</v>
      </c>
      <c r="Q574" s="22" t="s">
        <v>35</v>
      </c>
      <c r="R574" s="22" t="s">
        <v>35</v>
      </c>
      <c r="S574" s="22" t="s">
        <v>34</v>
      </c>
      <c r="T574" s="22"/>
      <c r="U574" s="22"/>
      <c r="V574" s="22"/>
      <c r="W574" s="22"/>
      <c r="X574" s="22"/>
      <c r="Y574" s="22"/>
      <c r="Z574" s="22"/>
      <c r="AA574" s="22"/>
      <c r="AB574" s="22"/>
      <c r="AC574" s="22" t="s">
        <v>2189</v>
      </c>
      <c r="AD574" s="22">
        <v>20170413</v>
      </c>
      <c r="AE574" s="22">
        <v>573</v>
      </c>
      <c r="AF574" s="22"/>
      <c r="AG574" s="22" t="str">
        <f>IFERROR(VLOOKUP(TblFeedFile[[#This Row],[Leave Type ]],LkupPayType[],2,FALSE),"TBD")</f>
        <v>Paid</v>
      </c>
      <c r="AH574" s="22"/>
      <c r="AI574" s="25" t="s">
        <v>35</v>
      </c>
      <c r="AJ574" s="25"/>
      <c r="AK574" s="26"/>
    </row>
    <row r="575" spans="1:37" x14ac:dyDescent="0.25">
      <c r="A575" s="21" t="s">
        <v>37</v>
      </c>
      <c r="B575" s="22">
        <v>314304</v>
      </c>
      <c r="C575" s="22">
        <v>26581350</v>
      </c>
      <c r="D575" s="23" t="s">
        <v>2523</v>
      </c>
      <c r="E575" s="22" t="s">
        <v>2524</v>
      </c>
      <c r="F575" s="22" t="s">
        <v>2525</v>
      </c>
      <c r="G575" s="22">
        <v>20170401</v>
      </c>
      <c r="H575" s="22">
        <v>20170401</v>
      </c>
      <c r="I575" s="22" t="s">
        <v>33</v>
      </c>
      <c r="J575" s="22"/>
      <c r="K575" s="22"/>
      <c r="L575" s="22" t="s">
        <v>34</v>
      </c>
      <c r="M575" s="22" t="s">
        <v>34</v>
      </c>
      <c r="N575" s="22" t="s">
        <v>35</v>
      </c>
      <c r="O575" s="22" t="s">
        <v>35</v>
      </c>
      <c r="P575" s="22" t="s">
        <v>35</v>
      </c>
      <c r="Q575" s="22" t="s">
        <v>35</v>
      </c>
      <c r="R575" s="22" t="s">
        <v>35</v>
      </c>
      <c r="S575" s="22" t="s">
        <v>34</v>
      </c>
      <c r="T575" s="22"/>
      <c r="U575" s="22"/>
      <c r="V575" s="22"/>
      <c r="W575" s="22"/>
      <c r="X575" s="22"/>
      <c r="Y575" s="22"/>
      <c r="Z575" s="22"/>
      <c r="AA575" s="22"/>
      <c r="AB575" s="22"/>
      <c r="AC575" s="22" t="s">
        <v>1958</v>
      </c>
      <c r="AD575" s="22">
        <v>20170413</v>
      </c>
      <c r="AE575" s="22">
        <v>574</v>
      </c>
      <c r="AF575" s="22"/>
      <c r="AG575" s="22" t="str">
        <f>IFERROR(VLOOKUP(TblFeedFile[[#This Row],[Leave Type ]],LkupPayType[],2,FALSE),"TBD")</f>
        <v>Closed</v>
      </c>
      <c r="AH575" s="22"/>
      <c r="AI575" s="25"/>
      <c r="AJ575" s="25"/>
      <c r="AK575" s="26"/>
    </row>
    <row r="576" spans="1:37" x14ac:dyDescent="0.25">
      <c r="A576" s="21" t="s">
        <v>37</v>
      </c>
      <c r="B576" s="22">
        <v>314304</v>
      </c>
      <c r="C576" s="22">
        <v>26588344</v>
      </c>
      <c r="D576" s="23">
        <v>511703168801</v>
      </c>
      <c r="E576" s="22" t="s">
        <v>2526</v>
      </c>
      <c r="F576" s="22" t="s">
        <v>2527</v>
      </c>
      <c r="G576" s="22">
        <v>20170328</v>
      </c>
      <c r="H576" s="22">
        <v>20170523</v>
      </c>
      <c r="I576" s="22" t="s">
        <v>53</v>
      </c>
      <c r="J576" s="22"/>
      <c r="K576" s="22"/>
      <c r="L576" s="22" t="s">
        <v>35</v>
      </c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 t="s">
        <v>1905</v>
      </c>
      <c r="AD576" s="22">
        <v>20170413</v>
      </c>
      <c r="AE576" s="22">
        <v>575</v>
      </c>
      <c r="AF576" s="22"/>
      <c r="AG576" s="22" t="str">
        <f>IFERROR(VLOOKUP(TblFeedFile[[#This Row],[Leave Type ]],LkupPayType[],2,FALSE),"TBD")</f>
        <v>Paid</v>
      </c>
      <c r="AH576" s="22"/>
      <c r="AI576" s="25"/>
      <c r="AJ576" s="25"/>
      <c r="AK576" s="26"/>
    </row>
    <row r="577" spans="1:37" x14ac:dyDescent="0.25">
      <c r="A577" s="21" t="s">
        <v>29</v>
      </c>
      <c r="B577" s="22">
        <v>314304</v>
      </c>
      <c r="C577" s="22">
        <v>26592054</v>
      </c>
      <c r="D577" s="23" t="s">
        <v>2528</v>
      </c>
      <c r="E577" s="22" t="s">
        <v>2529</v>
      </c>
      <c r="F577" s="22" t="s">
        <v>2530</v>
      </c>
      <c r="G577" s="22">
        <v>20170411</v>
      </c>
      <c r="H577" s="22">
        <v>20170411</v>
      </c>
      <c r="I577" s="22" t="s">
        <v>33</v>
      </c>
      <c r="J577" s="22"/>
      <c r="K577" s="22"/>
      <c r="L577" s="22" t="s">
        <v>34</v>
      </c>
      <c r="M577" s="22" t="s">
        <v>34</v>
      </c>
      <c r="N577" s="22" t="s">
        <v>35</v>
      </c>
      <c r="O577" s="22" t="s">
        <v>35</v>
      </c>
      <c r="P577" s="22" t="s">
        <v>35</v>
      </c>
      <c r="Q577" s="22" t="s">
        <v>35</v>
      </c>
      <c r="R577" s="22" t="s">
        <v>35</v>
      </c>
      <c r="S577" s="22" t="s">
        <v>34</v>
      </c>
      <c r="T577" s="22"/>
      <c r="U577" s="22"/>
      <c r="V577" s="22"/>
      <c r="W577" s="22"/>
      <c r="X577" s="22"/>
      <c r="Y577" s="22"/>
      <c r="Z577" s="22"/>
      <c r="AA577" s="22"/>
      <c r="AB577" s="22"/>
      <c r="AC577" s="22" t="s">
        <v>1895</v>
      </c>
      <c r="AD577" s="22">
        <v>20170413</v>
      </c>
      <c r="AE577" s="22">
        <v>576</v>
      </c>
      <c r="AF577" s="22"/>
      <c r="AG577" s="22" t="str">
        <f>IFERROR(VLOOKUP(TblFeedFile[[#This Row],[Leave Type ]],LkupPayType[],2,FALSE),"TBD")</f>
        <v>Closed</v>
      </c>
      <c r="AH577" s="22"/>
      <c r="AI577" s="25"/>
      <c r="AJ577" s="25"/>
      <c r="AK577" s="26"/>
    </row>
    <row r="578" spans="1:37" x14ac:dyDescent="0.25">
      <c r="A578" s="21" t="s">
        <v>29</v>
      </c>
      <c r="B578" s="22">
        <v>314304</v>
      </c>
      <c r="C578" s="22">
        <v>26592054</v>
      </c>
      <c r="D578" s="23">
        <v>521704118342</v>
      </c>
      <c r="E578" s="22" t="s">
        <v>2529</v>
      </c>
      <c r="F578" s="22" t="s">
        <v>2530</v>
      </c>
      <c r="G578" s="22">
        <v>20170408</v>
      </c>
      <c r="H578" s="22">
        <v>20170508</v>
      </c>
      <c r="I578" s="22" t="s">
        <v>53</v>
      </c>
      <c r="J578" s="22"/>
      <c r="K578" s="22"/>
      <c r="L578" s="22" t="s">
        <v>34</v>
      </c>
      <c r="M578" s="22" t="s">
        <v>34</v>
      </c>
      <c r="N578" s="22" t="s">
        <v>35</v>
      </c>
      <c r="O578" s="22" t="s">
        <v>35</v>
      </c>
      <c r="P578" s="22" t="s">
        <v>35</v>
      </c>
      <c r="Q578" s="22" t="s">
        <v>35</v>
      </c>
      <c r="R578" s="22" t="s">
        <v>35</v>
      </c>
      <c r="S578" s="22" t="s">
        <v>34</v>
      </c>
      <c r="T578" s="22"/>
      <c r="U578" s="22"/>
      <c r="V578" s="22"/>
      <c r="W578" s="22"/>
      <c r="X578" s="22" t="s">
        <v>35</v>
      </c>
      <c r="Y578" s="22"/>
      <c r="Z578" s="22"/>
      <c r="AA578" s="22"/>
      <c r="AB578" s="22"/>
      <c r="AC578" s="22" t="s">
        <v>1908</v>
      </c>
      <c r="AD578" s="22">
        <v>20170413</v>
      </c>
      <c r="AE578" s="22">
        <v>577</v>
      </c>
      <c r="AF578" s="22"/>
      <c r="AG578" s="22" t="str">
        <f>IFERROR(VLOOKUP(TblFeedFile[[#This Row],[Leave Type ]],LkupPayType[],2,FALSE),"TBD")</f>
        <v>Paid</v>
      </c>
      <c r="AH578" s="22"/>
      <c r="AI578" s="25"/>
      <c r="AJ578" s="25"/>
      <c r="AK578" s="26"/>
    </row>
    <row r="579" spans="1:37" x14ac:dyDescent="0.25">
      <c r="A579" s="21" t="s">
        <v>37</v>
      </c>
      <c r="B579" s="22">
        <v>314304</v>
      </c>
      <c r="C579" s="22">
        <v>26592054</v>
      </c>
      <c r="D579" s="23">
        <v>521704118342</v>
      </c>
      <c r="E579" s="22" t="s">
        <v>2529</v>
      </c>
      <c r="F579" s="22" t="s">
        <v>2530</v>
      </c>
      <c r="G579" s="22">
        <v>20170408</v>
      </c>
      <c r="H579" s="22">
        <v>20170408</v>
      </c>
      <c r="I579" s="22" t="s">
        <v>43</v>
      </c>
      <c r="J579" s="22"/>
      <c r="K579" s="22"/>
      <c r="L579" s="22" t="s">
        <v>34</v>
      </c>
      <c r="M579" s="22" t="s">
        <v>34</v>
      </c>
      <c r="N579" s="22" t="s">
        <v>35</v>
      </c>
      <c r="O579" s="22" t="s">
        <v>35</v>
      </c>
      <c r="P579" s="22" t="s">
        <v>35</v>
      </c>
      <c r="Q579" s="22" t="s">
        <v>35</v>
      </c>
      <c r="R579" s="22" t="s">
        <v>35</v>
      </c>
      <c r="S579" s="22" t="s">
        <v>34</v>
      </c>
      <c r="T579" s="22"/>
      <c r="U579" s="22"/>
      <c r="V579" s="22"/>
      <c r="W579" s="22"/>
      <c r="X579" s="22"/>
      <c r="Y579" s="22"/>
      <c r="Z579" s="22"/>
      <c r="AA579" s="22"/>
      <c r="AB579" s="22"/>
      <c r="AC579" s="22" t="s">
        <v>1895</v>
      </c>
      <c r="AD579" s="22">
        <v>20170413</v>
      </c>
      <c r="AE579" s="22">
        <v>578</v>
      </c>
      <c r="AF579" s="22"/>
      <c r="AG579" s="22" t="str">
        <f>IFERROR(VLOOKUP(TblFeedFile[[#This Row],[Leave Type ]],LkupPayType[],2,FALSE),"TBD")</f>
        <v>Denied</v>
      </c>
      <c r="AH579" s="22"/>
      <c r="AI579" s="25" t="s">
        <v>35</v>
      </c>
      <c r="AJ579" s="25"/>
      <c r="AK579" s="26"/>
    </row>
    <row r="580" spans="1:37" x14ac:dyDescent="0.25">
      <c r="A580" s="21" t="s">
        <v>29</v>
      </c>
      <c r="B580" s="22">
        <v>314304</v>
      </c>
      <c r="C580" s="22">
        <v>26607267</v>
      </c>
      <c r="D580" s="23" t="s">
        <v>2531</v>
      </c>
      <c r="E580" s="22" t="s">
        <v>2532</v>
      </c>
      <c r="F580" s="22" t="s">
        <v>2533</v>
      </c>
      <c r="G580" s="22">
        <v>20170408</v>
      </c>
      <c r="H580" s="22">
        <v>20170408</v>
      </c>
      <c r="I580" s="22" t="s">
        <v>33</v>
      </c>
      <c r="J580" s="22"/>
      <c r="K580" s="22"/>
      <c r="L580" s="22" t="s">
        <v>34</v>
      </c>
      <c r="M580" s="22" t="s">
        <v>34</v>
      </c>
      <c r="N580" s="22" t="s">
        <v>35</v>
      </c>
      <c r="O580" s="22" t="s">
        <v>35</v>
      </c>
      <c r="P580" s="22" t="s">
        <v>35</v>
      </c>
      <c r="Q580" s="22" t="s">
        <v>35</v>
      </c>
      <c r="R580" s="22" t="s">
        <v>35</v>
      </c>
      <c r="S580" s="22" t="s">
        <v>34</v>
      </c>
      <c r="T580" s="22"/>
      <c r="U580" s="22"/>
      <c r="V580" s="22"/>
      <c r="W580" s="22"/>
      <c r="X580" s="22"/>
      <c r="Y580" s="22"/>
      <c r="Z580" s="22"/>
      <c r="AA580" s="22"/>
      <c r="AB580" s="22"/>
      <c r="AC580" s="22" t="s">
        <v>1917</v>
      </c>
      <c r="AD580" s="22">
        <v>20170413</v>
      </c>
      <c r="AE580" s="22">
        <v>579</v>
      </c>
      <c r="AF580" s="22"/>
      <c r="AG580" s="22" t="str">
        <f>IFERROR(VLOOKUP(TblFeedFile[[#This Row],[Leave Type ]],LkupPayType[],2,FALSE),"TBD")</f>
        <v>Closed</v>
      </c>
      <c r="AH580" s="22"/>
      <c r="AI580" s="25"/>
      <c r="AJ580" s="25"/>
      <c r="AK580" s="26"/>
    </row>
    <row r="581" spans="1:37" x14ac:dyDescent="0.25">
      <c r="A581" s="21" t="s">
        <v>37</v>
      </c>
      <c r="B581" s="22">
        <v>314304</v>
      </c>
      <c r="C581" s="22">
        <v>26607267</v>
      </c>
      <c r="D581" s="23" t="s">
        <v>2531</v>
      </c>
      <c r="E581" s="22" t="s">
        <v>2532</v>
      </c>
      <c r="F581" s="22" t="s">
        <v>2533</v>
      </c>
      <c r="G581" s="22">
        <v>20170306</v>
      </c>
      <c r="H581" s="22">
        <v>20170407</v>
      </c>
      <c r="I581" s="22" t="s">
        <v>36</v>
      </c>
      <c r="J581" s="22"/>
      <c r="K581" s="22"/>
      <c r="L581" s="22" t="s">
        <v>34</v>
      </c>
      <c r="M581" s="22" t="s">
        <v>34</v>
      </c>
      <c r="N581" s="22" t="s">
        <v>35</v>
      </c>
      <c r="O581" s="22" t="s">
        <v>35</v>
      </c>
      <c r="P581" s="22" t="s">
        <v>35</v>
      </c>
      <c r="Q581" s="22" t="s">
        <v>35</v>
      </c>
      <c r="R581" s="22" t="s">
        <v>35</v>
      </c>
      <c r="S581" s="22" t="s">
        <v>34</v>
      </c>
      <c r="T581" s="22">
        <v>20170411</v>
      </c>
      <c r="U581" s="22"/>
      <c r="V581" s="22"/>
      <c r="W581" s="22"/>
      <c r="X581" s="22"/>
      <c r="Y581" s="22"/>
      <c r="Z581" s="22"/>
      <c r="AA581" s="22"/>
      <c r="AB581" s="22"/>
      <c r="AC581" s="22" t="s">
        <v>1921</v>
      </c>
      <c r="AD581" s="22">
        <v>20170413</v>
      </c>
      <c r="AE581" s="22">
        <v>580</v>
      </c>
      <c r="AF581" s="22"/>
      <c r="AG581" s="22" t="str">
        <f>IFERROR(VLOOKUP(TblFeedFile[[#This Row],[Leave Type ]],LkupPayType[],2,FALSE),"TBD")</f>
        <v>Unpaid</v>
      </c>
      <c r="AH581" s="22"/>
      <c r="AI581" s="25" t="s">
        <v>35</v>
      </c>
      <c r="AJ581" s="25"/>
      <c r="AK581" s="26" t="s">
        <v>35</v>
      </c>
    </row>
    <row r="582" spans="1:37" x14ac:dyDescent="0.25">
      <c r="A582" s="21" t="s">
        <v>37</v>
      </c>
      <c r="B582" s="22">
        <v>314301</v>
      </c>
      <c r="C582" s="22">
        <v>26691013</v>
      </c>
      <c r="D582" s="23" t="s">
        <v>2534</v>
      </c>
      <c r="E582" s="22" t="s">
        <v>976</v>
      </c>
      <c r="F582" s="22" t="s">
        <v>2535</v>
      </c>
      <c r="G582" s="22">
        <v>20170412</v>
      </c>
      <c r="H582" s="22">
        <v>20170801</v>
      </c>
      <c r="I582" s="22" t="s">
        <v>36</v>
      </c>
      <c r="J582" s="22"/>
      <c r="K582" s="22"/>
      <c r="L582" s="22" t="s">
        <v>34</v>
      </c>
      <c r="M582" s="22" t="s">
        <v>34</v>
      </c>
      <c r="N582" s="22" t="s">
        <v>35</v>
      </c>
      <c r="O582" s="22" t="s">
        <v>35</v>
      </c>
      <c r="P582" s="22" t="s">
        <v>35</v>
      </c>
      <c r="Q582" s="22" t="s">
        <v>35</v>
      </c>
      <c r="R582" s="22" t="s">
        <v>35</v>
      </c>
      <c r="S582" s="22" t="s">
        <v>34</v>
      </c>
      <c r="T582" s="22"/>
      <c r="U582" s="22"/>
      <c r="V582" s="22"/>
      <c r="W582" s="22"/>
      <c r="X582" s="22"/>
      <c r="Y582" s="22"/>
      <c r="Z582" s="22"/>
      <c r="AA582" s="22"/>
      <c r="AB582" s="22"/>
      <c r="AC582" s="22" t="s">
        <v>1927</v>
      </c>
      <c r="AD582" s="22">
        <v>20170413</v>
      </c>
      <c r="AE582" s="22">
        <v>581</v>
      </c>
      <c r="AF582" s="22"/>
      <c r="AG582" s="22" t="str">
        <f>IFERROR(VLOOKUP(TblFeedFile[[#This Row],[Leave Type ]],LkupPayType[],2,FALSE),"TBD")</f>
        <v>Unpaid</v>
      </c>
      <c r="AH582" s="22"/>
      <c r="AI582" s="25"/>
      <c r="AJ582" s="25"/>
      <c r="AK582" s="26"/>
    </row>
    <row r="583" spans="1:37" x14ac:dyDescent="0.25">
      <c r="A583" s="21" t="s">
        <v>29</v>
      </c>
      <c r="B583" s="22">
        <v>314301</v>
      </c>
      <c r="C583" s="22">
        <v>26692117</v>
      </c>
      <c r="D583" s="23">
        <v>521703298082</v>
      </c>
      <c r="E583" s="22" t="s">
        <v>346</v>
      </c>
      <c r="F583" s="22" t="s">
        <v>2536</v>
      </c>
      <c r="G583" s="22">
        <v>20170328</v>
      </c>
      <c r="H583" s="22">
        <v>20170718</v>
      </c>
      <c r="I583" s="22" t="s">
        <v>53</v>
      </c>
      <c r="J583" s="22"/>
      <c r="K583" s="22"/>
      <c r="L583" s="22" t="s">
        <v>34</v>
      </c>
      <c r="M583" s="22" t="s">
        <v>34</v>
      </c>
      <c r="N583" s="22" t="s">
        <v>35</v>
      </c>
      <c r="O583" s="22" t="s">
        <v>35</v>
      </c>
      <c r="P583" s="22" t="s">
        <v>35</v>
      </c>
      <c r="Q583" s="22" t="s">
        <v>35</v>
      </c>
      <c r="R583" s="22" t="s">
        <v>35</v>
      </c>
      <c r="S583" s="22" t="s">
        <v>34</v>
      </c>
      <c r="T583" s="22"/>
      <c r="U583" s="22"/>
      <c r="V583" s="22"/>
      <c r="W583" s="22"/>
      <c r="X583" s="22"/>
      <c r="Y583" s="22"/>
      <c r="Z583" s="22"/>
      <c r="AA583" s="22"/>
      <c r="AB583" s="22"/>
      <c r="AC583" s="22" t="s">
        <v>1900</v>
      </c>
      <c r="AD583" s="22">
        <v>20170413</v>
      </c>
      <c r="AE583" s="22">
        <v>582</v>
      </c>
      <c r="AF583" s="22"/>
      <c r="AG583" s="22" t="str">
        <f>IFERROR(VLOOKUP(TblFeedFile[[#This Row],[Leave Type ]],LkupPayType[],2,FALSE),"TBD")</f>
        <v>Paid</v>
      </c>
      <c r="AH583" s="22"/>
      <c r="AI583" s="25"/>
      <c r="AJ583" s="25"/>
      <c r="AK583" s="26"/>
    </row>
    <row r="584" spans="1:37" x14ac:dyDescent="0.25">
      <c r="A584" s="21" t="s">
        <v>37</v>
      </c>
      <c r="B584" s="22">
        <v>314301</v>
      </c>
      <c r="C584" s="22">
        <v>26692117</v>
      </c>
      <c r="D584" s="23">
        <v>521703298082</v>
      </c>
      <c r="E584" s="22" t="s">
        <v>346</v>
      </c>
      <c r="F584" s="22" t="s">
        <v>2536</v>
      </c>
      <c r="G584" s="22">
        <v>20170328</v>
      </c>
      <c r="H584" s="22">
        <v>20170509</v>
      </c>
      <c r="I584" s="22" t="s">
        <v>155</v>
      </c>
      <c r="J584" s="22"/>
      <c r="K584" s="22"/>
      <c r="L584" s="22" t="s">
        <v>34</v>
      </c>
      <c r="M584" s="22" t="s">
        <v>34</v>
      </c>
      <c r="N584" s="22" t="s">
        <v>35</v>
      </c>
      <c r="O584" s="22" t="s">
        <v>35</v>
      </c>
      <c r="P584" s="22" t="s">
        <v>35</v>
      </c>
      <c r="Q584" s="22" t="s">
        <v>35</v>
      </c>
      <c r="R584" s="22" t="s">
        <v>35</v>
      </c>
      <c r="S584" s="22" t="s">
        <v>34</v>
      </c>
      <c r="T584" s="22"/>
      <c r="U584" s="22"/>
      <c r="V584" s="22"/>
      <c r="W584" s="22"/>
      <c r="X584" s="22"/>
      <c r="Y584" s="22"/>
      <c r="Z584" s="22"/>
      <c r="AA584" s="22"/>
      <c r="AB584" s="22"/>
      <c r="AC584" s="22" t="s">
        <v>1911</v>
      </c>
      <c r="AD584" s="22">
        <v>20170413</v>
      </c>
      <c r="AE584" s="22">
        <v>583</v>
      </c>
      <c r="AF584" s="22"/>
      <c r="AG584" s="22" t="str">
        <f>IFERROR(VLOOKUP(TblFeedFile[[#This Row],[Leave Type ]],LkupPayType[],2,FALSE),"TBD")</f>
        <v>Paid</v>
      </c>
      <c r="AH584" s="22"/>
      <c r="AI584" s="25"/>
      <c r="AJ584" s="25"/>
      <c r="AK584" s="26"/>
    </row>
    <row r="585" spans="1:37" x14ac:dyDescent="0.25">
      <c r="A585" s="21" t="s">
        <v>37</v>
      </c>
      <c r="B585" s="22">
        <v>314301</v>
      </c>
      <c r="C585" s="22">
        <v>26692117</v>
      </c>
      <c r="D585" s="23">
        <v>521703298082</v>
      </c>
      <c r="E585" s="22" t="s">
        <v>346</v>
      </c>
      <c r="F585" s="22" t="s">
        <v>2536</v>
      </c>
      <c r="G585" s="22">
        <v>20170328</v>
      </c>
      <c r="H585" s="22">
        <v>20170509</v>
      </c>
      <c r="I585" s="22" t="s">
        <v>53</v>
      </c>
      <c r="J585" s="22"/>
      <c r="K585" s="22"/>
      <c r="L585" s="22" t="s">
        <v>34</v>
      </c>
      <c r="M585" s="22" t="s">
        <v>34</v>
      </c>
      <c r="N585" s="22" t="s">
        <v>35</v>
      </c>
      <c r="O585" s="22" t="s">
        <v>35</v>
      </c>
      <c r="P585" s="22" t="s">
        <v>35</v>
      </c>
      <c r="Q585" s="22" t="s">
        <v>35</v>
      </c>
      <c r="R585" s="22" t="s">
        <v>35</v>
      </c>
      <c r="S585" s="22" t="s">
        <v>34</v>
      </c>
      <c r="T585" s="22"/>
      <c r="U585" s="22"/>
      <c r="V585" s="22"/>
      <c r="W585" s="22"/>
      <c r="X585" s="22"/>
      <c r="Y585" s="22"/>
      <c r="Z585" s="22"/>
      <c r="AA585" s="22"/>
      <c r="AB585" s="22"/>
      <c r="AC585" s="22" t="s">
        <v>1900</v>
      </c>
      <c r="AD585" s="22">
        <v>20170413</v>
      </c>
      <c r="AE585" s="22">
        <v>584</v>
      </c>
      <c r="AF585" s="22"/>
      <c r="AG585" s="22" t="str">
        <f>IFERROR(VLOOKUP(TblFeedFile[[#This Row],[Leave Type ]],LkupPayType[],2,FALSE),"TBD")</f>
        <v>Paid</v>
      </c>
      <c r="AH585" s="22"/>
      <c r="AI585" s="25"/>
      <c r="AJ585" s="25"/>
      <c r="AK585" s="26"/>
    </row>
    <row r="586" spans="1:37" x14ac:dyDescent="0.25">
      <c r="A586" s="21" t="s">
        <v>37</v>
      </c>
      <c r="B586" s="22">
        <v>314301</v>
      </c>
      <c r="C586" s="22">
        <v>26692117</v>
      </c>
      <c r="D586" s="23">
        <v>521703298082</v>
      </c>
      <c r="E586" s="22" t="s">
        <v>346</v>
      </c>
      <c r="F586" s="22" t="s">
        <v>2536</v>
      </c>
      <c r="G586" s="22">
        <v>20170404</v>
      </c>
      <c r="H586" s="22">
        <v>20170509</v>
      </c>
      <c r="I586" s="22" t="s">
        <v>459</v>
      </c>
      <c r="J586" s="22"/>
      <c r="K586" s="22"/>
      <c r="L586" s="22" t="s">
        <v>34</v>
      </c>
      <c r="M586" s="22" t="s">
        <v>34</v>
      </c>
      <c r="N586" s="22" t="s">
        <v>35</v>
      </c>
      <c r="O586" s="22" t="s">
        <v>35</v>
      </c>
      <c r="P586" s="22" t="s">
        <v>35</v>
      </c>
      <c r="Q586" s="22" t="s">
        <v>35</v>
      </c>
      <c r="R586" s="22" t="s">
        <v>35</v>
      </c>
      <c r="S586" s="22" t="s">
        <v>34</v>
      </c>
      <c r="T586" s="22"/>
      <c r="U586" s="22"/>
      <c r="V586" s="22"/>
      <c r="W586" s="22"/>
      <c r="X586" s="22"/>
      <c r="Y586" s="22"/>
      <c r="Z586" s="22"/>
      <c r="AA586" s="22"/>
      <c r="AB586" s="22"/>
      <c r="AC586" s="22" t="s">
        <v>1936</v>
      </c>
      <c r="AD586" s="22">
        <v>20170413</v>
      </c>
      <c r="AE586" s="22">
        <v>585</v>
      </c>
      <c r="AF586" s="22"/>
      <c r="AG586" s="22" t="str">
        <f>IFERROR(VLOOKUP(TblFeedFile[[#This Row],[Leave Type ]],LkupPayType[],2,FALSE),"TBD")</f>
        <v>Paid</v>
      </c>
      <c r="AH586" s="22"/>
      <c r="AI586" s="25"/>
      <c r="AJ586" s="25"/>
      <c r="AK586" s="26"/>
    </row>
    <row r="587" spans="1:37" x14ac:dyDescent="0.25">
      <c r="A587" s="21" t="s">
        <v>29</v>
      </c>
      <c r="B587" s="22">
        <v>314304</v>
      </c>
      <c r="C587" s="22">
        <v>26749541</v>
      </c>
      <c r="D587" s="23" t="s">
        <v>2537</v>
      </c>
      <c r="E587" s="22" t="s">
        <v>2538</v>
      </c>
      <c r="F587" s="22" t="s">
        <v>2539</v>
      </c>
      <c r="G587" s="22">
        <v>20170214</v>
      </c>
      <c r="H587" s="22">
        <v>20170422</v>
      </c>
      <c r="I587" s="22" t="s">
        <v>223</v>
      </c>
      <c r="J587" s="22"/>
      <c r="K587" s="22"/>
      <c r="L587" s="22" t="s">
        <v>34</v>
      </c>
      <c r="M587" s="22" t="s">
        <v>34</v>
      </c>
      <c r="N587" s="22" t="s">
        <v>35</v>
      </c>
      <c r="O587" s="22" t="s">
        <v>35</v>
      </c>
      <c r="P587" s="22" t="s">
        <v>35</v>
      </c>
      <c r="Q587" s="22" t="s">
        <v>35</v>
      </c>
      <c r="R587" s="22" t="s">
        <v>35</v>
      </c>
      <c r="S587" s="22" t="s">
        <v>34</v>
      </c>
      <c r="T587" s="22"/>
      <c r="U587" s="22"/>
      <c r="V587" s="22"/>
      <c r="W587" s="22"/>
      <c r="X587" s="22"/>
      <c r="Y587" s="22"/>
      <c r="Z587" s="22"/>
      <c r="AA587" s="22"/>
      <c r="AB587" s="22"/>
      <c r="AC587" s="22" t="s">
        <v>1895</v>
      </c>
      <c r="AD587" s="22">
        <v>20170413</v>
      </c>
      <c r="AE587" s="22">
        <v>586</v>
      </c>
      <c r="AF587" s="22"/>
      <c r="AG587" s="22" t="str">
        <f>IFERROR(VLOOKUP(TblFeedFile[[#This Row],[Leave Type ]],LkupPayType[],2,FALSE),"TBD")</f>
        <v>Paid</v>
      </c>
      <c r="AH587" s="22"/>
      <c r="AI587" s="25"/>
      <c r="AJ587" s="25"/>
      <c r="AK587" s="26"/>
    </row>
    <row r="588" spans="1:37" x14ac:dyDescent="0.25">
      <c r="A588" s="21" t="s">
        <v>37</v>
      </c>
      <c r="B588" s="22">
        <v>314304</v>
      </c>
      <c r="C588" s="22">
        <v>26749541</v>
      </c>
      <c r="D588" s="23" t="s">
        <v>2537</v>
      </c>
      <c r="E588" s="22" t="s">
        <v>2538</v>
      </c>
      <c r="F588" s="22" t="s">
        <v>2539</v>
      </c>
      <c r="G588" s="22">
        <v>20170214</v>
      </c>
      <c r="H588" s="22">
        <v>20170514</v>
      </c>
      <c r="I588" s="22" t="s">
        <v>223</v>
      </c>
      <c r="J588" s="22"/>
      <c r="K588" s="22"/>
      <c r="L588" s="22" t="s">
        <v>34</v>
      </c>
      <c r="M588" s="22" t="s">
        <v>34</v>
      </c>
      <c r="N588" s="22" t="s">
        <v>35</v>
      </c>
      <c r="O588" s="22" t="s">
        <v>35</v>
      </c>
      <c r="P588" s="22" t="s">
        <v>35</v>
      </c>
      <c r="Q588" s="22" t="s">
        <v>35</v>
      </c>
      <c r="R588" s="22" t="s">
        <v>35</v>
      </c>
      <c r="S588" s="22" t="s">
        <v>34</v>
      </c>
      <c r="T588" s="22"/>
      <c r="U588" s="22"/>
      <c r="V588" s="22"/>
      <c r="W588" s="22"/>
      <c r="X588" s="22"/>
      <c r="Y588" s="22"/>
      <c r="Z588" s="22"/>
      <c r="AA588" s="22"/>
      <c r="AB588" s="22"/>
      <c r="AC588" s="22" t="s">
        <v>1895</v>
      </c>
      <c r="AD588" s="22">
        <v>20170413</v>
      </c>
      <c r="AE588" s="22">
        <v>587</v>
      </c>
      <c r="AF588" s="22"/>
      <c r="AG588" s="22" t="str">
        <f>IFERROR(VLOOKUP(TblFeedFile[[#This Row],[Leave Type ]],LkupPayType[],2,FALSE),"TBD")</f>
        <v>Paid</v>
      </c>
      <c r="AH588" s="22"/>
      <c r="AI588" s="25"/>
      <c r="AJ588" s="25"/>
      <c r="AK588" s="26"/>
    </row>
    <row r="589" spans="1:37" x14ac:dyDescent="0.25">
      <c r="A589" s="21" t="s">
        <v>29</v>
      </c>
      <c r="B589" s="22">
        <v>314301</v>
      </c>
      <c r="C589" s="22">
        <v>26776672</v>
      </c>
      <c r="D589" s="23" t="s">
        <v>2540</v>
      </c>
      <c r="E589" s="22" t="s">
        <v>2541</v>
      </c>
      <c r="F589" s="22" t="s">
        <v>2542</v>
      </c>
      <c r="G589" s="22">
        <v>20170403</v>
      </c>
      <c r="H589" s="22">
        <v>20170403</v>
      </c>
      <c r="I589" s="22" t="s">
        <v>33</v>
      </c>
      <c r="J589" s="22"/>
      <c r="K589" s="22"/>
      <c r="L589" s="22" t="s">
        <v>34</v>
      </c>
      <c r="M589" s="22" t="s">
        <v>34</v>
      </c>
      <c r="N589" s="22" t="s">
        <v>35</v>
      </c>
      <c r="O589" s="22" t="s">
        <v>35</v>
      </c>
      <c r="P589" s="22" t="s">
        <v>35</v>
      </c>
      <c r="Q589" s="22" t="s">
        <v>35</v>
      </c>
      <c r="R589" s="22" t="s">
        <v>35</v>
      </c>
      <c r="S589" s="22" t="s">
        <v>34</v>
      </c>
      <c r="T589" s="22"/>
      <c r="U589" s="22"/>
      <c r="V589" s="22"/>
      <c r="W589" s="22"/>
      <c r="X589" s="22"/>
      <c r="Y589" s="22"/>
      <c r="Z589" s="22"/>
      <c r="AA589" s="22"/>
      <c r="AB589" s="22"/>
      <c r="AC589" s="22" t="s">
        <v>1936</v>
      </c>
      <c r="AD589" s="22">
        <v>20170413</v>
      </c>
      <c r="AE589" s="22">
        <v>588</v>
      </c>
      <c r="AF589" s="22"/>
      <c r="AG589" s="22" t="str">
        <f>IFERROR(VLOOKUP(TblFeedFile[[#This Row],[Leave Type ]],LkupPayType[],2,FALSE),"TBD")</f>
        <v>Closed</v>
      </c>
      <c r="AH589" s="22"/>
      <c r="AI589" s="25"/>
      <c r="AJ589" s="25"/>
      <c r="AK589" s="26"/>
    </row>
    <row r="590" spans="1:37" x14ac:dyDescent="0.25">
      <c r="A590" s="21" t="s">
        <v>29</v>
      </c>
      <c r="B590" s="22">
        <v>314301</v>
      </c>
      <c r="C590" s="22">
        <v>26776672</v>
      </c>
      <c r="D590" s="23" t="s">
        <v>2540</v>
      </c>
      <c r="E590" s="22" t="s">
        <v>2541</v>
      </c>
      <c r="F590" s="22" t="s">
        <v>2542</v>
      </c>
      <c r="G590" s="22">
        <v>20170306</v>
      </c>
      <c r="H590" s="22">
        <v>20170402</v>
      </c>
      <c r="I590" s="22" t="s">
        <v>223</v>
      </c>
      <c r="J590" s="22"/>
      <c r="K590" s="22"/>
      <c r="L590" s="22" t="s">
        <v>34</v>
      </c>
      <c r="M590" s="22" t="s">
        <v>34</v>
      </c>
      <c r="N590" s="22" t="s">
        <v>35</v>
      </c>
      <c r="O590" s="22" t="s">
        <v>35</v>
      </c>
      <c r="P590" s="22" t="s">
        <v>35</v>
      </c>
      <c r="Q590" s="22" t="s">
        <v>35</v>
      </c>
      <c r="R590" s="22" t="s">
        <v>35</v>
      </c>
      <c r="S590" s="22" t="s">
        <v>34</v>
      </c>
      <c r="T590" s="22"/>
      <c r="U590" s="22"/>
      <c r="V590" s="22"/>
      <c r="W590" s="22"/>
      <c r="X590" s="22"/>
      <c r="Y590" s="22"/>
      <c r="Z590" s="22"/>
      <c r="AA590" s="22"/>
      <c r="AB590" s="22"/>
      <c r="AC590" s="22" t="s">
        <v>1923</v>
      </c>
      <c r="AD590" s="22">
        <v>20170413</v>
      </c>
      <c r="AE590" s="22">
        <v>589</v>
      </c>
      <c r="AF590" s="22"/>
      <c r="AG590" s="22" t="str">
        <f>IFERROR(VLOOKUP(TblFeedFile[[#This Row],[Leave Type ]],LkupPayType[],2,FALSE),"TBD")</f>
        <v>Paid</v>
      </c>
      <c r="AH590" s="22"/>
      <c r="AI590" s="25"/>
      <c r="AJ590" s="25"/>
      <c r="AK590" s="26"/>
    </row>
    <row r="591" spans="1:37" x14ac:dyDescent="0.25">
      <c r="A591" s="21" t="s">
        <v>37</v>
      </c>
      <c r="B591" s="22">
        <v>314301</v>
      </c>
      <c r="C591" s="22">
        <v>26776672</v>
      </c>
      <c r="D591" s="23" t="s">
        <v>2540</v>
      </c>
      <c r="E591" s="22" t="s">
        <v>2541</v>
      </c>
      <c r="F591" s="22" t="s">
        <v>2542</v>
      </c>
      <c r="G591" s="22">
        <v>20170306</v>
      </c>
      <c r="H591" s="22">
        <v>20170306</v>
      </c>
      <c r="I591" s="22" t="s">
        <v>43</v>
      </c>
      <c r="J591" s="22"/>
      <c r="K591" s="22"/>
      <c r="L591" s="22" t="s">
        <v>34</v>
      </c>
      <c r="M591" s="22" t="s">
        <v>34</v>
      </c>
      <c r="N591" s="22" t="s">
        <v>35</v>
      </c>
      <c r="O591" s="22" t="s">
        <v>35</v>
      </c>
      <c r="P591" s="22" t="s">
        <v>35</v>
      </c>
      <c r="Q591" s="22" t="s">
        <v>35</v>
      </c>
      <c r="R591" s="22" t="s">
        <v>35</v>
      </c>
      <c r="S591" s="22" t="s">
        <v>34</v>
      </c>
      <c r="T591" s="22"/>
      <c r="U591" s="22"/>
      <c r="V591" s="22"/>
      <c r="W591" s="22"/>
      <c r="X591" s="22"/>
      <c r="Y591" s="22"/>
      <c r="Z591" s="22"/>
      <c r="AA591" s="22"/>
      <c r="AB591" s="22"/>
      <c r="AC591" s="22" t="s">
        <v>1936</v>
      </c>
      <c r="AD591" s="22">
        <v>20170413</v>
      </c>
      <c r="AE591" s="22">
        <v>590</v>
      </c>
      <c r="AF591" s="22"/>
      <c r="AG591" s="22" t="str">
        <f>IFERROR(VLOOKUP(TblFeedFile[[#This Row],[Leave Type ]],LkupPayType[],2,FALSE),"TBD")</f>
        <v>Denied</v>
      </c>
      <c r="AH591" s="22"/>
      <c r="AI591" s="25" t="s">
        <v>35</v>
      </c>
      <c r="AJ591" s="25"/>
      <c r="AK591" s="26"/>
    </row>
    <row r="592" spans="1:37" x14ac:dyDescent="0.25">
      <c r="A592" s="21" t="s">
        <v>29</v>
      </c>
      <c r="B592" s="22">
        <v>314304</v>
      </c>
      <c r="C592" s="22">
        <v>26781189</v>
      </c>
      <c r="D592" s="23" t="s">
        <v>2543</v>
      </c>
      <c r="E592" s="22" t="s">
        <v>2544</v>
      </c>
      <c r="F592" s="22" t="s">
        <v>2545</v>
      </c>
      <c r="G592" s="22">
        <v>20161127</v>
      </c>
      <c r="H592" s="22">
        <v>20170330</v>
      </c>
      <c r="I592" s="22" t="s">
        <v>36</v>
      </c>
      <c r="J592" s="22"/>
      <c r="K592" s="22"/>
      <c r="L592" s="22" t="s">
        <v>34</v>
      </c>
      <c r="M592" s="22" t="s">
        <v>34</v>
      </c>
      <c r="N592" s="22" t="s">
        <v>35</v>
      </c>
      <c r="O592" s="22" t="s">
        <v>35</v>
      </c>
      <c r="P592" s="22" t="s">
        <v>35</v>
      </c>
      <c r="Q592" s="22" t="s">
        <v>35</v>
      </c>
      <c r="R592" s="22" t="s">
        <v>35</v>
      </c>
      <c r="S592" s="22" t="s">
        <v>34</v>
      </c>
      <c r="T592" s="22">
        <v>20170331</v>
      </c>
      <c r="U592" s="22"/>
      <c r="V592" s="22"/>
      <c r="W592" s="22"/>
      <c r="X592" s="22"/>
      <c r="Y592" s="22"/>
      <c r="Z592" s="22"/>
      <c r="AA592" s="22"/>
      <c r="AB592" s="22"/>
      <c r="AC592" s="22" t="s">
        <v>2222</v>
      </c>
      <c r="AD592" s="22">
        <v>20170413</v>
      </c>
      <c r="AE592" s="22">
        <v>591</v>
      </c>
      <c r="AF592" s="22"/>
      <c r="AG592" s="22" t="str">
        <f>IFERROR(VLOOKUP(TblFeedFile[[#This Row],[Leave Type ]],LkupPayType[],2,FALSE),"TBD")</f>
        <v>Unpaid</v>
      </c>
      <c r="AH592" s="22"/>
      <c r="AI592" s="25"/>
      <c r="AJ592" s="25"/>
      <c r="AK592" s="26"/>
    </row>
    <row r="593" spans="1:37" x14ac:dyDescent="0.25">
      <c r="A593" s="21" t="s">
        <v>37</v>
      </c>
      <c r="B593" s="22">
        <v>314304</v>
      </c>
      <c r="C593" s="22">
        <v>26781189</v>
      </c>
      <c r="D593" s="23" t="s">
        <v>2543</v>
      </c>
      <c r="E593" s="22" t="s">
        <v>2544</v>
      </c>
      <c r="F593" s="22" t="s">
        <v>2545</v>
      </c>
      <c r="G593" s="22">
        <v>20170119</v>
      </c>
      <c r="H593" s="22">
        <v>20170329</v>
      </c>
      <c r="I593" s="22" t="s">
        <v>155</v>
      </c>
      <c r="J593" s="22"/>
      <c r="K593" s="22"/>
      <c r="L593" s="22" t="s">
        <v>34</v>
      </c>
      <c r="M593" s="22" t="s">
        <v>34</v>
      </c>
      <c r="N593" s="22" t="s">
        <v>35</v>
      </c>
      <c r="O593" s="22" t="s">
        <v>35</v>
      </c>
      <c r="P593" s="22" t="s">
        <v>35</v>
      </c>
      <c r="Q593" s="22" t="s">
        <v>35</v>
      </c>
      <c r="R593" s="22" t="s">
        <v>35</v>
      </c>
      <c r="S593" s="22" t="s">
        <v>34</v>
      </c>
      <c r="T593" s="22">
        <v>20170331</v>
      </c>
      <c r="U593" s="22"/>
      <c r="V593" s="22"/>
      <c r="W593" s="22"/>
      <c r="X593" s="22"/>
      <c r="Y593" s="22"/>
      <c r="Z593" s="22"/>
      <c r="AA593" s="22"/>
      <c r="AB593" s="22"/>
      <c r="AC593" s="22" t="s">
        <v>2222</v>
      </c>
      <c r="AD593" s="22">
        <v>20170413</v>
      </c>
      <c r="AE593" s="22">
        <v>592</v>
      </c>
      <c r="AF593" s="22"/>
      <c r="AG593" s="22" t="str">
        <f>IFERROR(VLOOKUP(TblFeedFile[[#This Row],[Leave Type ]],LkupPayType[],2,FALSE),"TBD")</f>
        <v>Paid</v>
      </c>
      <c r="AH593" s="22"/>
      <c r="AI593" s="25"/>
      <c r="AJ593" s="25"/>
      <c r="AK593" s="26" t="s">
        <v>35</v>
      </c>
    </row>
    <row r="594" spans="1:37" x14ac:dyDescent="0.25">
      <c r="A594" s="21" t="s">
        <v>37</v>
      </c>
      <c r="B594" s="22">
        <v>314304</v>
      </c>
      <c r="C594" s="22">
        <v>26781189</v>
      </c>
      <c r="D594" s="23" t="s">
        <v>2543</v>
      </c>
      <c r="E594" s="22" t="s">
        <v>2544</v>
      </c>
      <c r="F594" s="22" t="s">
        <v>2545</v>
      </c>
      <c r="G594" s="22">
        <v>20170119</v>
      </c>
      <c r="H594" s="22">
        <v>20170329</v>
      </c>
      <c r="I594" s="22" t="s">
        <v>156</v>
      </c>
      <c r="J594" s="22"/>
      <c r="K594" s="22"/>
      <c r="L594" s="22" t="s">
        <v>34</v>
      </c>
      <c r="M594" s="22" t="s">
        <v>34</v>
      </c>
      <c r="N594" s="22" t="s">
        <v>35</v>
      </c>
      <c r="O594" s="22" t="s">
        <v>35</v>
      </c>
      <c r="P594" s="22" t="s">
        <v>35</v>
      </c>
      <c r="Q594" s="22" t="s">
        <v>35</v>
      </c>
      <c r="R594" s="22" t="s">
        <v>35</v>
      </c>
      <c r="S594" s="22" t="s">
        <v>34</v>
      </c>
      <c r="T594" s="22"/>
      <c r="U594" s="22"/>
      <c r="V594" s="22"/>
      <c r="W594" s="22"/>
      <c r="X594" s="22"/>
      <c r="Y594" s="22"/>
      <c r="Z594" s="22"/>
      <c r="AA594" s="22"/>
      <c r="AB594" s="22"/>
      <c r="AC594" s="22" t="s">
        <v>2173</v>
      </c>
      <c r="AD594" s="22">
        <v>20170413</v>
      </c>
      <c r="AE594" s="22">
        <v>593</v>
      </c>
      <c r="AF594" s="22"/>
      <c r="AG594" s="22" t="str">
        <f>IFERROR(VLOOKUP(TblFeedFile[[#This Row],[Leave Type ]],LkupPayType[],2,FALSE),"TBD")</f>
        <v>Unpaid</v>
      </c>
      <c r="AH594" s="22"/>
      <c r="AI594" s="25"/>
      <c r="AJ594" s="25"/>
      <c r="AK594" s="26"/>
    </row>
    <row r="595" spans="1:37" x14ac:dyDescent="0.25">
      <c r="A595" s="21" t="s">
        <v>37</v>
      </c>
      <c r="B595" s="22">
        <v>314304</v>
      </c>
      <c r="C595" s="22">
        <v>26786533</v>
      </c>
      <c r="D595" s="23">
        <v>501704068630</v>
      </c>
      <c r="E595" s="22" t="s">
        <v>351</v>
      </c>
      <c r="F595" s="22" t="s">
        <v>2546</v>
      </c>
      <c r="G595" s="22">
        <v>20170412</v>
      </c>
      <c r="H595" s="22">
        <v>20170505</v>
      </c>
      <c r="I595" s="22" t="s">
        <v>40</v>
      </c>
      <c r="J595" s="22"/>
      <c r="K595" s="22"/>
      <c r="L595" s="22" t="s">
        <v>34</v>
      </c>
      <c r="M595" s="22" t="s">
        <v>34</v>
      </c>
      <c r="N595" s="22" t="s">
        <v>35</v>
      </c>
      <c r="O595" s="22" t="s">
        <v>35</v>
      </c>
      <c r="P595" s="22" t="s">
        <v>35</v>
      </c>
      <c r="Q595" s="22" t="s">
        <v>35</v>
      </c>
      <c r="R595" s="22" t="s">
        <v>35</v>
      </c>
      <c r="S595" s="22" t="s">
        <v>34</v>
      </c>
      <c r="T595" s="22"/>
      <c r="U595" s="22"/>
      <c r="V595" s="22"/>
      <c r="W595" s="22"/>
      <c r="X595" s="22"/>
      <c r="Y595" s="22"/>
      <c r="Z595" s="22"/>
      <c r="AA595" s="22"/>
      <c r="AB595" s="22"/>
      <c r="AC595" s="22" t="s">
        <v>1896</v>
      </c>
      <c r="AD595" s="22">
        <v>20170413</v>
      </c>
      <c r="AE595" s="22">
        <v>594</v>
      </c>
      <c r="AF595" s="22"/>
      <c r="AG595" s="22" t="str">
        <f>IFERROR(VLOOKUP(TblFeedFile[[#This Row],[Leave Type ]],LkupPayType[],2,FALSE),"TBD")</f>
        <v>Paid</v>
      </c>
      <c r="AH595" s="22"/>
      <c r="AI595" s="25"/>
      <c r="AJ595" s="25"/>
      <c r="AK595" s="26"/>
    </row>
    <row r="596" spans="1:37" x14ac:dyDescent="0.25">
      <c r="A596" s="21" t="s">
        <v>37</v>
      </c>
      <c r="B596" s="22">
        <v>314304</v>
      </c>
      <c r="C596" s="22">
        <v>26791115</v>
      </c>
      <c r="D596" s="23">
        <v>501702218420</v>
      </c>
      <c r="E596" s="22" t="s">
        <v>147</v>
      </c>
      <c r="F596" s="22" t="s">
        <v>2547</v>
      </c>
      <c r="G596" s="22">
        <v>20170225</v>
      </c>
      <c r="H596" s="22">
        <v>20170416</v>
      </c>
      <c r="I596" s="22" t="s">
        <v>40</v>
      </c>
      <c r="J596" s="22"/>
      <c r="K596" s="22"/>
      <c r="L596" s="22" t="s">
        <v>35</v>
      </c>
      <c r="M596" s="22"/>
      <c r="N596" s="22"/>
      <c r="O596" s="22"/>
      <c r="P596" s="22"/>
      <c r="Q596" s="22"/>
      <c r="R596" s="22"/>
      <c r="S596" s="22"/>
      <c r="T596" s="22">
        <v>20170417</v>
      </c>
      <c r="U596" s="22"/>
      <c r="V596" s="22"/>
      <c r="W596" s="22"/>
      <c r="X596" s="22"/>
      <c r="Y596" s="22">
        <v>472</v>
      </c>
      <c r="Z596" s="22" t="s">
        <v>306</v>
      </c>
      <c r="AA596" s="22">
        <v>20170225</v>
      </c>
      <c r="AB596" s="22">
        <v>20170818</v>
      </c>
      <c r="AC596" s="22" t="s">
        <v>1963</v>
      </c>
      <c r="AD596" s="22">
        <v>20170413</v>
      </c>
      <c r="AE596" s="22">
        <v>595</v>
      </c>
      <c r="AF596" s="22"/>
      <c r="AG596" s="22" t="str">
        <f>IFERROR(VLOOKUP(TblFeedFile[[#This Row],[Leave Type ]],LkupPayType[],2,FALSE),"TBD")</f>
        <v>Paid</v>
      </c>
      <c r="AH596" s="22"/>
      <c r="AI596" s="25"/>
      <c r="AJ596" s="25"/>
      <c r="AK596" s="26" t="s">
        <v>35</v>
      </c>
    </row>
    <row r="597" spans="1:37" x14ac:dyDescent="0.25">
      <c r="A597" s="21" t="s">
        <v>37</v>
      </c>
      <c r="B597" s="22">
        <v>314304</v>
      </c>
      <c r="C597" s="22">
        <v>26800656</v>
      </c>
      <c r="D597" s="23">
        <v>541704058194</v>
      </c>
      <c r="E597" s="22" t="s">
        <v>2548</v>
      </c>
      <c r="F597" s="22" t="s">
        <v>2549</v>
      </c>
      <c r="G597" s="22">
        <v>20170412</v>
      </c>
      <c r="H597" s="22">
        <v>20170529</v>
      </c>
      <c r="I597" s="22" t="s">
        <v>40</v>
      </c>
      <c r="J597" s="22"/>
      <c r="K597" s="22"/>
      <c r="L597" s="22" t="s">
        <v>34</v>
      </c>
      <c r="M597" s="22" t="s">
        <v>34</v>
      </c>
      <c r="N597" s="22" t="s">
        <v>35</v>
      </c>
      <c r="O597" s="22" t="s">
        <v>35</v>
      </c>
      <c r="P597" s="22" t="s">
        <v>35</v>
      </c>
      <c r="Q597" s="22" t="s">
        <v>35</v>
      </c>
      <c r="R597" s="22" t="s">
        <v>35</v>
      </c>
      <c r="S597" s="22" t="s">
        <v>34</v>
      </c>
      <c r="T597" s="22"/>
      <c r="U597" s="22"/>
      <c r="V597" s="22"/>
      <c r="W597" s="22"/>
      <c r="X597" s="22"/>
      <c r="Y597" s="22"/>
      <c r="Z597" s="22"/>
      <c r="AA597" s="22"/>
      <c r="AB597" s="22"/>
      <c r="AC597" s="22" t="s">
        <v>1916</v>
      </c>
      <c r="AD597" s="22">
        <v>20170413</v>
      </c>
      <c r="AE597" s="22">
        <v>596</v>
      </c>
      <c r="AF597" s="22"/>
      <c r="AG597" s="22" t="str">
        <f>IFERROR(VLOOKUP(TblFeedFile[[#This Row],[Leave Type ]],LkupPayType[],2,FALSE),"TBD")</f>
        <v>Paid</v>
      </c>
      <c r="AH597" s="22"/>
      <c r="AI597" s="25"/>
      <c r="AJ597" s="25"/>
      <c r="AK597" s="26"/>
    </row>
    <row r="598" spans="1:37" x14ac:dyDescent="0.25">
      <c r="A598" s="21" t="s">
        <v>37</v>
      </c>
      <c r="B598" s="22">
        <v>314304</v>
      </c>
      <c r="C598" s="22">
        <v>26822471</v>
      </c>
      <c r="D598" s="23">
        <v>501704058368</v>
      </c>
      <c r="E598" s="22" t="s">
        <v>2550</v>
      </c>
      <c r="F598" s="22" t="s">
        <v>2551</v>
      </c>
      <c r="G598" s="22">
        <v>20170413</v>
      </c>
      <c r="H598" s="22">
        <v>20170506</v>
      </c>
      <c r="I598" s="22" t="s">
        <v>40</v>
      </c>
      <c r="J598" s="22"/>
      <c r="K598" s="22"/>
      <c r="L598" s="22" t="s">
        <v>34</v>
      </c>
      <c r="M598" s="22" t="s">
        <v>34</v>
      </c>
      <c r="N598" s="22" t="s">
        <v>35</v>
      </c>
      <c r="O598" s="22" t="s">
        <v>35</v>
      </c>
      <c r="P598" s="22" t="s">
        <v>35</v>
      </c>
      <c r="Q598" s="22" t="s">
        <v>35</v>
      </c>
      <c r="R598" s="22" t="s">
        <v>35</v>
      </c>
      <c r="S598" s="22" t="s">
        <v>34</v>
      </c>
      <c r="T598" s="22"/>
      <c r="U598" s="22"/>
      <c r="V598" s="22"/>
      <c r="W598" s="22"/>
      <c r="X598" s="22"/>
      <c r="Y598" s="22"/>
      <c r="Z598" s="22"/>
      <c r="AA598" s="22"/>
      <c r="AB598" s="22"/>
      <c r="AC598" s="22" t="s">
        <v>1912</v>
      </c>
      <c r="AD598" s="22">
        <v>20170413</v>
      </c>
      <c r="AE598" s="22">
        <v>597</v>
      </c>
      <c r="AF598" s="22"/>
      <c r="AG598" s="22" t="str">
        <f>IFERROR(VLOOKUP(TblFeedFile[[#This Row],[Leave Type ]],LkupPayType[],2,FALSE),"TBD")</f>
        <v>Paid</v>
      </c>
      <c r="AH598" s="22"/>
      <c r="AI598" s="25"/>
      <c r="AJ598" s="25"/>
      <c r="AK598" s="26"/>
    </row>
    <row r="599" spans="1:37" x14ac:dyDescent="0.25">
      <c r="A599" s="21" t="s">
        <v>37</v>
      </c>
      <c r="B599" s="22">
        <v>314304</v>
      </c>
      <c r="C599" s="22">
        <v>26827510</v>
      </c>
      <c r="D599" s="23" t="s">
        <v>2552</v>
      </c>
      <c r="E599" s="22" t="s">
        <v>1992</v>
      </c>
      <c r="F599" s="22" t="s">
        <v>2553</v>
      </c>
      <c r="G599" s="22">
        <v>20161023</v>
      </c>
      <c r="H599" s="22">
        <v>20170311</v>
      </c>
      <c r="I599" s="22" t="s">
        <v>156</v>
      </c>
      <c r="J599" s="22"/>
      <c r="K599" s="22"/>
      <c r="L599" s="22" t="s">
        <v>34</v>
      </c>
      <c r="M599" s="22" t="s">
        <v>34</v>
      </c>
      <c r="N599" s="22" t="s">
        <v>35</v>
      </c>
      <c r="O599" s="22" t="s">
        <v>35</v>
      </c>
      <c r="P599" s="22" t="s">
        <v>35</v>
      </c>
      <c r="Q599" s="22" t="s">
        <v>35</v>
      </c>
      <c r="R599" s="22" t="s">
        <v>35</v>
      </c>
      <c r="S599" s="22" t="s">
        <v>34</v>
      </c>
      <c r="T599" s="22"/>
      <c r="U599" s="22"/>
      <c r="V599" s="22"/>
      <c r="W599" s="22"/>
      <c r="X599" s="22"/>
      <c r="Y599" s="22"/>
      <c r="Z599" s="22"/>
      <c r="AA599" s="22"/>
      <c r="AB599" s="22"/>
      <c r="AC599" s="22" t="s">
        <v>1905</v>
      </c>
      <c r="AD599" s="22">
        <v>20170413</v>
      </c>
      <c r="AE599" s="22">
        <v>598</v>
      </c>
      <c r="AF599" s="22"/>
      <c r="AG599" s="22" t="str">
        <f>IFERROR(VLOOKUP(TblFeedFile[[#This Row],[Leave Type ]],LkupPayType[],2,FALSE),"TBD")</f>
        <v>Unpaid</v>
      </c>
      <c r="AH599" s="22"/>
      <c r="AI599" s="25"/>
      <c r="AJ599" s="25"/>
      <c r="AK599" s="26"/>
    </row>
    <row r="600" spans="1:37" x14ac:dyDescent="0.25">
      <c r="A600" s="21" t="s">
        <v>37</v>
      </c>
      <c r="B600" s="22">
        <v>314304</v>
      </c>
      <c r="C600" s="22">
        <v>26844995</v>
      </c>
      <c r="D600" s="23">
        <v>541704128574</v>
      </c>
      <c r="E600" s="22" t="s">
        <v>2035</v>
      </c>
      <c r="F600" s="22" t="s">
        <v>2036</v>
      </c>
      <c r="G600" s="22">
        <v>20170413</v>
      </c>
      <c r="H600" s="22">
        <v>20170513</v>
      </c>
      <c r="I600" s="22" t="s">
        <v>53</v>
      </c>
      <c r="J600" s="22"/>
      <c r="K600" s="22"/>
      <c r="L600" s="22" t="s">
        <v>34</v>
      </c>
      <c r="M600" s="22" t="s">
        <v>34</v>
      </c>
      <c r="N600" s="22" t="s">
        <v>35</v>
      </c>
      <c r="O600" s="22" t="s">
        <v>35</v>
      </c>
      <c r="P600" s="22" t="s">
        <v>35</v>
      </c>
      <c r="Q600" s="22" t="s">
        <v>35</v>
      </c>
      <c r="R600" s="22" t="s">
        <v>35</v>
      </c>
      <c r="S600" s="22" t="s">
        <v>34</v>
      </c>
      <c r="T600" s="22"/>
      <c r="U600" s="22"/>
      <c r="V600" s="22"/>
      <c r="W600" s="22"/>
      <c r="X600" s="22"/>
      <c r="Y600" s="22"/>
      <c r="Z600" s="22"/>
      <c r="AA600" s="22"/>
      <c r="AB600" s="22"/>
      <c r="AC600" s="22" t="s">
        <v>1912</v>
      </c>
      <c r="AD600" s="22">
        <v>20170413</v>
      </c>
      <c r="AE600" s="22">
        <v>599</v>
      </c>
      <c r="AF600" s="22"/>
      <c r="AG600" s="22" t="str">
        <f>IFERROR(VLOOKUP(TblFeedFile[[#This Row],[Leave Type ]],LkupPayType[],2,FALSE),"TBD")</f>
        <v>Paid</v>
      </c>
      <c r="AH600" s="22"/>
      <c r="AI600" s="25"/>
      <c r="AJ600" s="25"/>
      <c r="AK600" s="26"/>
    </row>
    <row r="601" spans="1:37" x14ac:dyDescent="0.25">
      <c r="A601" s="21" t="s">
        <v>29</v>
      </c>
      <c r="B601" s="22">
        <v>314304</v>
      </c>
      <c r="C601" s="22">
        <v>26858346</v>
      </c>
      <c r="D601" s="23">
        <v>511703038429</v>
      </c>
      <c r="E601" s="22" t="s">
        <v>2554</v>
      </c>
      <c r="F601" s="22" t="s">
        <v>2555</v>
      </c>
      <c r="G601" s="22">
        <v>20170310</v>
      </c>
      <c r="H601" s="22">
        <v>20170331</v>
      </c>
      <c r="I601" s="22" t="s">
        <v>40</v>
      </c>
      <c r="J601" s="22"/>
      <c r="K601" s="22"/>
      <c r="L601" s="22" t="s">
        <v>34</v>
      </c>
      <c r="M601" s="22" t="s">
        <v>34</v>
      </c>
      <c r="N601" s="22" t="s">
        <v>35</v>
      </c>
      <c r="O601" s="22" t="s">
        <v>35</v>
      </c>
      <c r="P601" s="22" t="s">
        <v>35</v>
      </c>
      <c r="Q601" s="22" t="s">
        <v>35</v>
      </c>
      <c r="R601" s="22" t="s">
        <v>35</v>
      </c>
      <c r="S601" s="22" t="s">
        <v>34</v>
      </c>
      <c r="T601" s="22">
        <v>20170410</v>
      </c>
      <c r="U601" s="22"/>
      <c r="V601" s="22"/>
      <c r="W601" s="22"/>
      <c r="X601" s="22" t="s">
        <v>35</v>
      </c>
      <c r="Y601" s="22"/>
      <c r="Z601" s="22"/>
      <c r="AA601" s="22"/>
      <c r="AB601" s="22"/>
      <c r="AC601" s="22" t="s">
        <v>1915</v>
      </c>
      <c r="AD601" s="22">
        <v>20170413</v>
      </c>
      <c r="AE601" s="22">
        <v>600</v>
      </c>
      <c r="AF601" s="22"/>
      <c r="AG601" s="22" t="str">
        <f>IFERROR(VLOOKUP(TblFeedFile[[#This Row],[Leave Type ]],LkupPayType[],2,FALSE),"TBD")</f>
        <v>Paid</v>
      </c>
      <c r="AH601" s="22"/>
      <c r="AI601" s="25"/>
      <c r="AJ601" s="25"/>
      <c r="AK601" s="26"/>
    </row>
    <row r="602" spans="1:37" x14ac:dyDescent="0.25">
      <c r="A602" s="21" t="s">
        <v>37</v>
      </c>
      <c r="B602" s="22">
        <v>314304</v>
      </c>
      <c r="C602" s="22">
        <v>26858346</v>
      </c>
      <c r="D602" s="23">
        <v>511703038429</v>
      </c>
      <c r="E602" s="22" t="s">
        <v>2554</v>
      </c>
      <c r="F602" s="22" t="s">
        <v>2555</v>
      </c>
      <c r="G602" s="22">
        <v>20170310</v>
      </c>
      <c r="H602" s="22">
        <v>20170417</v>
      </c>
      <c r="I602" s="22" t="s">
        <v>40</v>
      </c>
      <c r="J602" s="22"/>
      <c r="K602" s="22"/>
      <c r="L602" s="22" t="s">
        <v>34</v>
      </c>
      <c r="M602" s="22" t="s">
        <v>34</v>
      </c>
      <c r="N602" s="22" t="s">
        <v>35</v>
      </c>
      <c r="O602" s="22" t="s">
        <v>35</v>
      </c>
      <c r="P602" s="22" t="s">
        <v>35</v>
      </c>
      <c r="Q602" s="22" t="s">
        <v>35</v>
      </c>
      <c r="R602" s="22" t="s">
        <v>35</v>
      </c>
      <c r="S602" s="22" t="s">
        <v>34</v>
      </c>
      <c r="T602" s="22"/>
      <c r="U602" s="22"/>
      <c r="V602" s="22"/>
      <c r="W602" s="22"/>
      <c r="X602" s="22" t="s">
        <v>35</v>
      </c>
      <c r="Y602" s="22"/>
      <c r="Z602" s="22"/>
      <c r="AA602" s="22"/>
      <c r="AB602" s="22"/>
      <c r="AC602" s="22" t="s">
        <v>1908</v>
      </c>
      <c r="AD602" s="22">
        <v>20170413</v>
      </c>
      <c r="AE602" s="22">
        <v>601</v>
      </c>
      <c r="AF602" s="22"/>
      <c r="AG602" s="22" t="str">
        <f>IFERROR(VLOOKUP(TblFeedFile[[#This Row],[Leave Type ]],LkupPayType[],2,FALSE),"TBD")</f>
        <v>Paid</v>
      </c>
      <c r="AH602" s="22"/>
      <c r="AI602" s="25"/>
      <c r="AJ602" s="25"/>
      <c r="AK602" s="26"/>
    </row>
    <row r="603" spans="1:37" x14ac:dyDescent="0.25">
      <c r="A603" s="21" t="s">
        <v>37</v>
      </c>
      <c r="B603" s="22">
        <v>314304</v>
      </c>
      <c r="C603" s="22">
        <v>26858346</v>
      </c>
      <c r="D603" s="23" t="s">
        <v>2556</v>
      </c>
      <c r="E603" s="22" t="s">
        <v>2554</v>
      </c>
      <c r="F603" s="22" t="s">
        <v>2555</v>
      </c>
      <c r="G603" s="22">
        <v>20170401</v>
      </c>
      <c r="H603" s="22">
        <v>20170417</v>
      </c>
      <c r="I603" s="22" t="s">
        <v>78</v>
      </c>
      <c r="J603" s="22"/>
      <c r="K603" s="22" t="s">
        <v>79</v>
      </c>
      <c r="L603" s="22" t="s">
        <v>34</v>
      </c>
      <c r="M603" s="22" t="s">
        <v>34</v>
      </c>
      <c r="N603" s="22" t="s">
        <v>35</v>
      </c>
      <c r="O603" s="22" t="s">
        <v>35</v>
      </c>
      <c r="P603" s="22" t="s">
        <v>35</v>
      </c>
      <c r="Q603" s="22" t="s">
        <v>35</v>
      </c>
      <c r="R603" s="22" t="s">
        <v>35</v>
      </c>
      <c r="S603" s="22" t="s">
        <v>34</v>
      </c>
      <c r="T603" s="22"/>
      <c r="U603" s="22"/>
      <c r="V603" s="22"/>
      <c r="W603" s="22"/>
      <c r="X603" s="22"/>
      <c r="Y603" s="22"/>
      <c r="Z603" s="22"/>
      <c r="AA603" s="22"/>
      <c r="AB603" s="22"/>
      <c r="AC603" s="22" t="s">
        <v>1896</v>
      </c>
      <c r="AD603" s="22">
        <v>20170413</v>
      </c>
      <c r="AE603" s="22">
        <v>602</v>
      </c>
      <c r="AF603" s="22"/>
      <c r="AG603" s="22" t="str">
        <f>IFERROR(VLOOKUP(TblFeedFile[[#This Row],[Leave Type ]],LkupPayType[],2,FALSE),"TBD")</f>
        <v>Unpaid</v>
      </c>
      <c r="AH603" s="22"/>
      <c r="AI603" s="25"/>
      <c r="AJ603" s="25"/>
      <c r="AK603" s="26"/>
    </row>
    <row r="604" spans="1:37" x14ac:dyDescent="0.25">
      <c r="A604" s="21" t="s">
        <v>29</v>
      </c>
      <c r="B604" s="22">
        <v>314304</v>
      </c>
      <c r="C604" s="22">
        <v>26920162</v>
      </c>
      <c r="D604" s="23" t="s">
        <v>2557</v>
      </c>
      <c r="E604" s="22" t="s">
        <v>138</v>
      </c>
      <c r="F604" s="22" t="s">
        <v>2558</v>
      </c>
      <c r="G604" s="22">
        <v>20161219</v>
      </c>
      <c r="H604" s="22">
        <v>20170312</v>
      </c>
      <c r="I604" s="22" t="s">
        <v>49</v>
      </c>
      <c r="J604" s="22"/>
      <c r="K604" s="22"/>
      <c r="L604" s="22" t="s">
        <v>34</v>
      </c>
      <c r="M604" s="22" t="s">
        <v>34</v>
      </c>
      <c r="N604" s="22" t="s">
        <v>35</v>
      </c>
      <c r="O604" s="22" t="s">
        <v>35</v>
      </c>
      <c r="P604" s="22" t="s">
        <v>35</v>
      </c>
      <c r="Q604" s="22" t="s">
        <v>35</v>
      </c>
      <c r="R604" s="22" t="s">
        <v>35</v>
      </c>
      <c r="S604" s="22" t="s">
        <v>34</v>
      </c>
      <c r="T604" s="22">
        <v>20170313</v>
      </c>
      <c r="U604" s="22"/>
      <c r="V604" s="22"/>
      <c r="W604" s="22"/>
      <c r="X604" s="22"/>
      <c r="Y604" s="22"/>
      <c r="Z604" s="22"/>
      <c r="AA604" s="22"/>
      <c r="AB604" s="22"/>
      <c r="AC604" s="22" t="s">
        <v>2399</v>
      </c>
      <c r="AD604" s="22">
        <v>20170413</v>
      </c>
      <c r="AE604" s="22">
        <v>603</v>
      </c>
      <c r="AF604" s="22"/>
      <c r="AG604" s="22" t="str">
        <f>IFERROR(VLOOKUP(TblFeedFile[[#This Row],[Leave Type ]],LkupPayType[],2,FALSE),"TBD")</f>
        <v>Unpaid</v>
      </c>
      <c r="AH604" s="22"/>
      <c r="AI604" s="25"/>
      <c r="AJ604" s="25"/>
      <c r="AK604" s="26"/>
    </row>
    <row r="605" spans="1:37" x14ac:dyDescent="0.25">
      <c r="A605" s="21" t="s">
        <v>37</v>
      </c>
      <c r="B605" s="22">
        <v>314304</v>
      </c>
      <c r="C605" s="22">
        <v>26920162</v>
      </c>
      <c r="D605" s="23" t="s">
        <v>2557</v>
      </c>
      <c r="E605" s="22" t="s">
        <v>138</v>
      </c>
      <c r="F605" s="22" t="s">
        <v>2558</v>
      </c>
      <c r="G605" s="22">
        <v>20161219</v>
      </c>
      <c r="H605" s="22">
        <v>20170312</v>
      </c>
      <c r="I605" s="22" t="s">
        <v>155</v>
      </c>
      <c r="J605" s="22"/>
      <c r="K605" s="22"/>
      <c r="L605" s="22" t="s">
        <v>34</v>
      </c>
      <c r="M605" s="22" t="s">
        <v>34</v>
      </c>
      <c r="N605" s="22" t="s">
        <v>35</v>
      </c>
      <c r="O605" s="22" t="s">
        <v>35</v>
      </c>
      <c r="P605" s="22" t="s">
        <v>35</v>
      </c>
      <c r="Q605" s="22" t="s">
        <v>35</v>
      </c>
      <c r="R605" s="22" t="s">
        <v>35</v>
      </c>
      <c r="S605" s="22" t="s">
        <v>34</v>
      </c>
      <c r="T605" s="22">
        <v>20170313</v>
      </c>
      <c r="U605" s="22"/>
      <c r="V605" s="22"/>
      <c r="W605" s="22"/>
      <c r="X605" s="22"/>
      <c r="Y605" s="22"/>
      <c r="Z605" s="22"/>
      <c r="AA605" s="22"/>
      <c r="AB605" s="22"/>
      <c r="AC605" s="22" t="s">
        <v>2341</v>
      </c>
      <c r="AD605" s="22">
        <v>20170413</v>
      </c>
      <c r="AE605" s="22">
        <v>604</v>
      </c>
      <c r="AF605" s="22"/>
      <c r="AG605" s="22" t="str">
        <f>IFERROR(VLOOKUP(TblFeedFile[[#This Row],[Leave Type ]],LkupPayType[],2,FALSE),"TBD")</f>
        <v>Paid</v>
      </c>
      <c r="AH605" s="22"/>
      <c r="AI605" s="25"/>
      <c r="AJ605" s="25"/>
      <c r="AK605" s="26" t="s">
        <v>35</v>
      </c>
    </row>
    <row r="606" spans="1:37" x14ac:dyDescent="0.25">
      <c r="A606" s="21" t="s">
        <v>37</v>
      </c>
      <c r="B606" s="22">
        <v>314304</v>
      </c>
      <c r="C606" s="22">
        <v>26920162</v>
      </c>
      <c r="D606" s="23" t="s">
        <v>2557</v>
      </c>
      <c r="E606" s="22" t="s">
        <v>138</v>
      </c>
      <c r="F606" s="22" t="s">
        <v>2558</v>
      </c>
      <c r="G606" s="22">
        <v>20161219</v>
      </c>
      <c r="H606" s="22">
        <v>20170312</v>
      </c>
      <c r="I606" s="22" t="s">
        <v>156</v>
      </c>
      <c r="J606" s="22"/>
      <c r="K606" s="22"/>
      <c r="L606" s="22" t="s">
        <v>34</v>
      </c>
      <c r="M606" s="22" t="s">
        <v>34</v>
      </c>
      <c r="N606" s="22" t="s">
        <v>35</v>
      </c>
      <c r="O606" s="22" t="s">
        <v>35</v>
      </c>
      <c r="P606" s="22" t="s">
        <v>35</v>
      </c>
      <c r="Q606" s="22" t="s">
        <v>35</v>
      </c>
      <c r="R606" s="22" t="s">
        <v>35</v>
      </c>
      <c r="S606" s="22" t="s">
        <v>34</v>
      </c>
      <c r="T606" s="22"/>
      <c r="U606" s="22"/>
      <c r="V606" s="22"/>
      <c r="W606" s="22"/>
      <c r="X606" s="22"/>
      <c r="Y606" s="22"/>
      <c r="Z606" s="22"/>
      <c r="AA606" s="22"/>
      <c r="AB606" s="22"/>
      <c r="AC606" s="22" t="s">
        <v>2013</v>
      </c>
      <c r="AD606" s="22">
        <v>20170413</v>
      </c>
      <c r="AE606" s="22">
        <v>605</v>
      </c>
      <c r="AF606" s="22"/>
      <c r="AG606" s="22" t="str">
        <f>IFERROR(VLOOKUP(TblFeedFile[[#This Row],[Leave Type ]],LkupPayType[],2,FALSE),"TBD")</f>
        <v>Unpaid</v>
      </c>
      <c r="AH606" s="22"/>
      <c r="AI606" s="25"/>
      <c r="AJ606" s="25"/>
      <c r="AK606" s="26"/>
    </row>
    <row r="607" spans="1:37" x14ac:dyDescent="0.25">
      <c r="A607" s="21" t="s">
        <v>29</v>
      </c>
      <c r="B607" s="22">
        <v>314304</v>
      </c>
      <c r="C607" s="22">
        <v>26928467</v>
      </c>
      <c r="D607" s="23">
        <v>541702238824</v>
      </c>
      <c r="E607" s="22" t="s">
        <v>2559</v>
      </c>
      <c r="F607" s="22" t="s">
        <v>1046</v>
      </c>
      <c r="G607" s="22">
        <v>20170228</v>
      </c>
      <c r="H607" s="22">
        <v>20170510</v>
      </c>
      <c r="I607" s="22" t="s">
        <v>40</v>
      </c>
      <c r="J607" s="22"/>
      <c r="K607" s="22"/>
      <c r="L607" s="22" t="s">
        <v>34</v>
      </c>
      <c r="M607" s="22" t="s">
        <v>34</v>
      </c>
      <c r="N607" s="22" t="s">
        <v>35</v>
      </c>
      <c r="O607" s="22" t="s">
        <v>35</v>
      </c>
      <c r="P607" s="22" t="s">
        <v>35</v>
      </c>
      <c r="Q607" s="22" t="s">
        <v>35</v>
      </c>
      <c r="R607" s="22" t="s">
        <v>35</v>
      </c>
      <c r="S607" s="22" t="s">
        <v>34</v>
      </c>
      <c r="T607" s="22"/>
      <c r="U607" s="22"/>
      <c r="V607" s="22"/>
      <c r="W607" s="22"/>
      <c r="X607" s="22"/>
      <c r="Y607" s="22"/>
      <c r="Z607" s="22"/>
      <c r="AA607" s="22"/>
      <c r="AB607" s="22"/>
      <c r="AC607" s="22" t="s">
        <v>1902</v>
      </c>
      <c r="AD607" s="22">
        <v>20170413</v>
      </c>
      <c r="AE607" s="22">
        <v>606</v>
      </c>
      <c r="AF607" s="22"/>
      <c r="AG607" s="22" t="str">
        <f>IFERROR(VLOOKUP(TblFeedFile[[#This Row],[Leave Type ]],LkupPayType[],2,FALSE),"TBD")</f>
        <v>Paid</v>
      </c>
      <c r="AH607" s="22"/>
      <c r="AI607" s="25"/>
      <c r="AJ607" s="25"/>
      <c r="AK607" s="26"/>
    </row>
    <row r="608" spans="1:37" x14ac:dyDescent="0.25">
      <c r="A608" s="21" t="s">
        <v>37</v>
      </c>
      <c r="B608" s="22">
        <v>314304</v>
      </c>
      <c r="C608" s="22">
        <v>26928467</v>
      </c>
      <c r="D608" s="23">
        <v>541702238824</v>
      </c>
      <c r="E608" s="22" t="s">
        <v>2559</v>
      </c>
      <c r="F608" s="22" t="s">
        <v>1046</v>
      </c>
      <c r="G608" s="22">
        <v>20170228</v>
      </c>
      <c r="H608" s="22">
        <v>20170423</v>
      </c>
      <c r="I608" s="22" t="s">
        <v>40</v>
      </c>
      <c r="J608" s="22"/>
      <c r="K608" s="22"/>
      <c r="L608" s="22" t="s">
        <v>34</v>
      </c>
      <c r="M608" s="22" t="s">
        <v>34</v>
      </c>
      <c r="N608" s="22" t="s">
        <v>35</v>
      </c>
      <c r="O608" s="22" t="s">
        <v>35</v>
      </c>
      <c r="P608" s="22" t="s">
        <v>35</v>
      </c>
      <c r="Q608" s="22" t="s">
        <v>35</v>
      </c>
      <c r="R608" s="22" t="s">
        <v>35</v>
      </c>
      <c r="S608" s="22" t="s">
        <v>34</v>
      </c>
      <c r="T608" s="22"/>
      <c r="U608" s="22"/>
      <c r="V608" s="22"/>
      <c r="W608" s="22"/>
      <c r="X608" s="22"/>
      <c r="Y608" s="22"/>
      <c r="Z608" s="22"/>
      <c r="AA608" s="22"/>
      <c r="AB608" s="22"/>
      <c r="AC608" s="22" t="s">
        <v>1902</v>
      </c>
      <c r="AD608" s="22">
        <v>20170413</v>
      </c>
      <c r="AE608" s="22">
        <v>607</v>
      </c>
      <c r="AF608" s="22"/>
      <c r="AG608" s="22" t="str">
        <f>IFERROR(VLOOKUP(TblFeedFile[[#This Row],[Leave Type ]],LkupPayType[],2,FALSE),"TBD")</f>
        <v>Paid</v>
      </c>
      <c r="AH608" s="22"/>
      <c r="AI608" s="25"/>
      <c r="AJ608" s="25"/>
      <c r="AK608" s="26"/>
    </row>
    <row r="609" spans="1:37" x14ac:dyDescent="0.25">
      <c r="A609" s="21" t="s">
        <v>37</v>
      </c>
      <c r="B609" s="22">
        <v>314305</v>
      </c>
      <c r="C609" s="22">
        <v>26984674</v>
      </c>
      <c r="D609" s="23" t="s">
        <v>2560</v>
      </c>
      <c r="E609" s="22" t="s">
        <v>2561</v>
      </c>
      <c r="F609" s="22" t="s">
        <v>2562</v>
      </c>
      <c r="G609" s="22">
        <v>20170413</v>
      </c>
      <c r="H609" s="22">
        <v>20170608</v>
      </c>
      <c r="I609" s="22" t="s">
        <v>36</v>
      </c>
      <c r="J609" s="22"/>
      <c r="K609" s="22"/>
      <c r="L609" s="22" t="s">
        <v>34</v>
      </c>
      <c r="M609" s="22" t="s">
        <v>34</v>
      </c>
      <c r="N609" s="22" t="s">
        <v>35</v>
      </c>
      <c r="O609" s="22" t="s">
        <v>35</v>
      </c>
      <c r="P609" s="22" t="s">
        <v>35</v>
      </c>
      <c r="Q609" s="22" t="s">
        <v>35</v>
      </c>
      <c r="R609" s="22" t="s">
        <v>35</v>
      </c>
      <c r="S609" s="22" t="s">
        <v>34</v>
      </c>
      <c r="T609" s="22"/>
      <c r="U609" s="22"/>
      <c r="V609" s="22"/>
      <c r="W609" s="22"/>
      <c r="X609" s="22"/>
      <c r="Y609" s="22"/>
      <c r="Z609" s="22"/>
      <c r="AA609" s="22"/>
      <c r="AB609" s="22"/>
      <c r="AC609" s="22" t="s">
        <v>1918</v>
      </c>
      <c r="AD609" s="22">
        <v>20170413</v>
      </c>
      <c r="AE609" s="22">
        <v>608</v>
      </c>
      <c r="AF609" s="22"/>
      <c r="AG609" s="22" t="str">
        <f>IFERROR(VLOOKUP(TblFeedFile[[#This Row],[Leave Type ]],LkupPayType[],2,FALSE),"TBD")</f>
        <v>Unpaid</v>
      </c>
      <c r="AH609" s="22"/>
      <c r="AI609" s="25"/>
      <c r="AJ609" s="25"/>
      <c r="AK609" s="26"/>
    </row>
    <row r="610" spans="1:37" x14ac:dyDescent="0.25">
      <c r="A610" s="21" t="s">
        <v>29</v>
      </c>
      <c r="B610" s="22">
        <v>314304</v>
      </c>
      <c r="C610" s="22">
        <v>27007727</v>
      </c>
      <c r="D610" s="23" t="s">
        <v>2563</v>
      </c>
      <c r="E610" s="22" t="s">
        <v>51</v>
      </c>
      <c r="F610" s="22" t="s">
        <v>2564</v>
      </c>
      <c r="G610" s="22">
        <v>20170316</v>
      </c>
      <c r="H610" s="22">
        <v>20170428</v>
      </c>
      <c r="I610" s="22" t="s">
        <v>49</v>
      </c>
      <c r="J610" s="22"/>
      <c r="K610" s="22"/>
      <c r="L610" s="22" t="s">
        <v>35</v>
      </c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 t="s">
        <v>1911</v>
      </c>
      <c r="AD610" s="22">
        <v>20170413</v>
      </c>
      <c r="AE610" s="22">
        <v>609</v>
      </c>
      <c r="AF610" s="22"/>
      <c r="AG610" s="22" t="str">
        <f>IFERROR(VLOOKUP(TblFeedFile[[#This Row],[Leave Type ]],LkupPayType[],2,FALSE),"TBD")</f>
        <v>Unpaid</v>
      </c>
      <c r="AH610" s="22"/>
      <c r="AI610" s="25"/>
      <c r="AJ610" s="25"/>
      <c r="AK610" s="26"/>
    </row>
    <row r="611" spans="1:37" x14ac:dyDescent="0.25">
      <c r="A611" s="21" t="s">
        <v>37</v>
      </c>
      <c r="B611" s="22">
        <v>314304</v>
      </c>
      <c r="C611" s="22">
        <v>27007727</v>
      </c>
      <c r="D611" s="23" t="s">
        <v>2563</v>
      </c>
      <c r="E611" s="22" t="s">
        <v>51</v>
      </c>
      <c r="F611" s="22" t="s">
        <v>2564</v>
      </c>
      <c r="G611" s="22">
        <v>20170316</v>
      </c>
      <c r="H611" s="22">
        <v>20170316</v>
      </c>
      <c r="I611" s="22" t="s">
        <v>43</v>
      </c>
      <c r="J611" s="22"/>
      <c r="K611" s="22"/>
      <c r="L611" s="22" t="s">
        <v>35</v>
      </c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 t="s">
        <v>1974</v>
      </c>
      <c r="AD611" s="22">
        <v>20170413</v>
      </c>
      <c r="AE611" s="22">
        <v>610</v>
      </c>
      <c r="AF611" s="22"/>
      <c r="AG611" s="22" t="str">
        <f>IFERROR(VLOOKUP(TblFeedFile[[#This Row],[Leave Type ]],LkupPayType[],2,FALSE),"TBD")</f>
        <v>Denied</v>
      </c>
      <c r="AH611" s="22"/>
      <c r="AI611" s="25"/>
      <c r="AJ611" s="25"/>
      <c r="AK611" s="26"/>
    </row>
    <row r="612" spans="1:37" x14ac:dyDescent="0.25">
      <c r="A612" s="21" t="s">
        <v>29</v>
      </c>
      <c r="B612" s="22">
        <v>314304</v>
      </c>
      <c r="C612" s="22">
        <v>27026999</v>
      </c>
      <c r="D612" s="23" t="s">
        <v>2565</v>
      </c>
      <c r="E612" s="22" t="s">
        <v>1058</v>
      </c>
      <c r="F612" s="22" t="s">
        <v>1089</v>
      </c>
      <c r="G612" s="22">
        <v>20170406</v>
      </c>
      <c r="H612" s="22">
        <v>20170406</v>
      </c>
      <c r="I612" s="22" t="s">
        <v>33</v>
      </c>
      <c r="J612" s="22"/>
      <c r="K612" s="22"/>
      <c r="L612" s="22" t="s">
        <v>34</v>
      </c>
      <c r="M612" s="22" t="s">
        <v>34</v>
      </c>
      <c r="N612" s="22" t="s">
        <v>35</v>
      </c>
      <c r="O612" s="22" t="s">
        <v>35</v>
      </c>
      <c r="P612" s="22" t="s">
        <v>35</v>
      </c>
      <c r="Q612" s="22" t="s">
        <v>35</v>
      </c>
      <c r="R612" s="22" t="s">
        <v>35</v>
      </c>
      <c r="S612" s="22" t="s">
        <v>34</v>
      </c>
      <c r="T612" s="22"/>
      <c r="U612" s="22"/>
      <c r="V612" s="22"/>
      <c r="W612" s="22"/>
      <c r="X612" s="22"/>
      <c r="Y612" s="22"/>
      <c r="Z612" s="22"/>
      <c r="AA612" s="22"/>
      <c r="AB612" s="22"/>
      <c r="AC612" s="22" t="s">
        <v>1935</v>
      </c>
      <c r="AD612" s="22">
        <v>20170413</v>
      </c>
      <c r="AE612" s="22">
        <v>611</v>
      </c>
      <c r="AF612" s="22"/>
      <c r="AG612" s="22" t="str">
        <f>IFERROR(VLOOKUP(TblFeedFile[[#This Row],[Leave Type ]],LkupPayType[],2,FALSE),"TBD")</f>
        <v>Closed</v>
      </c>
      <c r="AH612" s="22"/>
      <c r="AI612" s="25"/>
      <c r="AJ612" s="25"/>
      <c r="AK612" s="26"/>
    </row>
    <row r="613" spans="1:37" x14ac:dyDescent="0.25">
      <c r="A613" s="21" t="s">
        <v>29</v>
      </c>
      <c r="B613" s="22">
        <v>314304</v>
      </c>
      <c r="C613" s="22">
        <v>27026999</v>
      </c>
      <c r="D613" s="23" t="s">
        <v>2565</v>
      </c>
      <c r="E613" s="22" t="s">
        <v>1058</v>
      </c>
      <c r="F613" s="22" t="s">
        <v>1089</v>
      </c>
      <c r="G613" s="22">
        <v>20170406</v>
      </c>
      <c r="H613" s="22">
        <v>20170406</v>
      </c>
      <c r="I613" s="22" t="s">
        <v>33</v>
      </c>
      <c r="J613" s="22"/>
      <c r="K613" s="22"/>
      <c r="L613" s="22" t="s">
        <v>34</v>
      </c>
      <c r="M613" s="22" t="s">
        <v>34</v>
      </c>
      <c r="N613" s="22" t="s">
        <v>35</v>
      </c>
      <c r="O613" s="22" t="s">
        <v>35</v>
      </c>
      <c r="P613" s="22" t="s">
        <v>35</v>
      </c>
      <c r="Q613" s="22" t="s">
        <v>35</v>
      </c>
      <c r="R613" s="22" t="s">
        <v>35</v>
      </c>
      <c r="S613" s="22" t="s">
        <v>34</v>
      </c>
      <c r="T613" s="22"/>
      <c r="U613" s="22"/>
      <c r="V613" s="22"/>
      <c r="W613" s="22"/>
      <c r="X613" s="22"/>
      <c r="Y613" s="22"/>
      <c r="Z613" s="22"/>
      <c r="AA613" s="22"/>
      <c r="AB613" s="22"/>
      <c r="AC613" s="22" t="s">
        <v>1935</v>
      </c>
      <c r="AD613" s="22">
        <v>20170413</v>
      </c>
      <c r="AE613" s="22">
        <v>612</v>
      </c>
      <c r="AF613" s="22"/>
      <c r="AG613" s="22" t="str">
        <f>IFERROR(VLOOKUP(TblFeedFile[[#This Row],[Leave Type ]],LkupPayType[],2,FALSE),"TBD")</f>
        <v>Closed</v>
      </c>
      <c r="AH613" s="22"/>
      <c r="AI613" s="25"/>
      <c r="AJ613" s="25"/>
      <c r="AK613" s="26"/>
    </row>
    <row r="614" spans="1:37" x14ac:dyDescent="0.25">
      <c r="A614" s="21" t="s">
        <v>29</v>
      </c>
      <c r="B614" s="22">
        <v>314304</v>
      </c>
      <c r="C614" s="22">
        <v>27026999</v>
      </c>
      <c r="D614" s="23">
        <v>531703308163</v>
      </c>
      <c r="E614" s="22" t="s">
        <v>1058</v>
      </c>
      <c r="F614" s="22" t="s">
        <v>1089</v>
      </c>
      <c r="G614" s="22">
        <v>20170328</v>
      </c>
      <c r="H614" s="22">
        <v>20170427</v>
      </c>
      <c r="I614" s="22" t="s">
        <v>53</v>
      </c>
      <c r="J614" s="22"/>
      <c r="K614" s="22"/>
      <c r="L614" s="22" t="s">
        <v>34</v>
      </c>
      <c r="M614" s="22" t="s">
        <v>34</v>
      </c>
      <c r="N614" s="22" t="s">
        <v>35</v>
      </c>
      <c r="O614" s="22" t="s">
        <v>35</v>
      </c>
      <c r="P614" s="22" t="s">
        <v>35</v>
      </c>
      <c r="Q614" s="22" t="s">
        <v>35</v>
      </c>
      <c r="R614" s="22" t="s">
        <v>35</v>
      </c>
      <c r="S614" s="22" t="s">
        <v>34</v>
      </c>
      <c r="T614" s="22"/>
      <c r="U614" s="22"/>
      <c r="V614" s="22"/>
      <c r="W614" s="22"/>
      <c r="X614" s="22"/>
      <c r="Y614" s="22"/>
      <c r="Z614" s="22"/>
      <c r="AA614" s="22"/>
      <c r="AB614" s="22"/>
      <c r="AC614" s="22" t="s">
        <v>1902</v>
      </c>
      <c r="AD614" s="22">
        <v>20170413</v>
      </c>
      <c r="AE614" s="22">
        <v>613</v>
      </c>
      <c r="AF614" s="22"/>
      <c r="AG614" s="22" t="str">
        <f>IFERROR(VLOOKUP(TblFeedFile[[#This Row],[Leave Type ]],LkupPayType[],2,FALSE),"TBD")</f>
        <v>Paid</v>
      </c>
      <c r="AH614" s="22"/>
      <c r="AI614" s="25"/>
      <c r="AJ614" s="25"/>
      <c r="AK614" s="26"/>
    </row>
    <row r="615" spans="1:37" x14ac:dyDescent="0.25">
      <c r="A615" s="21" t="s">
        <v>37</v>
      </c>
      <c r="B615" s="22">
        <v>314304</v>
      </c>
      <c r="C615" s="22">
        <v>27026999</v>
      </c>
      <c r="D615" s="23">
        <v>531703308163</v>
      </c>
      <c r="E615" s="22" t="s">
        <v>1058</v>
      </c>
      <c r="F615" s="22" t="s">
        <v>1089</v>
      </c>
      <c r="G615" s="22">
        <v>20170328</v>
      </c>
      <c r="H615" s="22">
        <v>20170430</v>
      </c>
      <c r="I615" s="22" t="s">
        <v>53</v>
      </c>
      <c r="J615" s="22"/>
      <c r="K615" s="22"/>
      <c r="L615" s="22" t="s">
        <v>34</v>
      </c>
      <c r="M615" s="22" t="s">
        <v>34</v>
      </c>
      <c r="N615" s="22" t="s">
        <v>35</v>
      </c>
      <c r="O615" s="22" t="s">
        <v>35</v>
      </c>
      <c r="P615" s="22" t="s">
        <v>35</v>
      </c>
      <c r="Q615" s="22" t="s">
        <v>35</v>
      </c>
      <c r="R615" s="22" t="s">
        <v>35</v>
      </c>
      <c r="S615" s="22" t="s">
        <v>34</v>
      </c>
      <c r="T615" s="22"/>
      <c r="U615" s="22"/>
      <c r="V615" s="22"/>
      <c r="W615" s="22"/>
      <c r="X615" s="22"/>
      <c r="Y615" s="22"/>
      <c r="Z615" s="22"/>
      <c r="AA615" s="22"/>
      <c r="AB615" s="22"/>
      <c r="AC615" s="22" t="s">
        <v>1902</v>
      </c>
      <c r="AD615" s="22">
        <v>20170413</v>
      </c>
      <c r="AE615" s="22">
        <v>614</v>
      </c>
      <c r="AF615" s="22"/>
      <c r="AG615" s="22" t="str">
        <f>IFERROR(VLOOKUP(TblFeedFile[[#This Row],[Leave Type ]],LkupPayType[],2,FALSE),"TBD")</f>
        <v>Paid</v>
      </c>
      <c r="AH615" s="22"/>
      <c r="AI615" s="25" t="s">
        <v>35</v>
      </c>
      <c r="AJ615" s="25"/>
      <c r="AK615" s="26"/>
    </row>
    <row r="616" spans="1:37" x14ac:dyDescent="0.25">
      <c r="A616" s="21" t="s">
        <v>37</v>
      </c>
      <c r="B616" s="22">
        <v>314304</v>
      </c>
      <c r="C616" s="22">
        <v>27026999</v>
      </c>
      <c r="D616" s="23">
        <v>531703308163</v>
      </c>
      <c r="E616" s="22" t="s">
        <v>1058</v>
      </c>
      <c r="F616" s="22" t="s">
        <v>1089</v>
      </c>
      <c r="G616" s="22">
        <v>20170404</v>
      </c>
      <c r="H616" s="22">
        <v>20170430</v>
      </c>
      <c r="I616" s="22" t="s">
        <v>40</v>
      </c>
      <c r="J616" s="22"/>
      <c r="K616" s="22"/>
      <c r="L616" s="22" t="s">
        <v>34</v>
      </c>
      <c r="M616" s="22" t="s">
        <v>34</v>
      </c>
      <c r="N616" s="22" t="s">
        <v>35</v>
      </c>
      <c r="O616" s="22" t="s">
        <v>35</v>
      </c>
      <c r="P616" s="22" t="s">
        <v>35</v>
      </c>
      <c r="Q616" s="22" t="s">
        <v>35</v>
      </c>
      <c r="R616" s="22" t="s">
        <v>35</v>
      </c>
      <c r="S616" s="22" t="s">
        <v>34</v>
      </c>
      <c r="T616" s="22"/>
      <c r="U616" s="22"/>
      <c r="V616" s="22"/>
      <c r="W616" s="22"/>
      <c r="X616" s="22"/>
      <c r="Y616" s="22"/>
      <c r="Z616" s="22"/>
      <c r="AA616" s="22"/>
      <c r="AB616" s="22"/>
      <c r="AC616" s="22" t="s">
        <v>1916</v>
      </c>
      <c r="AD616" s="22">
        <v>20170413</v>
      </c>
      <c r="AE616" s="22">
        <v>615</v>
      </c>
      <c r="AF616" s="22"/>
      <c r="AG616" s="22" t="str">
        <f>IFERROR(VLOOKUP(TblFeedFile[[#This Row],[Leave Type ]],LkupPayType[],2,FALSE),"TBD")</f>
        <v>Paid</v>
      </c>
      <c r="AH616" s="22"/>
      <c r="AI616" s="25" t="s">
        <v>35</v>
      </c>
      <c r="AJ616" s="25"/>
      <c r="AK616" s="26"/>
    </row>
    <row r="617" spans="1:37" x14ac:dyDescent="0.25">
      <c r="A617" s="21" t="s">
        <v>37</v>
      </c>
      <c r="B617" s="22">
        <v>314304</v>
      </c>
      <c r="C617" s="22">
        <v>27028101</v>
      </c>
      <c r="D617" s="23">
        <v>551704138675</v>
      </c>
      <c r="E617" s="22" t="s">
        <v>1102</v>
      </c>
      <c r="F617" s="22" t="s">
        <v>2566</v>
      </c>
      <c r="G617" s="22">
        <v>20170401</v>
      </c>
      <c r="H617" s="22">
        <v>20170604</v>
      </c>
      <c r="I617" s="22" t="s">
        <v>53</v>
      </c>
      <c r="J617" s="22"/>
      <c r="K617" s="22"/>
      <c r="L617" s="22" t="s">
        <v>34</v>
      </c>
      <c r="M617" s="22" t="s">
        <v>34</v>
      </c>
      <c r="N617" s="22" t="s">
        <v>35</v>
      </c>
      <c r="O617" s="22" t="s">
        <v>35</v>
      </c>
      <c r="P617" s="22" t="s">
        <v>35</v>
      </c>
      <c r="Q617" s="22" t="s">
        <v>35</v>
      </c>
      <c r="R617" s="22" t="s">
        <v>35</v>
      </c>
      <c r="S617" s="22" t="s">
        <v>34</v>
      </c>
      <c r="T617" s="22"/>
      <c r="U617" s="22"/>
      <c r="V617" s="22"/>
      <c r="W617" s="22"/>
      <c r="X617" s="22"/>
      <c r="Y617" s="22"/>
      <c r="Z617" s="22"/>
      <c r="AA617" s="22"/>
      <c r="AB617" s="22"/>
      <c r="AC617" s="22" t="s">
        <v>1922</v>
      </c>
      <c r="AD617" s="22">
        <v>20170413</v>
      </c>
      <c r="AE617" s="22">
        <v>616</v>
      </c>
      <c r="AF617" s="22"/>
      <c r="AG617" s="22" t="str">
        <f>IFERROR(VLOOKUP(TblFeedFile[[#This Row],[Leave Type ]],LkupPayType[],2,FALSE),"TBD")</f>
        <v>Paid</v>
      </c>
      <c r="AH617" s="22"/>
      <c r="AI617" s="25"/>
      <c r="AJ617" s="25"/>
      <c r="AK617" s="26"/>
    </row>
    <row r="618" spans="1:37" x14ac:dyDescent="0.25">
      <c r="A618" s="21" t="s">
        <v>29</v>
      </c>
      <c r="B618" s="22">
        <v>314301</v>
      </c>
      <c r="C618" s="22">
        <v>27030547</v>
      </c>
      <c r="D618" s="23" t="s">
        <v>2567</v>
      </c>
      <c r="E618" s="22" t="s">
        <v>2568</v>
      </c>
      <c r="F618" s="22" t="s">
        <v>2569</v>
      </c>
      <c r="G618" s="22">
        <v>20161206</v>
      </c>
      <c r="H618" s="22">
        <v>20170531</v>
      </c>
      <c r="I618" s="22" t="s">
        <v>36</v>
      </c>
      <c r="J618" s="22"/>
      <c r="K618" s="22"/>
      <c r="L618" s="22" t="s">
        <v>34</v>
      </c>
      <c r="M618" s="22" t="s">
        <v>34</v>
      </c>
      <c r="N618" s="22" t="s">
        <v>35</v>
      </c>
      <c r="O618" s="22" t="s">
        <v>35</v>
      </c>
      <c r="P618" s="22" t="s">
        <v>35</v>
      </c>
      <c r="Q618" s="22" t="s">
        <v>35</v>
      </c>
      <c r="R618" s="22" t="s">
        <v>35</v>
      </c>
      <c r="S618" s="22" t="s">
        <v>34</v>
      </c>
      <c r="T618" s="22"/>
      <c r="U618" s="22"/>
      <c r="V618" s="22"/>
      <c r="W618" s="22"/>
      <c r="X618" s="22"/>
      <c r="Y618" s="22"/>
      <c r="Z618" s="22"/>
      <c r="AA618" s="22"/>
      <c r="AB618" s="22"/>
      <c r="AC618" s="22" t="s">
        <v>1988</v>
      </c>
      <c r="AD618" s="22">
        <v>20170413</v>
      </c>
      <c r="AE618" s="22">
        <v>617</v>
      </c>
      <c r="AF618" s="22"/>
      <c r="AG618" s="22" t="str">
        <f>IFERROR(VLOOKUP(TblFeedFile[[#This Row],[Leave Type ]],LkupPayType[],2,FALSE),"TBD")</f>
        <v>Unpaid</v>
      </c>
      <c r="AH618" s="22"/>
      <c r="AI618" s="25"/>
      <c r="AJ618" s="25"/>
      <c r="AK618" s="26"/>
    </row>
    <row r="619" spans="1:37" x14ac:dyDescent="0.25">
      <c r="A619" s="21" t="s">
        <v>37</v>
      </c>
      <c r="B619" s="22">
        <v>314301</v>
      </c>
      <c r="C619" s="22">
        <v>27030547</v>
      </c>
      <c r="D619" s="23" t="s">
        <v>2567</v>
      </c>
      <c r="E619" s="22" t="s">
        <v>2568</v>
      </c>
      <c r="F619" s="22" t="s">
        <v>2569</v>
      </c>
      <c r="G619" s="22">
        <v>20161206</v>
      </c>
      <c r="H619" s="22">
        <v>20170630</v>
      </c>
      <c r="I619" s="22" t="s">
        <v>36</v>
      </c>
      <c r="J619" s="22"/>
      <c r="K619" s="22"/>
      <c r="L619" s="22" t="s">
        <v>34</v>
      </c>
      <c r="M619" s="22" t="s">
        <v>34</v>
      </c>
      <c r="N619" s="22" t="s">
        <v>35</v>
      </c>
      <c r="O619" s="22" t="s">
        <v>35</v>
      </c>
      <c r="P619" s="22" t="s">
        <v>35</v>
      </c>
      <c r="Q619" s="22" t="s">
        <v>35</v>
      </c>
      <c r="R619" s="22" t="s">
        <v>35</v>
      </c>
      <c r="S619" s="22" t="s">
        <v>34</v>
      </c>
      <c r="T619" s="22"/>
      <c r="U619" s="22"/>
      <c r="V619" s="22"/>
      <c r="W619" s="22"/>
      <c r="X619" s="22"/>
      <c r="Y619" s="22"/>
      <c r="Z619" s="22"/>
      <c r="AA619" s="22"/>
      <c r="AB619" s="22"/>
      <c r="AC619" s="22" t="s">
        <v>1988</v>
      </c>
      <c r="AD619" s="22">
        <v>20170413</v>
      </c>
      <c r="AE619" s="22">
        <v>618</v>
      </c>
      <c r="AF619" s="22"/>
      <c r="AG619" s="22" t="str">
        <f>IFERROR(VLOOKUP(TblFeedFile[[#This Row],[Leave Type ]],LkupPayType[],2,FALSE),"TBD")</f>
        <v>Unpaid</v>
      </c>
      <c r="AH619" s="22"/>
      <c r="AI619" s="25"/>
      <c r="AJ619" s="25"/>
      <c r="AK619" s="26"/>
    </row>
    <row r="620" spans="1:37" x14ac:dyDescent="0.25">
      <c r="A620" s="21" t="s">
        <v>29</v>
      </c>
      <c r="B620" s="22">
        <v>314304</v>
      </c>
      <c r="C620" s="22">
        <v>27031156</v>
      </c>
      <c r="D620" s="23" t="s">
        <v>2570</v>
      </c>
      <c r="E620" s="22" t="s">
        <v>737</v>
      </c>
      <c r="F620" s="22" t="s">
        <v>786</v>
      </c>
      <c r="G620" s="22">
        <v>20160812</v>
      </c>
      <c r="H620" s="22">
        <v>20160812</v>
      </c>
      <c r="I620" s="22" t="s">
        <v>33</v>
      </c>
      <c r="J620" s="22"/>
      <c r="K620" s="22"/>
      <c r="L620" s="22" t="s">
        <v>34</v>
      </c>
      <c r="M620" s="22" t="s">
        <v>34</v>
      </c>
      <c r="N620" s="22" t="s">
        <v>35</v>
      </c>
      <c r="O620" s="22" t="s">
        <v>35</v>
      </c>
      <c r="P620" s="22" t="s">
        <v>35</v>
      </c>
      <c r="Q620" s="22" t="s">
        <v>35</v>
      </c>
      <c r="R620" s="22" t="s">
        <v>35</v>
      </c>
      <c r="S620" s="22" t="s">
        <v>34</v>
      </c>
      <c r="T620" s="22"/>
      <c r="U620" s="22"/>
      <c r="V620" s="22"/>
      <c r="W620" s="22"/>
      <c r="X620" s="22"/>
      <c r="Y620" s="22"/>
      <c r="Z620" s="22"/>
      <c r="AA620" s="22"/>
      <c r="AB620" s="22"/>
      <c r="AC620" s="22" t="s">
        <v>2227</v>
      </c>
      <c r="AD620" s="22">
        <v>20170413</v>
      </c>
      <c r="AE620" s="22">
        <v>619</v>
      </c>
      <c r="AF620" s="22"/>
      <c r="AG620" s="22" t="str">
        <f>IFERROR(VLOOKUP(TblFeedFile[[#This Row],[Leave Type ]],LkupPayType[],2,FALSE),"TBD")</f>
        <v>Closed</v>
      </c>
      <c r="AH620" s="22"/>
      <c r="AI620" s="25"/>
      <c r="AJ620" s="25"/>
      <c r="AK620" s="26"/>
    </row>
    <row r="621" spans="1:37" x14ac:dyDescent="0.25">
      <c r="A621" s="21" t="s">
        <v>29</v>
      </c>
      <c r="B621" s="22">
        <v>314304</v>
      </c>
      <c r="C621" s="22">
        <v>27031156</v>
      </c>
      <c r="D621" s="23" t="s">
        <v>2570</v>
      </c>
      <c r="E621" s="22" t="s">
        <v>737</v>
      </c>
      <c r="F621" s="22" t="s">
        <v>786</v>
      </c>
      <c r="G621" s="22">
        <v>20160801</v>
      </c>
      <c r="H621" s="22">
        <v>20160811</v>
      </c>
      <c r="I621" s="22" t="s">
        <v>36</v>
      </c>
      <c r="J621" s="22"/>
      <c r="K621" s="22"/>
      <c r="L621" s="22" t="s">
        <v>34</v>
      </c>
      <c r="M621" s="22" t="s">
        <v>34</v>
      </c>
      <c r="N621" s="22" t="s">
        <v>35</v>
      </c>
      <c r="O621" s="22" t="s">
        <v>35</v>
      </c>
      <c r="P621" s="22" t="s">
        <v>35</v>
      </c>
      <c r="Q621" s="22" t="s">
        <v>35</v>
      </c>
      <c r="R621" s="22" t="s">
        <v>35</v>
      </c>
      <c r="S621" s="22" t="s">
        <v>34</v>
      </c>
      <c r="T621" s="22"/>
      <c r="U621" s="22"/>
      <c r="V621" s="22"/>
      <c r="W621" s="22"/>
      <c r="X621" s="22"/>
      <c r="Y621" s="22"/>
      <c r="Z621" s="22"/>
      <c r="AA621" s="22"/>
      <c r="AB621" s="22"/>
      <c r="AC621" s="22" t="s">
        <v>1956</v>
      </c>
      <c r="AD621" s="22">
        <v>20170413</v>
      </c>
      <c r="AE621" s="22">
        <v>620</v>
      </c>
      <c r="AF621" s="22"/>
      <c r="AG621" s="22" t="str">
        <f>IFERROR(VLOOKUP(TblFeedFile[[#This Row],[Leave Type ]],LkupPayType[],2,FALSE),"TBD")</f>
        <v>Unpaid</v>
      </c>
      <c r="AH621" s="22"/>
      <c r="AI621" s="25"/>
      <c r="AJ621" s="25"/>
      <c r="AK621" s="26"/>
    </row>
    <row r="622" spans="1:37" x14ac:dyDescent="0.25">
      <c r="A622" s="21" t="s">
        <v>37</v>
      </c>
      <c r="B622" s="22">
        <v>314304</v>
      </c>
      <c r="C622" s="22">
        <v>27031156</v>
      </c>
      <c r="D622" s="23" t="s">
        <v>2570</v>
      </c>
      <c r="E622" s="22" t="s">
        <v>737</v>
      </c>
      <c r="F622" s="22" t="s">
        <v>786</v>
      </c>
      <c r="G622" s="22">
        <v>20160801</v>
      </c>
      <c r="H622" s="22">
        <v>20170414</v>
      </c>
      <c r="I622" s="22" t="s">
        <v>36</v>
      </c>
      <c r="J622" s="22"/>
      <c r="K622" s="22"/>
      <c r="L622" s="22" t="s">
        <v>34</v>
      </c>
      <c r="M622" s="22" t="s">
        <v>34</v>
      </c>
      <c r="N622" s="22" t="s">
        <v>35</v>
      </c>
      <c r="O622" s="22" t="s">
        <v>35</v>
      </c>
      <c r="P622" s="22" t="s">
        <v>35</v>
      </c>
      <c r="Q622" s="22" t="s">
        <v>35</v>
      </c>
      <c r="R622" s="22" t="s">
        <v>35</v>
      </c>
      <c r="S622" s="22" t="s">
        <v>34</v>
      </c>
      <c r="T622" s="22"/>
      <c r="U622" s="22"/>
      <c r="V622" s="22"/>
      <c r="W622" s="22"/>
      <c r="X622" s="22"/>
      <c r="Y622" s="22"/>
      <c r="Z622" s="22"/>
      <c r="AA622" s="22"/>
      <c r="AB622" s="22"/>
      <c r="AC622" s="22" t="s">
        <v>1956</v>
      </c>
      <c r="AD622" s="22">
        <v>20170413</v>
      </c>
      <c r="AE622" s="22">
        <v>621</v>
      </c>
      <c r="AF622" s="22"/>
      <c r="AG622" s="22" t="str">
        <f>IFERROR(VLOOKUP(TblFeedFile[[#This Row],[Leave Type ]],LkupPayType[],2,FALSE),"TBD")</f>
        <v>Unpaid</v>
      </c>
      <c r="AH622" s="22"/>
      <c r="AI622" s="25" t="s">
        <v>35</v>
      </c>
      <c r="AJ622" s="25"/>
      <c r="AK622" s="26"/>
    </row>
    <row r="623" spans="1:37" x14ac:dyDescent="0.25">
      <c r="A623" s="21" t="s">
        <v>37</v>
      </c>
      <c r="B623" s="22">
        <v>314304</v>
      </c>
      <c r="C623" s="22">
        <v>27044442</v>
      </c>
      <c r="D623" s="23" t="s">
        <v>2038</v>
      </c>
      <c r="E623" s="22" t="s">
        <v>2039</v>
      </c>
      <c r="F623" s="22" t="s">
        <v>260</v>
      </c>
      <c r="G623" s="22">
        <v>20170405</v>
      </c>
      <c r="H623" s="22">
        <v>20170405</v>
      </c>
      <c r="I623" s="22" t="s">
        <v>33</v>
      </c>
      <c r="J623" s="22"/>
      <c r="K623" s="22"/>
      <c r="L623" s="22" t="s">
        <v>34</v>
      </c>
      <c r="M623" s="22" t="s">
        <v>34</v>
      </c>
      <c r="N623" s="22" t="s">
        <v>35</v>
      </c>
      <c r="O623" s="22" t="s">
        <v>35</v>
      </c>
      <c r="P623" s="22" t="s">
        <v>35</v>
      </c>
      <c r="Q623" s="22" t="s">
        <v>35</v>
      </c>
      <c r="R623" s="22" t="s">
        <v>35</v>
      </c>
      <c r="S623" s="22" t="s">
        <v>34</v>
      </c>
      <c r="T623" s="22"/>
      <c r="U623" s="22"/>
      <c r="V623" s="22"/>
      <c r="W623" s="22"/>
      <c r="X623" s="22"/>
      <c r="Y623" s="22"/>
      <c r="Z623" s="22"/>
      <c r="AA623" s="22"/>
      <c r="AB623" s="22"/>
      <c r="AC623" s="22" t="s">
        <v>1917</v>
      </c>
      <c r="AD623" s="22">
        <v>20170413</v>
      </c>
      <c r="AE623" s="22">
        <v>622</v>
      </c>
      <c r="AF623" s="22"/>
      <c r="AG623" s="22" t="str">
        <f>IFERROR(VLOOKUP(TblFeedFile[[#This Row],[Leave Type ]],LkupPayType[],2,FALSE),"TBD")</f>
        <v>Closed</v>
      </c>
      <c r="AH623" s="22"/>
      <c r="AI623" s="25"/>
      <c r="AJ623" s="25"/>
      <c r="AK623" s="26"/>
    </row>
    <row r="624" spans="1:37" x14ac:dyDescent="0.25">
      <c r="A624" s="21" t="s">
        <v>37</v>
      </c>
      <c r="B624" s="22">
        <v>314301</v>
      </c>
      <c r="C624" s="22">
        <v>27069685</v>
      </c>
      <c r="D624" s="23">
        <v>201704128590</v>
      </c>
      <c r="E624" s="22" t="s">
        <v>2571</v>
      </c>
      <c r="F624" s="22" t="s">
        <v>2572</v>
      </c>
      <c r="G624" s="22">
        <v>20170317</v>
      </c>
      <c r="H624" s="22">
        <v>20170706</v>
      </c>
      <c r="I624" s="22" t="s">
        <v>155</v>
      </c>
      <c r="J624" s="22"/>
      <c r="K624" s="22"/>
      <c r="L624" s="22" t="s">
        <v>34</v>
      </c>
      <c r="M624" s="22" t="s">
        <v>34</v>
      </c>
      <c r="N624" s="22" t="s">
        <v>35</v>
      </c>
      <c r="O624" s="22" t="s">
        <v>35</v>
      </c>
      <c r="P624" s="22" t="s">
        <v>35</v>
      </c>
      <c r="Q624" s="22" t="s">
        <v>35</v>
      </c>
      <c r="R624" s="22" t="s">
        <v>35</v>
      </c>
      <c r="S624" s="22" t="s">
        <v>34</v>
      </c>
      <c r="T624" s="22"/>
      <c r="U624" s="22"/>
      <c r="V624" s="22"/>
      <c r="W624" s="22"/>
      <c r="X624" s="22"/>
      <c r="Y624" s="22"/>
      <c r="Z624" s="22"/>
      <c r="AA624" s="22"/>
      <c r="AB624" s="22"/>
      <c r="AC624" s="22" t="s">
        <v>1936</v>
      </c>
      <c r="AD624" s="22">
        <v>20170413</v>
      </c>
      <c r="AE624" s="22">
        <v>623</v>
      </c>
      <c r="AF624" s="22"/>
      <c r="AG624" s="22" t="str">
        <f>IFERROR(VLOOKUP(TblFeedFile[[#This Row],[Leave Type ]],LkupPayType[],2,FALSE),"TBD")</f>
        <v>Paid</v>
      </c>
      <c r="AH624" s="22"/>
      <c r="AI624" s="25"/>
      <c r="AJ624" s="25"/>
      <c r="AK624" s="26"/>
    </row>
    <row r="625" spans="1:37" x14ac:dyDescent="0.25">
      <c r="A625" s="21" t="s">
        <v>37</v>
      </c>
      <c r="B625" s="22">
        <v>314301</v>
      </c>
      <c r="C625" s="22">
        <v>27069685</v>
      </c>
      <c r="D625" s="23">
        <v>201704128590</v>
      </c>
      <c r="E625" s="22" t="s">
        <v>2571</v>
      </c>
      <c r="F625" s="22" t="s">
        <v>2572</v>
      </c>
      <c r="G625" s="22">
        <v>20170324</v>
      </c>
      <c r="H625" s="22">
        <v>20170706</v>
      </c>
      <c r="I625" s="22" t="s">
        <v>459</v>
      </c>
      <c r="J625" s="22"/>
      <c r="K625" s="22"/>
      <c r="L625" s="22" t="s">
        <v>34</v>
      </c>
      <c r="M625" s="22" t="s">
        <v>34</v>
      </c>
      <c r="N625" s="22" t="s">
        <v>35</v>
      </c>
      <c r="O625" s="22" t="s">
        <v>35</v>
      </c>
      <c r="P625" s="22" t="s">
        <v>35</v>
      </c>
      <c r="Q625" s="22" t="s">
        <v>35</v>
      </c>
      <c r="R625" s="22" t="s">
        <v>35</v>
      </c>
      <c r="S625" s="22" t="s">
        <v>34</v>
      </c>
      <c r="T625" s="22"/>
      <c r="U625" s="22"/>
      <c r="V625" s="22"/>
      <c r="W625" s="22"/>
      <c r="X625" s="22"/>
      <c r="Y625" s="22"/>
      <c r="Z625" s="22"/>
      <c r="AA625" s="22"/>
      <c r="AB625" s="22"/>
      <c r="AC625" s="22" t="s">
        <v>1897</v>
      </c>
      <c r="AD625" s="22">
        <v>20170413</v>
      </c>
      <c r="AE625" s="22">
        <v>624</v>
      </c>
      <c r="AF625" s="22"/>
      <c r="AG625" s="22" t="str">
        <f>IFERROR(VLOOKUP(TblFeedFile[[#This Row],[Leave Type ]],LkupPayType[],2,FALSE),"TBD")</f>
        <v>Paid</v>
      </c>
      <c r="AH625" s="22"/>
      <c r="AI625" s="25"/>
      <c r="AJ625" s="25"/>
      <c r="AK625" s="26"/>
    </row>
    <row r="626" spans="1:37" x14ac:dyDescent="0.25">
      <c r="A626" s="21" t="s">
        <v>37</v>
      </c>
      <c r="B626" s="22">
        <v>314301</v>
      </c>
      <c r="C626" s="22">
        <v>27097881</v>
      </c>
      <c r="D626" s="23" t="s">
        <v>2573</v>
      </c>
      <c r="E626" s="22" t="s">
        <v>2574</v>
      </c>
      <c r="F626" s="22" t="s">
        <v>1926</v>
      </c>
      <c r="G626" s="22">
        <v>20170413</v>
      </c>
      <c r="H626" s="22">
        <v>20170413</v>
      </c>
      <c r="I626" s="22" t="s">
        <v>33</v>
      </c>
      <c r="J626" s="22"/>
      <c r="K626" s="22"/>
      <c r="L626" s="22" t="s">
        <v>34</v>
      </c>
      <c r="M626" s="22" t="s">
        <v>34</v>
      </c>
      <c r="N626" s="22" t="s">
        <v>35</v>
      </c>
      <c r="O626" s="22" t="s">
        <v>35</v>
      </c>
      <c r="P626" s="22" t="s">
        <v>35</v>
      </c>
      <c r="Q626" s="22" t="s">
        <v>35</v>
      </c>
      <c r="R626" s="22" t="s">
        <v>35</v>
      </c>
      <c r="S626" s="22" t="s">
        <v>34</v>
      </c>
      <c r="T626" s="22"/>
      <c r="U626" s="22"/>
      <c r="V626" s="22"/>
      <c r="W626" s="22"/>
      <c r="X626" s="22"/>
      <c r="Y626" s="22"/>
      <c r="Z626" s="22"/>
      <c r="AA626" s="22"/>
      <c r="AB626" s="22"/>
      <c r="AC626" s="22" t="s">
        <v>1935</v>
      </c>
      <c r="AD626" s="22">
        <v>20170413</v>
      </c>
      <c r="AE626" s="22">
        <v>625</v>
      </c>
      <c r="AF626" s="22"/>
      <c r="AG626" s="22" t="str">
        <f>IFERROR(VLOOKUP(TblFeedFile[[#This Row],[Leave Type ]],LkupPayType[],2,FALSE),"TBD")</f>
        <v>Closed</v>
      </c>
      <c r="AH626" s="22"/>
      <c r="AI626" s="25"/>
      <c r="AJ626" s="25"/>
      <c r="AK626" s="26"/>
    </row>
    <row r="627" spans="1:37" x14ac:dyDescent="0.25">
      <c r="A627" s="21" t="s">
        <v>37</v>
      </c>
      <c r="B627" s="22">
        <v>314304</v>
      </c>
      <c r="C627" s="22">
        <v>27101563</v>
      </c>
      <c r="D627" s="23">
        <v>511703238931</v>
      </c>
      <c r="E627" s="22" t="s">
        <v>544</v>
      </c>
      <c r="F627" s="22" t="s">
        <v>297</v>
      </c>
      <c r="G627" s="22">
        <v>20170413</v>
      </c>
      <c r="H627" s="22">
        <v>20170506</v>
      </c>
      <c r="I627" s="22" t="s">
        <v>40</v>
      </c>
      <c r="J627" s="22"/>
      <c r="K627" s="22"/>
      <c r="L627" s="22" t="s">
        <v>35</v>
      </c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 t="s">
        <v>1902</v>
      </c>
      <c r="AD627" s="22">
        <v>20170413</v>
      </c>
      <c r="AE627" s="22">
        <v>626</v>
      </c>
      <c r="AF627" s="22"/>
      <c r="AG627" s="22" t="str">
        <f>IFERROR(VLOOKUP(TblFeedFile[[#This Row],[Leave Type ]],LkupPayType[],2,FALSE),"TBD")</f>
        <v>Paid</v>
      </c>
      <c r="AH627" s="22"/>
      <c r="AI627" s="25"/>
      <c r="AJ627" s="25"/>
      <c r="AK627" s="26"/>
    </row>
    <row r="628" spans="1:37" x14ac:dyDescent="0.25">
      <c r="A628" s="21" t="s">
        <v>37</v>
      </c>
      <c r="B628" s="22">
        <v>314301</v>
      </c>
      <c r="C628" s="22">
        <v>27108933</v>
      </c>
      <c r="D628" s="23">
        <v>551703178905</v>
      </c>
      <c r="E628" s="22" t="s">
        <v>2575</v>
      </c>
      <c r="F628" s="22" t="s">
        <v>2576</v>
      </c>
      <c r="G628" s="22">
        <v>20170411</v>
      </c>
      <c r="H628" s="22">
        <v>20170612</v>
      </c>
      <c r="I628" s="22" t="s">
        <v>53</v>
      </c>
      <c r="J628" s="22"/>
      <c r="K628" s="22"/>
      <c r="L628" s="22" t="s">
        <v>34</v>
      </c>
      <c r="M628" s="22" t="s">
        <v>34</v>
      </c>
      <c r="N628" s="22" t="s">
        <v>35</v>
      </c>
      <c r="O628" s="22" t="s">
        <v>35</v>
      </c>
      <c r="P628" s="22" t="s">
        <v>35</v>
      </c>
      <c r="Q628" s="22" t="s">
        <v>35</v>
      </c>
      <c r="R628" s="22" t="s">
        <v>35</v>
      </c>
      <c r="S628" s="22" t="s">
        <v>34</v>
      </c>
      <c r="T628" s="22"/>
      <c r="U628" s="22"/>
      <c r="V628" s="22"/>
      <c r="W628" s="22"/>
      <c r="X628" s="22"/>
      <c r="Y628" s="22"/>
      <c r="Z628" s="22"/>
      <c r="AA628" s="22"/>
      <c r="AB628" s="22"/>
      <c r="AC628" s="22" t="s">
        <v>1901</v>
      </c>
      <c r="AD628" s="22">
        <v>20170413</v>
      </c>
      <c r="AE628" s="22">
        <v>627</v>
      </c>
      <c r="AF628" s="22"/>
      <c r="AG628" s="22" t="str">
        <f>IFERROR(VLOOKUP(TblFeedFile[[#This Row],[Leave Type ]],LkupPayType[],2,FALSE),"TBD")</f>
        <v>Paid</v>
      </c>
      <c r="AH628" s="22"/>
      <c r="AI628" s="25"/>
      <c r="AJ628" s="25"/>
      <c r="AK628" s="26"/>
    </row>
    <row r="629" spans="1:37" x14ac:dyDescent="0.25">
      <c r="A629" s="21" t="s">
        <v>29</v>
      </c>
      <c r="B629" s="22">
        <v>314304</v>
      </c>
      <c r="C629" s="22">
        <v>27117502</v>
      </c>
      <c r="D629" s="23" t="s">
        <v>2577</v>
      </c>
      <c r="E629" s="22" t="s">
        <v>895</v>
      </c>
      <c r="F629" s="22" t="s">
        <v>2040</v>
      </c>
      <c r="G629" s="22">
        <v>20161028</v>
      </c>
      <c r="H629" s="22">
        <v>20170602</v>
      </c>
      <c r="I629" s="22" t="s">
        <v>36</v>
      </c>
      <c r="J629" s="22"/>
      <c r="K629" s="22"/>
      <c r="L629" s="22" t="s">
        <v>34</v>
      </c>
      <c r="M629" s="22" t="s">
        <v>34</v>
      </c>
      <c r="N629" s="22" t="s">
        <v>35</v>
      </c>
      <c r="O629" s="22" t="s">
        <v>35</v>
      </c>
      <c r="P629" s="22" t="s">
        <v>35</v>
      </c>
      <c r="Q629" s="22" t="s">
        <v>35</v>
      </c>
      <c r="R629" s="22" t="s">
        <v>35</v>
      </c>
      <c r="S629" s="22" t="s">
        <v>34</v>
      </c>
      <c r="T629" s="22"/>
      <c r="U629" s="22"/>
      <c r="V629" s="22"/>
      <c r="W629" s="22"/>
      <c r="X629" s="22"/>
      <c r="Y629" s="22"/>
      <c r="Z629" s="22"/>
      <c r="AA629" s="22"/>
      <c r="AB629" s="22"/>
      <c r="AC629" s="22" t="s">
        <v>1972</v>
      </c>
      <c r="AD629" s="22">
        <v>20170413</v>
      </c>
      <c r="AE629" s="22">
        <v>628</v>
      </c>
      <c r="AF629" s="22"/>
      <c r="AG629" s="22" t="str">
        <f>IFERROR(VLOOKUP(TblFeedFile[[#This Row],[Leave Type ]],LkupPayType[],2,FALSE),"TBD")</f>
        <v>Unpaid</v>
      </c>
      <c r="AH629" s="22"/>
      <c r="AI629" s="25"/>
      <c r="AJ629" s="25"/>
      <c r="AK629" s="26"/>
    </row>
    <row r="630" spans="1:37" x14ac:dyDescent="0.25">
      <c r="A630" s="21" t="s">
        <v>37</v>
      </c>
      <c r="B630" s="22">
        <v>314304</v>
      </c>
      <c r="C630" s="22">
        <v>27117502</v>
      </c>
      <c r="D630" s="23" t="s">
        <v>2577</v>
      </c>
      <c r="E630" s="22" t="s">
        <v>895</v>
      </c>
      <c r="F630" s="22" t="s">
        <v>2040</v>
      </c>
      <c r="G630" s="22">
        <v>20170113</v>
      </c>
      <c r="H630" s="22">
        <v>20170602</v>
      </c>
      <c r="I630" s="22" t="s">
        <v>36</v>
      </c>
      <c r="J630" s="22"/>
      <c r="K630" s="22"/>
      <c r="L630" s="22" t="s">
        <v>34</v>
      </c>
      <c r="M630" s="22" t="s">
        <v>34</v>
      </c>
      <c r="N630" s="22" t="s">
        <v>35</v>
      </c>
      <c r="O630" s="22" t="s">
        <v>35</v>
      </c>
      <c r="P630" s="22" t="s">
        <v>35</v>
      </c>
      <c r="Q630" s="22" t="s">
        <v>35</v>
      </c>
      <c r="R630" s="22" t="s">
        <v>35</v>
      </c>
      <c r="S630" s="22" t="s">
        <v>34</v>
      </c>
      <c r="T630" s="22"/>
      <c r="U630" s="22"/>
      <c r="V630" s="22"/>
      <c r="W630" s="22"/>
      <c r="X630" s="22"/>
      <c r="Y630" s="22"/>
      <c r="Z630" s="22"/>
      <c r="AA630" s="22"/>
      <c r="AB630" s="22"/>
      <c r="AC630" s="22" t="s">
        <v>1972</v>
      </c>
      <c r="AD630" s="22">
        <v>20170413</v>
      </c>
      <c r="AE630" s="22">
        <v>629</v>
      </c>
      <c r="AF630" s="22"/>
      <c r="AG630" s="22" t="str">
        <f>IFERROR(VLOOKUP(TblFeedFile[[#This Row],[Leave Type ]],LkupPayType[],2,FALSE),"TBD")</f>
        <v>Unpaid</v>
      </c>
      <c r="AH630" s="22"/>
      <c r="AI630" s="25"/>
      <c r="AJ630" s="25"/>
      <c r="AK630" s="26"/>
    </row>
    <row r="631" spans="1:37" x14ac:dyDescent="0.25">
      <c r="A631" s="21" t="s">
        <v>37</v>
      </c>
      <c r="B631" s="22">
        <v>314301</v>
      </c>
      <c r="C631" s="22">
        <v>27289479</v>
      </c>
      <c r="D631" s="23">
        <v>571701278287</v>
      </c>
      <c r="E631" s="22" t="s">
        <v>103</v>
      </c>
      <c r="F631" s="22" t="s">
        <v>195</v>
      </c>
      <c r="G631" s="22">
        <v>20170224</v>
      </c>
      <c r="H631" s="22">
        <v>20170416</v>
      </c>
      <c r="I631" s="22" t="s">
        <v>40</v>
      </c>
      <c r="J631" s="22"/>
      <c r="K631" s="22"/>
      <c r="L631" s="22" t="s">
        <v>34</v>
      </c>
      <c r="M631" s="22" t="s">
        <v>34</v>
      </c>
      <c r="N631" s="22" t="s">
        <v>35</v>
      </c>
      <c r="O631" s="22" t="s">
        <v>35</v>
      </c>
      <c r="P631" s="22" t="s">
        <v>35</v>
      </c>
      <c r="Q631" s="22" t="s">
        <v>35</v>
      </c>
      <c r="R631" s="22" t="s">
        <v>35</v>
      </c>
      <c r="S631" s="22" t="s">
        <v>34</v>
      </c>
      <c r="T631" s="22">
        <v>20170417</v>
      </c>
      <c r="U631" s="22"/>
      <c r="V631" s="22"/>
      <c r="W631" s="22"/>
      <c r="X631" s="22"/>
      <c r="Y631" s="22"/>
      <c r="Z631" s="22"/>
      <c r="AA631" s="22"/>
      <c r="AB631" s="22"/>
      <c r="AC631" s="22" t="s">
        <v>1928</v>
      </c>
      <c r="AD631" s="22">
        <v>20170413</v>
      </c>
      <c r="AE631" s="22">
        <v>630</v>
      </c>
      <c r="AF631" s="22"/>
      <c r="AG631" s="22" t="str">
        <f>IFERROR(VLOOKUP(TblFeedFile[[#This Row],[Leave Type ]],LkupPayType[],2,FALSE),"TBD")</f>
        <v>Paid</v>
      </c>
      <c r="AH631" s="22"/>
      <c r="AI631" s="25"/>
      <c r="AJ631" s="25"/>
      <c r="AK631" s="26" t="s">
        <v>35</v>
      </c>
    </row>
    <row r="632" spans="1:37" x14ac:dyDescent="0.25">
      <c r="A632" s="21" t="s">
        <v>29</v>
      </c>
      <c r="B632" s="22">
        <v>314305</v>
      </c>
      <c r="C632" s="22">
        <v>27320765</v>
      </c>
      <c r="D632" s="23">
        <v>501701138768</v>
      </c>
      <c r="E632" s="22" t="s">
        <v>1151</v>
      </c>
      <c r="F632" s="22" t="s">
        <v>1446</v>
      </c>
      <c r="G632" s="22">
        <v>20170321</v>
      </c>
      <c r="H632" s="22">
        <v>20170416</v>
      </c>
      <c r="I632" s="22" t="s">
        <v>1892</v>
      </c>
      <c r="J632" s="22"/>
      <c r="K632" s="22"/>
      <c r="L632" s="22" t="s">
        <v>34</v>
      </c>
      <c r="M632" s="22" t="s">
        <v>34</v>
      </c>
      <c r="N632" s="22" t="s">
        <v>35</v>
      </c>
      <c r="O632" s="22" t="s">
        <v>35</v>
      </c>
      <c r="P632" s="22" t="s">
        <v>35</v>
      </c>
      <c r="Q632" s="22" t="s">
        <v>35</v>
      </c>
      <c r="R632" s="22" t="s">
        <v>35</v>
      </c>
      <c r="S632" s="22" t="s">
        <v>34</v>
      </c>
      <c r="T632" s="22"/>
      <c r="U632" s="22"/>
      <c r="V632" s="22"/>
      <c r="W632" s="22"/>
      <c r="X632" s="22"/>
      <c r="Y632" s="22"/>
      <c r="Z632" s="22"/>
      <c r="AA632" s="22"/>
      <c r="AB632" s="22"/>
      <c r="AC632" s="22" t="s">
        <v>1916</v>
      </c>
      <c r="AD632" s="22">
        <v>20170413</v>
      </c>
      <c r="AE632" s="22">
        <v>631</v>
      </c>
      <c r="AF632" s="22"/>
      <c r="AG632" s="22" t="str">
        <f>IFERROR(VLOOKUP(TblFeedFile[[#This Row],[Leave Type ]],LkupPayType[],2,FALSE),"TBD")</f>
        <v>Paid</v>
      </c>
      <c r="AH632" s="22"/>
      <c r="AI632" s="25"/>
      <c r="AJ632" s="25"/>
      <c r="AK632" s="26"/>
    </row>
    <row r="633" spans="1:37" x14ac:dyDescent="0.25">
      <c r="A633" s="21" t="s">
        <v>37</v>
      </c>
      <c r="B633" s="22">
        <v>314305</v>
      </c>
      <c r="C633" s="22">
        <v>27320765</v>
      </c>
      <c r="D633" s="23">
        <v>501701138768</v>
      </c>
      <c r="E633" s="22" t="s">
        <v>1151</v>
      </c>
      <c r="F633" s="22" t="s">
        <v>1446</v>
      </c>
      <c r="G633" s="22">
        <v>20170321</v>
      </c>
      <c r="H633" s="22">
        <v>20170430</v>
      </c>
      <c r="I633" s="22" t="s">
        <v>1892</v>
      </c>
      <c r="J633" s="22"/>
      <c r="K633" s="22"/>
      <c r="L633" s="22" t="s">
        <v>34</v>
      </c>
      <c r="M633" s="22" t="s">
        <v>34</v>
      </c>
      <c r="N633" s="22" t="s">
        <v>35</v>
      </c>
      <c r="O633" s="22" t="s">
        <v>35</v>
      </c>
      <c r="P633" s="22" t="s">
        <v>35</v>
      </c>
      <c r="Q633" s="22" t="s">
        <v>35</v>
      </c>
      <c r="R633" s="22" t="s">
        <v>35</v>
      </c>
      <c r="S633" s="22" t="s">
        <v>34</v>
      </c>
      <c r="T633" s="22"/>
      <c r="U633" s="22"/>
      <c r="V633" s="22"/>
      <c r="W633" s="22"/>
      <c r="X633" s="22"/>
      <c r="Y633" s="22"/>
      <c r="Z633" s="22"/>
      <c r="AA633" s="22"/>
      <c r="AB633" s="22"/>
      <c r="AC633" s="22" t="s">
        <v>1916</v>
      </c>
      <c r="AD633" s="22">
        <v>20170413</v>
      </c>
      <c r="AE633" s="22">
        <v>632</v>
      </c>
      <c r="AF633" s="22"/>
      <c r="AG633" s="22" t="str">
        <f>IFERROR(VLOOKUP(TblFeedFile[[#This Row],[Leave Type ]],LkupPayType[],2,FALSE),"TBD")</f>
        <v>Paid</v>
      </c>
      <c r="AH633" s="22"/>
      <c r="AI633" s="25"/>
      <c r="AJ633" s="25"/>
      <c r="AK633" s="26"/>
    </row>
    <row r="634" spans="1:37" x14ac:dyDescent="0.25">
      <c r="A634" s="21" t="s">
        <v>37</v>
      </c>
      <c r="B634" s="22">
        <v>314301</v>
      </c>
      <c r="C634" s="22">
        <v>27390087</v>
      </c>
      <c r="D634" s="23">
        <v>511701268021</v>
      </c>
      <c r="E634" s="22" t="s">
        <v>872</v>
      </c>
      <c r="F634" s="22" t="s">
        <v>2578</v>
      </c>
      <c r="G634" s="22">
        <v>20170324</v>
      </c>
      <c r="H634" s="22">
        <v>20170414</v>
      </c>
      <c r="I634" s="22" t="s">
        <v>1892</v>
      </c>
      <c r="J634" s="22"/>
      <c r="K634" s="22"/>
      <c r="L634" s="22" t="s">
        <v>34</v>
      </c>
      <c r="M634" s="22" t="s">
        <v>34</v>
      </c>
      <c r="N634" s="22" t="s">
        <v>35</v>
      </c>
      <c r="O634" s="22" t="s">
        <v>35</v>
      </c>
      <c r="P634" s="22" t="s">
        <v>35</v>
      </c>
      <c r="Q634" s="22" t="s">
        <v>35</v>
      </c>
      <c r="R634" s="22" t="s">
        <v>35</v>
      </c>
      <c r="S634" s="22" t="s">
        <v>34</v>
      </c>
      <c r="T634" s="22">
        <v>20170415</v>
      </c>
      <c r="U634" s="22"/>
      <c r="V634" s="22"/>
      <c r="W634" s="22"/>
      <c r="X634" s="22"/>
      <c r="Y634" s="22"/>
      <c r="Z634" s="22"/>
      <c r="AA634" s="22"/>
      <c r="AB634" s="22"/>
      <c r="AC634" s="22" t="s">
        <v>1983</v>
      </c>
      <c r="AD634" s="22">
        <v>20170413</v>
      </c>
      <c r="AE634" s="22">
        <v>633</v>
      </c>
      <c r="AF634" s="22"/>
      <c r="AG634" s="22" t="str">
        <f>IFERROR(VLOOKUP(TblFeedFile[[#This Row],[Leave Type ]],LkupPayType[],2,FALSE),"TBD")</f>
        <v>Paid</v>
      </c>
      <c r="AH634" s="22"/>
      <c r="AI634" s="25"/>
      <c r="AJ634" s="25"/>
      <c r="AK634" s="26" t="s">
        <v>35</v>
      </c>
    </row>
    <row r="635" spans="1:37" x14ac:dyDescent="0.25">
      <c r="A635" s="21" t="s">
        <v>37</v>
      </c>
      <c r="B635" s="22">
        <v>314304</v>
      </c>
      <c r="C635" s="22">
        <v>27435492</v>
      </c>
      <c r="D635" s="23">
        <v>531704138713</v>
      </c>
      <c r="E635" s="22" t="s">
        <v>2579</v>
      </c>
      <c r="F635" s="22" t="s">
        <v>2580</v>
      </c>
      <c r="G635" s="22">
        <v>20170409</v>
      </c>
      <c r="H635" s="22">
        <v>20170509</v>
      </c>
      <c r="I635" s="22" t="s">
        <v>53</v>
      </c>
      <c r="J635" s="22"/>
      <c r="K635" s="22"/>
      <c r="L635" s="22" t="s">
        <v>34</v>
      </c>
      <c r="M635" s="22" t="s">
        <v>34</v>
      </c>
      <c r="N635" s="22" t="s">
        <v>35</v>
      </c>
      <c r="O635" s="22" t="s">
        <v>35</v>
      </c>
      <c r="P635" s="22" t="s">
        <v>35</v>
      </c>
      <c r="Q635" s="22" t="s">
        <v>35</v>
      </c>
      <c r="R635" s="22" t="s">
        <v>35</v>
      </c>
      <c r="S635" s="22" t="s">
        <v>34</v>
      </c>
      <c r="T635" s="22"/>
      <c r="U635" s="22"/>
      <c r="V635" s="22"/>
      <c r="W635" s="22"/>
      <c r="X635" s="22"/>
      <c r="Y635" s="22"/>
      <c r="Z635" s="22"/>
      <c r="AA635" s="22"/>
      <c r="AB635" s="22"/>
      <c r="AC635" s="22" t="s">
        <v>1900</v>
      </c>
      <c r="AD635" s="22">
        <v>20170413</v>
      </c>
      <c r="AE635" s="22">
        <v>634</v>
      </c>
      <c r="AF635" s="22"/>
      <c r="AG635" s="22" t="str">
        <f>IFERROR(VLOOKUP(TblFeedFile[[#This Row],[Leave Type ]],LkupPayType[],2,FALSE),"TBD")</f>
        <v>Paid</v>
      </c>
      <c r="AH635" s="22"/>
      <c r="AI635" s="25"/>
      <c r="AJ635" s="25"/>
      <c r="AK635" s="26"/>
    </row>
    <row r="636" spans="1:37" x14ac:dyDescent="0.25">
      <c r="A636" s="21" t="s">
        <v>29</v>
      </c>
      <c r="B636" s="22">
        <v>314304</v>
      </c>
      <c r="C636" s="22">
        <v>27468547</v>
      </c>
      <c r="D636" s="23">
        <v>561702108696</v>
      </c>
      <c r="E636" s="22" t="s">
        <v>2581</v>
      </c>
      <c r="F636" s="22" t="s">
        <v>2582</v>
      </c>
      <c r="G636" s="22">
        <v>20170316</v>
      </c>
      <c r="H636" s="22">
        <v>20170423</v>
      </c>
      <c r="I636" s="22" t="s">
        <v>40</v>
      </c>
      <c r="J636" s="22"/>
      <c r="K636" s="22"/>
      <c r="L636" s="22" t="s">
        <v>34</v>
      </c>
      <c r="M636" s="22" t="s">
        <v>34</v>
      </c>
      <c r="N636" s="22" t="s">
        <v>35</v>
      </c>
      <c r="O636" s="22" t="s">
        <v>35</v>
      </c>
      <c r="P636" s="22" t="s">
        <v>35</v>
      </c>
      <c r="Q636" s="22" t="s">
        <v>35</v>
      </c>
      <c r="R636" s="22" t="s">
        <v>35</v>
      </c>
      <c r="S636" s="22" t="s">
        <v>34</v>
      </c>
      <c r="T636" s="22"/>
      <c r="U636" s="22"/>
      <c r="V636" s="22"/>
      <c r="W636" s="22"/>
      <c r="X636" s="22"/>
      <c r="Y636" s="22"/>
      <c r="Z636" s="22"/>
      <c r="AA636" s="22"/>
      <c r="AB636" s="22"/>
      <c r="AC636" s="22" t="s">
        <v>1900</v>
      </c>
      <c r="AD636" s="22">
        <v>20170413</v>
      </c>
      <c r="AE636" s="22">
        <v>635</v>
      </c>
      <c r="AF636" s="22"/>
      <c r="AG636" s="22" t="str">
        <f>IFERROR(VLOOKUP(TblFeedFile[[#This Row],[Leave Type ]],LkupPayType[],2,FALSE),"TBD")</f>
        <v>Paid</v>
      </c>
      <c r="AH636" s="22"/>
      <c r="AI636" s="25"/>
      <c r="AJ636" s="25"/>
      <c r="AK636" s="26"/>
    </row>
    <row r="637" spans="1:37" x14ac:dyDescent="0.25">
      <c r="A637" s="21" t="s">
        <v>37</v>
      </c>
      <c r="B637" s="22">
        <v>314304</v>
      </c>
      <c r="C637" s="22">
        <v>27468547</v>
      </c>
      <c r="D637" s="23">
        <v>561702108696</v>
      </c>
      <c r="E637" s="22" t="s">
        <v>2581</v>
      </c>
      <c r="F637" s="22" t="s">
        <v>2582</v>
      </c>
      <c r="G637" s="22">
        <v>20170316</v>
      </c>
      <c r="H637" s="22">
        <v>20170430</v>
      </c>
      <c r="I637" s="22" t="s">
        <v>40</v>
      </c>
      <c r="J637" s="22"/>
      <c r="K637" s="22"/>
      <c r="L637" s="22" t="s">
        <v>34</v>
      </c>
      <c r="M637" s="22" t="s">
        <v>34</v>
      </c>
      <c r="N637" s="22" t="s">
        <v>35</v>
      </c>
      <c r="O637" s="22" t="s">
        <v>35</v>
      </c>
      <c r="P637" s="22" t="s">
        <v>35</v>
      </c>
      <c r="Q637" s="22" t="s">
        <v>35</v>
      </c>
      <c r="R637" s="22" t="s">
        <v>35</v>
      </c>
      <c r="S637" s="22" t="s">
        <v>34</v>
      </c>
      <c r="T637" s="22"/>
      <c r="U637" s="22"/>
      <c r="V637" s="22"/>
      <c r="W637" s="22"/>
      <c r="X637" s="22"/>
      <c r="Y637" s="22"/>
      <c r="Z637" s="22"/>
      <c r="AA637" s="22"/>
      <c r="AB637" s="22"/>
      <c r="AC637" s="22" t="s">
        <v>1900</v>
      </c>
      <c r="AD637" s="22">
        <v>20170413</v>
      </c>
      <c r="AE637" s="22">
        <v>636</v>
      </c>
      <c r="AF637" s="22"/>
      <c r="AG637" s="22" t="str">
        <f>IFERROR(VLOOKUP(TblFeedFile[[#This Row],[Leave Type ]],LkupPayType[],2,FALSE),"TBD")</f>
        <v>Paid</v>
      </c>
      <c r="AH637" s="22"/>
      <c r="AI637" s="25"/>
      <c r="AJ637" s="25"/>
      <c r="AK637" s="26"/>
    </row>
    <row r="638" spans="1:37" x14ac:dyDescent="0.25">
      <c r="A638" s="21" t="s">
        <v>37</v>
      </c>
      <c r="B638" s="22">
        <v>314304</v>
      </c>
      <c r="C638" s="22">
        <v>27468645</v>
      </c>
      <c r="D638" s="23" t="s">
        <v>2583</v>
      </c>
      <c r="E638" s="22" t="s">
        <v>2584</v>
      </c>
      <c r="F638" s="22" t="s">
        <v>2585</v>
      </c>
      <c r="G638" s="22">
        <v>20170413</v>
      </c>
      <c r="H638" s="22">
        <v>20170514</v>
      </c>
      <c r="I638" s="22" t="s">
        <v>36</v>
      </c>
      <c r="J638" s="22"/>
      <c r="K638" s="22"/>
      <c r="L638" s="22" t="s">
        <v>34</v>
      </c>
      <c r="M638" s="22" t="s">
        <v>34</v>
      </c>
      <c r="N638" s="22" t="s">
        <v>34</v>
      </c>
      <c r="O638" s="22" t="s">
        <v>35</v>
      </c>
      <c r="P638" s="22" t="s">
        <v>35</v>
      </c>
      <c r="Q638" s="22" t="s">
        <v>35</v>
      </c>
      <c r="R638" s="22" t="s">
        <v>35</v>
      </c>
      <c r="S638" s="22" t="s">
        <v>35</v>
      </c>
      <c r="T638" s="22"/>
      <c r="U638" s="22"/>
      <c r="V638" s="22"/>
      <c r="W638" s="22"/>
      <c r="X638" s="22"/>
      <c r="Y638" s="22"/>
      <c r="Z638" s="22"/>
      <c r="AA638" s="22"/>
      <c r="AB638" s="22"/>
      <c r="AC638" s="22" t="s">
        <v>1918</v>
      </c>
      <c r="AD638" s="22">
        <v>20170413</v>
      </c>
      <c r="AE638" s="22">
        <v>637</v>
      </c>
      <c r="AF638" s="22"/>
      <c r="AG638" s="22" t="str">
        <f>IFERROR(VLOOKUP(TblFeedFile[[#This Row],[Leave Type ]],LkupPayType[],2,FALSE),"TBD")</f>
        <v>Unpaid</v>
      </c>
      <c r="AH638" s="22"/>
      <c r="AI638" s="25"/>
      <c r="AJ638" s="25"/>
      <c r="AK638" s="26"/>
    </row>
    <row r="639" spans="1:37" x14ac:dyDescent="0.25">
      <c r="A639" s="21" t="s">
        <v>37</v>
      </c>
      <c r="B639" s="22">
        <v>314304</v>
      </c>
      <c r="C639" s="22">
        <v>27486243</v>
      </c>
      <c r="D639" s="23" t="s">
        <v>2586</v>
      </c>
      <c r="E639" s="22" t="s">
        <v>2587</v>
      </c>
      <c r="F639" s="22" t="s">
        <v>2588</v>
      </c>
      <c r="G639" s="22">
        <v>20170310</v>
      </c>
      <c r="H639" s="22">
        <v>20170412</v>
      </c>
      <c r="I639" s="22" t="s">
        <v>36</v>
      </c>
      <c r="J639" s="22"/>
      <c r="K639" s="22"/>
      <c r="L639" s="22" t="s">
        <v>34</v>
      </c>
      <c r="M639" s="22" t="s">
        <v>34</v>
      </c>
      <c r="N639" s="22" t="s">
        <v>35</v>
      </c>
      <c r="O639" s="22" t="s">
        <v>35</v>
      </c>
      <c r="P639" s="22" t="s">
        <v>35</v>
      </c>
      <c r="Q639" s="22" t="s">
        <v>35</v>
      </c>
      <c r="R639" s="22" t="s">
        <v>35</v>
      </c>
      <c r="S639" s="22" t="s">
        <v>34</v>
      </c>
      <c r="T639" s="22">
        <v>20170413</v>
      </c>
      <c r="U639" s="22"/>
      <c r="V639" s="22"/>
      <c r="W639" s="22"/>
      <c r="X639" s="22"/>
      <c r="Y639" s="22"/>
      <c r="Z639" s="22"/>
      <c r="AA639" s="22"/>
      <c r="AB639" s="22"/>
      <c r="AC639" s="22" t="s">
        <v>2222</v>
      </c>
      <c r="AD639" s="22">
        <v>20170413</v>
      </c>
      <c r="AE639" s="22">
        <v>638</v>
      </c>
      <c r="AF639" s="22"/>
      <c r="AG639" s="22" t="str">
        <f>IFERROR(VLOOKUP(TblFeedFile[[#This Row],[Leave Type ]],LkupPayType[],2,FALSE),"TBD")</f>
        <v>Unpaid</v>
      </c>
      <c r="AH639" s="22"/>
      <c r="AI639" s="25"/>
      <c r="AJ639" s="25"/>
      <c r="AK639" s="26" t="s">
        <v>35</v>
      </c>
    </row>
    <row r="640" spans="1:37" x14ac:dyDescent="0.25">
      <c r="A640" s="21" t="s">
        <v>29</v>
      </c>
      <c r="B640" s="22">
        <v>314304</v>
      </c>
      <c r="C640" s="22">
        <v>27503237</v>
      </c>
      <c r="D640" s="23">
        <v>571703228727</v>
      </c>
      <c r="E640" s="22" t="s">
        <v>2589</v>
      </c>
      <c r="F640" s="22" t="s">
        <v>2590</v>
      </c>
      <c r="G640" s="22">
        <v>20170329</v>
      </c>
      <c r="H640" s="22">
        <v>20170507</v>
      </c>
      <c r="I640" s="22" t="s">
        <v>40</v>
      </c>
      <c r="J640" s="22"/>
      <c r="K640" s="22"/>
      <c r="L640" s="22" t="s">
        <v>34</v>
      </c>
      <c r="M640" s="22" t="s">
        <v>34</v>
      </c>
      <c r="N640" s="22" t="s">
        <v>35</v>
      </c>
      <c r="O640" s="22" t="s">
        <v>35</v>
      </c>
      <c r="P640" s="22" t="s">
        <v>35</v>
      </c>
      <c r="Q640" s="22" t="s">
        <v>35</v>
      </c>
      <c r="R640" s="22" t="s">
        <v>35</v>
      </c>
      <c r="S640" s="22" t="s">
        <v>34</v>
      </c>
      <c r="T640" s="22"/>
      <c r="U640" s="22"/>
      <c r="V640" s="22"/>
      <c r="W640" s="22"/>
      <c r="X640" s="22"/>
      <c r="Y640" s="22"/>
      <c r="Z640" s="22"/>
      <c r="AA640" s="22"/>
      <c r="AB640" s="22"/>
      <c r="AC640" s="22" t="s">
        <v>1902</v>
      </c>
      <c r="AD640" s="22">
        <v>20170413</v>
      </c>
      <c r="AE640" s="22">
        <v>639</v>
      </c>
      <c r="AF640" s="22"/>
      <c r="AG640" s="22" t="str">
        <f>IFERROR(VLOOKUP(TblFeedFile[[#This Row],[Leave Type ]],LkupPayType[],2,FALSE),"TBD")</f>
        <v>Paid</v>
      </c>
      <c r="AH640" s="22"/>
      <c r="AI640" s="25"/>
      <c r="AJ640" s="25"/>
      <c r="AK640" s="26"/>
    </row>
    <row r="641" spans="1:37" x14ac:dyDescent="0.25">
      <c r="A641" s="21" t="s">
        <v>37</v>
      </c>
      <c r="B641" s="22">
        <v>314304</v>
      </c>
      <c r="C641" s="22">
        <v>27503237</v>
      </c>
      <c r="D641" s="23">
        <v>571703228727</v>
      </c>
      <c r="E641" s="22" t="s">
        <v>2589</v>
      </c>
      <c r="F641" s="22" t="s">
        <v>2590</v>
      </c>
      <c r="G641" s="22">
        <v>20170329</v>
      </c>
      <c r="H641" s="22">
        <v>20170509</v>
      </c>
      <c r="I641" s="22" t="s">
        <v>40</v>
      </c>
      <c r="J641" s="22"/>
      <c r="K641" s="22"/>
      <c r="L641" s="22" t="s">
        <v>34</v>
      </c>
      <c r="M641" s="22" t="s">
        <v>34</v>
      </c>
      <c r="N641" s="22" t="s">
        <v>35</v>
      </c>
      <c r="O641" s="22" t="s">
        <v>35</v>
      </c>
      <c r="P641" s="22" t="s">
        <v>35</v>
      </c>
      <c r="Q641" s="22" t="s">
        <v>35</v>
      </c>
      <c r="R641" s="22" t="s">
        <v>35</v>
      </c>
      <c r="S641" s="22" t="s">
        <v>34</v>
      </c>
      <c r="T641" s="22"/>
      <c r="U641" s="22"/>
      <c r="V641" s="22"/>
      <c r="W641" s="22"/>
      <c r="X641" s="22"/>
      <c r="Y641" s="22"/>
      <c r="Z641" s="22"/>
      <c r="AA641" s="22"/>
      <c r="AB641" s="22"/>
      <c r="AC641" s="22" t="s">
        <v>1902</v>
      </c>
      <c r="AD641" s="22">
        <v>20170413</v>
      </c>
      <c r="AE641" s="22">
        <v>640</v>
      </c>
      <c r="AF641" s="22"/>
      <c r="AG641" s="22" t="str">
        <f>IFERROR(VLOOKUP(TblFeedFile[[#This Row],[Leave Type ]],LkupPayType[],2,FALSE),"TBD")</f>
        <v>Paid</v>
      </c>
      <c r="AH641" s="22"/>
      <c r="AI641" s="25"/>
      <c r="AJ641" s="25"/>
      <c r="AK641" s="26"/>
    </row>
    <row r="642" spans="1:37" x14ac:dyDescent="0.25">
      <c r="A642" s="21" t="s">
        <v>37</v>
      </c>
      <c r="B642" s="22">
        <v>314304</v>
      </c>
      <c r="C642" s="22">
        <v>27505735</v>
      </c>
      <c r="D642" s="23" t="s">
        <v>2591</v>
      </c>
      <c r="E642" s="22" t="s">
        <v>1474</v>
      </c>
      <c r="F642" s="22" t="s">
        <v>1475</v>
      </c>
      <c r="G642" s="22">
        <v>20170311</v>
      </c>
      <c r="H642" s="22">
        <v>20170414</v>
      </c>
      <c r="I642" s="22" t="s">
        <v>78</v>
      </c>
      <c r="J642" s="22"/>
      <c r="K642" s="22" t="s">
        <v>79</v>
      </c>
      <c r="L642" s="22" t="s">
        <v>34</v>
      </c>
      <c r="M642" s="22" t="s">
        <v>34</v>
      </c>
      <c r="N642" s="22" t="s">
        <v>35</v>
      </c>
      <c r="O642" s="22" t="s">
        <v>35</v>
      </c>
      <c r="P642" s="22" t="s">
        <v>35</v>
      </c>
      <c r="Q642" s="22" t="s">
        <v>35</v>
      </c>
      <c r="R642" s="22" t="s">
        <v>35</v>
      </c>
      <c r="S642" s="22" t="s">
        <v>34</v>
      </c>
      <c r="T642" s="22">
        <v>20170415</v>
      </c>
      <c r="U642" s="22"/>
      <c r="V642" s="22"/>
      <c r="W642" s="22"/>
      <c r="X642" s="22"/>
      <c r="Y642" s="22"/>
      <c r="Z642" s="22"/>
      <c r="AA642" s="22"/>
      <c r="AB642" s="22"/>
      <c r="AC642" s="22" t="s">
        <v>2309</v>
      </c>
      <c r="AD642" s="22">
        <v>20170413</v>
      </c>
      <c r="AE642" s="22">
        <v>641</v>
      </c>
      <c r="AF642" s="22"/>
      <c r="AG642" s="22" t="str">
        <f>IFERROR(VLOOKUP(TblFeedFile[[#This Row],[Leave Type ]],LkupPayType[],2,FALSE),"TBD")</f>
        <v>Unpaid</v>
      </c>
      <c r="AH642" s="22"/>
      <c r="AI642" s="25"/>
      <c r="AJ642" s="25"/>
      <c r="AK642" s="26" t="s">
        <v>35</v>
      </c>
    </row>
    <row r="643" spans="1:37" x14ac:dyDescent="0.25">
      <c r="A643" s="21" t="s">
        <v>29</v>
      </c>
      <c r="B643" s="22">
        <v>314304</v>
      </c>
      <c r="C643" s="22">
        <v>27523499</v>
      </c>
      <c r="D643" s="23">
        <v>561703108676</v>
      </c>
      <c r="E643" s="22" t="s">
        <v>2009</v>
      </c>
      <c r="F643" s="22" t="s">
        <v>2042</v>
      </c>
      <c r="G643" s="22">
        <v>20170401</v>
      </c>
      <c r="H643" s="22">
        <v>20170512</v>
      </c>
      <c r="I643" s="22" t="s">
        <v>459</v>
      </c>
      <c r="J643" s="22"/>
      <c r="K643" s="22"/>
      <c r="L643" s="22" t="s">
        <v>34</v>
      </c>
      <c r="M643" s="22" t="s">
        <v>34</v>
      </c>
      <c r="N643" s="22" t="s">
        <v>35</v>
      </c>
      <c r="O643" s="22" t="s">
        <v>35</v>
      </c>
      <c r="P643" s="22" t="s">
        <v>35</v>
      </c>
      <c r="Q643" s="22" t="s">
        <v>35</v>
      </c>
      <c r="R643" s="22" t="s">
        <v>35</v>
      </c>
      <c r="S643" s="22" t="s">
        <v>34</v>
      </c>
      <c r="T643" s="22"/>
      <c r="U643" s="22"/>
      <c r="V643" s="22"/>
      <c r="W643" s="22"/>
      <c r="X643" s="22"/>
      <c r="Y643" s="22"/>
      <c r="Z643" s="22"/>
      <c r="AA643" s="22"/>
      <c r="AB643" s="22"/>
      <c r="AC643" s="22" t="s">
        <v>1901</v>
      </c>
      <c r="AD643" s="22">
        <v>20170413</v>
      </c>
      <c r="AE643" s="22">
        <v>642</v>
      </c>
      <c r="AF643" s="22"/>
      <c r="AG643" s="22" t="str">
        <f>IFERROR(VLOOKUP(TblFeedFile[[#This Row],[Leave Type ]],LkupPayType[],2,FALSE),"TBD")</f>
        <v>Paid</v>
      </c>
      <c r="AH643" s="22"/>
      <c r="AI643" s="25"/>
      <c r="AJ643" s="25"/>
      <c r="AK643" s="26"/>
    </row>
    <row r="644" spans="1:37" x14ac:dyDescent="0.25">
      <c r="A644" s="21" t="s">
        <v>37</v>
      </c>
      <c r="B644" s="22">
        <v>314304</v>
      </c>
      <c r="C644" s="22">
        <v>27523499</v>
      </c>
      <c r="D644" s="23">
        <v>561703108676</v>
      </c>
      <c r="E644" s="22" t="s">
        <v>2009</v>
      </c>
      <c r="F644" s="22" t="s">
        <v>2042</v>
      </c>
      <c r="G644" s="22">
        <v>20170401</v>
      </c>
      <c r="H644" s="22">
        <v>20170709</v>
      </c>
      <c r="I644" s="22" t="s">
        <v>459</v>
      </c>
      <c r="J644" s="22"/>
      <c r="K644" s="22"/>
      <c r="L644" s="22" t="s">
        <v>34</v>
      </c>
      <c r="M644" s="22" t="s">
        <v>34</v>
      </c>
      <c r="N644" s="22" t="s">
        <v>35</v>
      </c>
      <c r="O644" s="22" t="s">
        <v>35</v>
      </c>
      <c r="P644" s="22" t="s">
        <v>35</v>
      </c>
      <c r="Q644" s="22" t="s">
        <v>35</v>
      </c>
      <c r="R644" s="22" t="s">
        <v>35</v>
      </c>
      <c r="S644" s="22" t="s">
        <v>34</v>
      </c>
      <c r="T644" s="22"/>
      <c r="U644" s="22"/>
      <c r="V644" s="22"/>
      <c r="W644" s="22"/>
      <c r="X644" s="22"/>
      <c r="Y644" s="22"/>
      <c r="Z644" s="22"/>
      <c r="AA644" s="22"/>
      <c r="AB644" s="22"/>
      <c r="AC644" s="22" t="s">
        <v>1901</v>
      </c>
      <c r="AD644" s="22">
        <v>20170413</v>
      </c>
      <c r="AE644" s="22">
        <v>643</v>
      </c>
      <c r="AF644" s="22"/>
      <c r="AG644" s="22" t="str">
        <f>IFERROR(VLOOKUP(TblFeedFile[[#This Row],[Leave Type ]],LkupPayType[],2,FALSE),"TBD")</f>
        <v>Paid</v>
      </c>
      <c r="AH644" s="22"/>
      <c r="AI644" s="25"/>
      <c r="AJ644" s="25"/>
      <c r="AK644" s="26"/>
    </row>
    <row r="645" spans="1:37" x14ac:dyDescent="0.25">
      <c r="A645" s="21" t="s">
        <v>29</v>
      </c>
      <c r="B645" s="22">
        <v>314304</v>
      </c>
      <c r="C645" s="22">
        <v>27534150</v>
      </c>
      <c r="D645" s="23" t="s">
        <v>2592</v>
      </c>
      <c r="E645" s="22" t="s">
        <v>147</v>
      </c>
      <c r="F645" s="22" t="s">
        <v>2593</v>
      </c>
      <c r="G645" s="22">
        <v>20170408</v>
      </c>
      <c r="H645" s="22">
        <v>20170408</v>
      </c>
      <c r="I645" s="22" t="s">
        <v>33</v>
      </c>
      <c r="J645" s="22"/>
      <c r="K645" s="22"/>
      <c r="L645" s="22" t="s">
        <v>34</v>
      </c>
      <c r="M645" s="22" t="s">
        <v>34</v>
      </c>
      <c r="N645" s="22" t="s">
        <v>35</v>
      </c>
      <c r="O645" s="22" t="s">
        <v>35</v>
      </c>
      <c r="P645" s="22" t="s">
        <v>35</v>
      </c>
      <c r="Q645" s="22" t="s">
        <v>35</v>
      </c>
      <c r="R645" s="22" t="s">
        <v>35</v>
      </c>
      <c r="S645" s="22" t="s">
        <v>34</v>
      </c>
      <c r="T645" s="22"/>
      <c r="U645" s="22"/>
      <c r="V645" s="22"/>
      <c r="W645" s="22"/>
      <c r="X645" s="22"/>
      <c r="Y645" s="22"/>
      <c r="Z645" s="22"/>
      <c r="AA645" s="22"/>
      <c r="AB645" s="22"/>
      <c r="AC645" s="22" t="s">
        <v>1917</v>
      </c>
      <c r="AD645" s="22">
        <v>20170413</v>
      </c>
      <c r="AE645" s="22">
        <v>644</v>
      </c>
      <c r="AF645" s="22"/>
      <c r="AG645" s="22" t="str">
        <f>IFERROR(VLOOKUP(TblFeedFile[[#This Row],[Leave Type ]],LkupPayType[],2,FALSE),"TBD")</f>
        <v>Closed</v>
      </c>
      <c r="AH645" s="22"/>
      <c r="AI645" s="25"/>
      <c r="AJ645" s="25"/>
      <c r="AK645" s="26"/>
    </row>
    <row r="646" spans="1:37" x14ac:dyDescent="0.25">
      <c r="A646" s="21" t="s">
        <v>29</v>
      </c>
      <c r="B646" s="22">
        <v>314304</v>
      </c>
      <c r="C646" s="22">
        <v>27534150</v>
      </c>
      <c r="D646" s="23" t="s">
        <v>2592</v>
      </c>
      <c r="E646" s="22" t="s">
        <v>147</v>
      </c>
      <c r="F646" s="22" t="s">
        <v>2593</v>
      </c>
      <c r="G646" s="22">
        <v>20170223</v>
      </c>
      <c r="H646" s="22">
        <v>20170407</v>
      </c>
      <c r="I646" s="22" t="s">
        <v>36</v>
      </c>
      <c r="J646" s="22"/>
      <c r="K646" s="22"/>
      <c r="L646" s="22" t="s">
        <v>34</v>
      </c>
      <c r="M646" s="22" t="s">
        <v>34</v>
      </c>
      <c r="N646" s="22" t="s">
        <v>35</v>
      </c>
      <c r="O646" s="22" t="s">
        <v>35</v>
      </c>
      <c r="P646" s="22" t="s">
        <v>35</v>
      </c>
      <c r="Q646" s="22" t="s">
        <v>35</v>
      </c>
      <c r="R646" s="22" t="s">
        <v>35</v>
      </c>
      <c r="S646" s="22" t="s">
        <v>34</v>
      </c>
      <c r="T646" s="22"/>
      <c r="U646" s="22"/>
      <c r="V646" s="22"/>
      <c r="W646" s="22"/>
      <c r="X646" s="22"/>
      <c r="Y646" s="22"/>
      <c r="Z646" s="22"/>
      <c r="AA646" s="22"/>
      <c r="AB646" s="22"/>
      <c r="AC646" s="22" t="s">
        <v>1918</v>
      </c>
      <c r="AD646" s="22">
        <v>20170413</v>
      </c>
      <c r="AE646" s="22">
        <v>645</v>
      </c>
      <c r="AF646" s="22"/>
      <c r="AG646" s="22" t="str">
        <f>IFERROR(VLOOKUP(TblFeedFile[[#This Row],[Leave Type ]],LkupPayType[],2,FALSE),"TBD")</f>
        <v>Unpaid</v>
      </c>
      <c r="AH646" s="22"/>
      <c r="AI646" s="25"/>
      <c r="AJ646" s="25"/>
      <c r="AK646" s="26"/>
    </row>
    <row r="647" spans="1:37" x14ac:dyDescent="0.25">
      <c r="A647" s="21" t="s">
        <v>37</v>
      </c>
      <c r="B647" s="22">
        <v>314304</v>
      </c>
      <c r="C647" s="22">
        <v>27534150</v>
      </c>
      <c r="D647" s="23" t="s">
        <v>2592</v>
      </c>
      <c r="E647" s="22" t="s">
        <v>147</v>
      </c>
      <c r="F647" s="22" t="s">
        <v>2593</v>
      </c>
      <c r="G647" s="22">
        <v>20170224</v>
      </c>
      <c r="H647" s="22">
        <v>20170406</v>
      </c>
      <c r="I647" s="22" t="s">
        <v>36</v>
      </c>
      <c r="J647" s="22"/>
      <c r="K647" s="22"/>
      <c r="L647" s="22" t="s">
        <v>34</v>
      </c>
      <c r="M647" s="22" t="s">
        <v>34</v>
      </c>
      <c r="N647" s="22" t="s">
        <v>35</v>
      </c>
      <c r="O647" s="22" t="s">
        <v>35</v>
      </c>
      <c r="P647" s="22" t="s">
        <v>35</v>
      </c>
      <c r="Q647" s="22" t="s">
        <v>35</v>
      </c>
      <c r="R647" s="22" t="s">
        <v>35</v>
      </c>
      <c r="S647" s="22" t="s">
        <v>34</v>
      </c>
      <c r="T647" s="22">
        <v>20170410</v>
      </c>
      <c r="U647" s="22"/>
      <c r="V647" s="22"/>
      <c r="W647" s="22"/>
      <c r="X647" s="22"/>
      <c r="Y647" s="22"/>
      <c r="Z647" s="22"/>
      <c r="AA647" s="22"/>
      <c r="AB647" s="22"/>
      <c r="AC647" s="22" t="s">
        <v>1921</v>
      </c>
      <c r="AD647" s="22">
        <v>20170413</v>
      </c>
      <c r="AE647" s="22">
        <v>646</v>
      </c>
      <c r="AF647" s="22"/>
      <c r="AG647" s="22" t="str">
        <f>IFERROR(VLOOKUP(TblFeedFile[[#This Row],[Leave Type ]],LkupPayType[],2,FALSE),"TBD")</f>
        <v>Unpaid</v>
      </c>
      <c r="AH647" s="22"/>
      <c r="AI647" s="25" t="s">
        <v>35</v>
      </c>
      <c r="AJ647" s="25"/>
      <c r="AK647" s="26" t="s">
        <v>35</v>
      </c>
    </row>
    <row r="648" spans="1:37" x14ac:dyDescent="0.25">
      <c r="A648" s="21" t="s">
        <v>29</v>
      </c>
      <c r="B648" s="22">
        <v>314304</v>
      </c>
      <c r="C648" s="22">
        <v>27538633</v>
      </c>
      <c r="D648" s="23">
        <v>501703028210</v>
      </c>
      <c r="E648" s="22" t="s">
        <v>1102</v>
      </c>
      <c r="F648" s="22" t="s">
        <v>2043</v>
      </c>
      <c r="G648" s="22">
        <v>20170305</v>
      </c>
      <c r="H648" s="22">
        <v>20170410</v>
      </c>
      <c r="I648" s="22" t="s">
        <v>40</v>
      </c>
      <c r="J648" s="22"/>
      <c r="K648" s="22"/>
      <c r="L648" s="22" t="s">
        <v>34</v>
      </c>
      <c r="M648" s="22" t="s">
        <v>34</v>
      </c>
      <c r="N648" s="22" t="s">
        <v>34</v>
      </c>
      <c r="O648" s="22" t="s">
        <v>35</v>
      </c>
      <c r="P648" s="22" t="s">
        <v>35</v>
      </c>
      <c r="Q648" s="22" t="s">
        <v>35</v>
      </c>
      <c r="R648" s="22" t="s">
        <v>35</v>
      </c>
      <c r="S648" s="22" t="s">
        <v>35</v>
      </c>
      <c r="T648" s="22"/>
      <c r="U648" s="22"/>
      <c r="V648" s="22"/>
      <c r="W648" s="22"/>
      <c r="X648" s="22"/>
      <c r="Y648" s="22"/>
      <c r="Z648" s="22"/>
      <c r="AA648" s="22"/>
      <c r="AB648" s="22"/>
      <c r="AC648" s="22" t="s">
        <v>1916</v>
      </c>
      <c r="AD648" s="22">
        <v>20170413</v>
      </c>
      <c r="AE648" s="22">
        <v>647</v>
      </c>
      <c r="AF648" s="22"/>
      <c r="AG648" s="22" t="str">
        <f>IFERROR(VLOOKUP(TblFeedFile[[#This Row],[Leave Type ]],LkupPayType[],2,FALSE),"TBD")</f>
        <v>Paid</v>
      </c>
      <c r="AH648" s="22"/>
      <c r="AI648" s="25"/>
      <c r="AJ648" s="25"/>
      <c r="AK648" s="26"/>
    </row>
    <row r="649" spans="1:37" x14ac:dyDescent="0.25">
      <c r="A649" s="21" t="s">
        <v>29</v>
      </c>
      <c r="B649" s="22">
        <v>314304</v>
      </c>
      <c r="C649" s="22">
        <v>27538633</v>
      </c>
      <c r="D649" s="23">
        <v>501703028210</v>
      </c>
      <c r="E649" s="22" t="s">
        <v>1102</v>
      </c>
      <c r="F649" s="22" t="s">
        <v>2043</v>
      </c>
      <c r="G649" s="22">
        <v>20170226</v>
      </c>
      <c r="H649" s="22">
        <v>20170328</v>
      </c>
      <c r="I649" s="22" t="s">
        <v>53</v>
      </c>
      <c r="J649" s="22"/>
      <c r="K649" s="22"/>
      <c r="L649" s="22" t="s">
        <v>34</v>
      </c>
      <c r="M649" s="22" t="s">
        <v>34</v>
      </c>
      <c r="N649" s="22" t="s">
        <v>35</v>
      </c>
      <c r="O649" s="22" t="s">
        <v>35</v>
      </c>
      <c r="P649" s="22" t="s">
        <v>35</v>
      </c>
      <c r="Q649" s="22" t="s">
        <v>35</v>
      </c>
      <c r="R649" s="22" t="s">
        <v>35</v>
      </c>
      <c r="S649" s="22" t="s">
        <v>34</v>
      </c>
      <c r="T649" s="22"/>
      <c r="U649" s="22"/>
      <c r="V649" s="22"/>
      <c r="W649" s="22"/>
      <c r="X649" s="22"/>
      <c r="Y649" s="22"/>
      <c r="Z649" s="22"/>
      <c r="AA649" s="22"/>
      <c r="AB649" s="22"/>
      <c r="AC649" s="22" t="s">
        <v>1902</v>
      </c>
      <c r="AD649" s="22">
        <v>20170413</v>
      </c>
      <c r="AE649" s="22">
        <v>648</v>
      </c>
      <c r="AF649" s="22"/>
      <c r="AG649" s="22" t="str">
        <f>IFERROR(VLOOKUP(TblFeedFile[[#This Row],[Leave Type ]],LkupPayType[],2,FALSE),"TBD")</f>
        <v>Paid</v>
      </c>
      <c r="AH649" s="22"/>
      <c r="AI649" s="25"/>
      <c r="AJ649" s="25"/>
      <c r="AK649" s="26"/>
    </row>
    <row r="650" spans="1:37" x14ac:dyDescent="0.25">
      <c r="A650" s="21" t="s">
        <v>37</v>
      </c>
      <c r="B650" s="22">
        <v>314304</v>
      </c>
      <c r="C650" s="22">
        <v>27538633</v>
      </c>
      <c r="D650" s="23">
        <v>501703028210</v>
      </c>
      <c r="E650" s="22" t="s">
        <v>1102</v>
      </c>
      <c r="F650" s="22" t="s">
        <v>2043</v>
      </c>
      <c r="G650" s="22">
        <v>20170227</v>
      </c>
      <c r="H650" s="22">
        <v>20170410</v>
      </c>
      <c r="I650" s="22" t="s">
        <v>53</v>
      </c>
      <c r="J650" s="22"/>
      <c r="K650" s="22"/>
      <c r="L650" s="22" t="s">
        <v>34</v>
      </c>
      <c r="M650" s="22" t="s">
        <v>34</v>
      </c>
      <c r="N650" s="22" t="s">
        <v>34</v>
      </c>
      <c r="O650" s="22" t="s">
        <v>35</v>
      </c>
      <c r="P650" s="22" t="s">
        <v>35</v>
      </c>
      <c r="Q650" s="22" t="s">
        <v>35</v>
      </c>
      <c r="R650" s="22" t="s">
        <v>35</v>
      </c>
      <c r="S650" s="22" t="s">
        <v>35</v>
      </c>
      <c r="T650" s="22"/>
      <c r="U650" s="22"/>
      <c r="V650" s="22"/>
      <c r="W650" s="22"/>
      <c r="X650" s="22"/>
      <c r="Y650" s="22"/>
      <c r="Z650" s="22"/>
      <c r="AA650" s="22"/>
      <c r="AB650" s="22"/>
      <c r="AC650" s="22" t="s">
        <v>1902</v>
      </c>
      <c r="AD650" s="22">
        <v>20170413</v>
      </c>
      <c r="AE650" s="22">
        <v>649</v>
      </c>
      <c r="AF650" s="22"/>
      <c r="AG650" s="22" t="str">
        <f>IFERROR(VLOOKUP(TblFeedFile[[#This Row],[Leave Type ]],LkupPayType[],2,FALSE),"TBD")</f>
        <v>Paid</v>
      </c>
      <c r="AH650" s="22"/>
      <c r="AI650" s="25"/>
      <c r="AJ650" s="25"/>
      <c r="AK650" s="26"/>
    </row>
    <row r="651" spans="1:37" x14ac:dyDescent="0.25">
      <c r="A651" s="21" t="s">
        <v>37</v>
      </c>
      <c r="B651" s="22">
        <v>314304</v>
      </c>
      <c r="C651" s="22">
        <v>27538633</v>
      </c>
      <c r="D651" s="23">
        <v>501703028210</v>
      </c>
      <c r="E651" s="22" t="s">
        <v>1102</v>
      </c>
      <c r="F651" s="22" t="s">
        <v>2043</v>
      </c>
      <c r="G651" s="22">
        <v>20170306</v>
      </c>
      <c r="H651" s="22">
        <v>20170410</v>
      </c>
      <c r="I651" s="22" t="s">
        <v>40</v>
      </c>
      <c r="J651" s="22"/>
      <c r="K651" s="22"/>
      <c r="L651" s="22" t="s">
        <v>34</v>
      </c>
      <c r="M651" s="22" t="s">
        <v>34</v>
      </c>
      <c r="N651" s="22" t="s">
        <v>34</v>
      </c>
      <c r="O651" s="22" t="s">
        <v>35</v>
      </c>
      <c r="P651" s="22" t="s">
        <v>35</v>
      </c>
      <c r="Q651" s="22" t="s">
        <v>35</v>
      </c>
      <c r="R651" s="22" t="s">
        <v>35</v>
      </c>
      <c r="S651" s="22" t="s">
        <v>35</v>
      </c>
      <c r="T651" s="22"/>
      <c r="U651" s="22"/>
      <c r="V651" s="22"/>
      <c r="W651" s="22"/>
      <c r="X651" s="22"/>
      <c r="Y651" s="22"/>
      <c r="Z651" s="22"/>
      <c r="AA651" s="22"/>
      <c r="AB651" s="22"/>
      <c r="AC651" s="22" t="s">
        <v>1916</v>
      </c>
      <c r="AD651" s="22">
        <v>20170413</v>
      </c>
      <c r="AE651" s="22">
        <v>650</v>
      </c>
      <c r="AF651" s="22"/>
      <c r="AG651" s="22" t="str">
        <f>IFERROR(VLOOKUP(TblFeedFile[[#This Row],[Leave Type ]],LkupPayType[],2,FALSE),"TBD")</f>
        <v>Paid</v>
      </c>
      <c r="AH651" s="22"/>
      <c r="AI651" s="25"/>
      <c r="AJ651" s="25"/>
      <c r="AK651" s="26"/>
    </row>
    <row r="652" spans="1:37" x14ac:dyDescent="0.25">
      <c r="A652" s="21" t="s">
        <v>29</v>
      </c>
      <c r="B652" s="22">
        <v>314305</v>
      </c>
      <c r="C652" s="22">
        <v>27541231</v>
      </c>
      <c r="D652" s="23">
        <v>501703278478</v>
      </c>
      <c r="E652" s="22" t="s">
        <v>1343</v>
      </c>
      <c r="F652" s="22" t="s">
        <v>1046</v>
      </c>
      <c r="G652" s="22">
        <v>20170327</v>
      </c>
      <c r="H652" s="22">
        <v>20170430</v>
      </c>
      <c r="I652" s="22" t="s">
        <v>40</v>
      </c>
      <c r="J652" s="22"/>
      <c r="K652" s="22"/>
      <c r="L652" s="22" t="s">
        <v>34</v>
      </c>
      <c r="M652" s="22" t="s">
        <v>34</v>
      </c>
      <c r="N652" s="22" t="s">
        <v>35</v>
      </c>
      <c r="O652" s="22" t="s">
        <v>35</v>
      </c>
      <c r="P652" s="22" t="s">
        <v>35</v>
      </c>
      <c r="Q652" s="22" t="s">
        <v>35</v>
      </c>
      <c r="R652" s="22" t="s">
        <v>35</v>
      </c>
      <c r="S652" s="22" t="s">
        <v>34</v>
      </c>
      <c r="T652" s="22"/>
      <c r="U652" s="22"/>
      <c r="V652" s="22"/>
      <c r="W652" s="22"/>
      <c r="X652" s="22"/>
      <c r="Y652" s="22"/>
      <c r="Z652" s="22"/>
      <c r="AA652" s="22"/>
      <c r="AB652" s="22"/>
      <c r="AC652" s="22" t="s">
        <v>1912</v>
      </c>
      <c r="AD652" s="22">
        <v>20170413</v>
      </c>
      <c r="AE652" s="22">
        <v>651</v>
      </c>
      <c r="AF652" s="22"/>
      <c r="AG652" s="22" t="str">
        <f>IFERROR(VLOOKUP(TblFeedFile[[#This Row],[Leave Type ]],LkupPayType[],2,FALSE),"TBD")</f>
        <v>Paid</v>
      </c>
      <c r="AH652" s="22"/>
      <c r="AI652" s="25"/>
      <c r="AJ652" s="25"/>
      <c r="AK652" s="26"/>
    </row>
    <row r="653" spans="1:37" x14ac:dyDescent="0.25">
      <c r="A653" s="21" t="s">
        <v>37</v>
      </c>
      <c r="B653" s="22">
        <v>314305</v>
      </c>
      <c r="C653" s="22">
        <v>27541231</v>
      </c>
      <c r="D653" s="23">
        <v>501703278478</v>
      </c>
      <c r="E653" s="22" t="s">
        <v>1343</v>
      </c>
      <c r="F653" s="22" t="s">
        <v>1046</v>
      </c>
      <c r="G653" s="22">
        <v>20170327</v>
      </c>
      <c r="H653" s="22">
        <v>20170426</v>
      </c>
      <c r="I653" s="22" t="s">
        <v>40</v>
      </c>
      <c r="J653" s="22"/>
      <c r="K653" s="22"/>
      <c r="L653" s="22" t="s">
        <v>34</v>
      </c>
      <c r="M653" s="22" t="s">
        <v>34</v>
      </c>
      <c r="N653" s="22" t="s">
        <v>35</v>
      </c>
      <c r="O653" s="22" t="s">
        <v>35</v>
      </c>
      <c r="P653" s="22" t="s">
        <v>35</v>
      </c>
      <c r="Q653" s="22" t="s">
        <v>35</v>
      </c>
      <c r="R653" s="22" t="s">
        <v>35</v>
      </c>
      <c r="S653" s="22" t="s">
        <v>34</v>
      </c>
      <c r="T653" s="22">
        <v>20170412</v>
      </c>
      <c r="U653" s="22"/>
      <c r="V653" s="22"/>
      <c r="W653" s="22"/>
      <c r="X653" s="22"/>
      <c r="Y653" s="22"/>
      <c r="Z653" s="22"/>
      <c r="AA653" s="22"/>
      <c r="AB653" s="22"/>
      <c r="AC653" s="22" t="s">
        <v>1913</v>
      </c>
      <c r="AD653" s="22">
        <v>20170413</v>
      </c>
      <c r="AE653" s="22">
        <v>652</v>
      </c>
      <c r="AF653" s="22"/>
      <c r="AG653" s="22" t="str">
        <f>IFERROR(VLOOKUP(TblFeedFile[[#This Row],[Leave Type ]],LkupPayType[],2,FALSE),"TBD")</f>
        <v>Paid</v>
      </c>
      <c r="AH653" s="22"/>
      <c r="AI653" s="25"/>
      <c r="AJ653" s="25"/>
      <c r="AK653" s="26" t="s">
        <v>35</v>
      </c>
    </row>
    <row r="654" spans="1:37" x14ac:dyDescent="0.25">
      <c r="A654" s="21" t="s">
        <v>37</v>
      </c>
      <c r="B654" s="22">
        <v>314304</v>
      </c>
      <c r="C654" s="22">
        <v>27598456</v>
      </c>
      <c r="D654" s="23">
        <v>511702038369</v>
      </c>
      <c r="E654" s="22" t="s">
        <v>171</v>
      </c>
      <c r="F654" s="22" t="s">
        <v>2594</v>
      </c>
      <c r="G654" s="22">
        <v>20170224</v>
      </c>
      <c r="H654" s="22">
        <v>20170416</v>
      </c>
      <c r="I654" s="22" t="s">
        <v>40</v>
      </c>
      <c r="J654" s="22"/>
      <c r="K654" s="22"/>
      <c r="L654" s="22" t="s">
        <v>34</v>
      </c>
      <c r="M654" s="22" t="s">
        <v>34</v>
      </c>
      <c r="N654" s="22" t="s">
        <v>35</v>
      </c>
      <c r="O654" s="22" t="s">
        <v>35</v>
      </c>
      <c r="P654" s="22" t="s">
        <v>35</v>
      </c>
      <c r="Q654" s="22" t="s">
        <v>35</v>
      </c>
      <c r="R654" s="22" t="s">
        <v>35</v>
      </c>
      <c r="S654" s="22" t="s">
        <v>34</v>
      </c>
      <c r="T654" s="22">
        <v>20170417</v>
      </c>
      <c r="U654" s="22"/>
      <c r="V654" s="22"/>
      <c r="W654" s="22"/>
      <c r="X654" s="22"/>
      <c r="Y654" s="22"/>
      <c r="Z654" s="22"/>
      <c r="AA654" s="22"/>
      <c r="AB654" s="22"/>
      <c r="AC654" s="22" t="s">
        <v>2507</v>
      </c>
      <c r="AD654" s="22">
        <v>20170413</v>
      </c>
      <c r="AE654" s="22">
        <v>653</v>
      </c>
      <c r="AF654" s="22"/>
      <c r="AG654" s="22" t="str">
        <f>IFERROR(VLOOKUP(TblFeedFile[[#This Row],[Leave Type ]],LkupPayType[],2,FALSE),"TBD")</f>
        <v>Paid</v>
      </c>
      <c r="AH654" s="22"/>
      <c r="AI654" s="25"/>
      <c r="AJ654" s="25"/>
      <c r="AK654" s="26" t="s">
        <v>35</v>
      </c>
    </row>
    <row r="655" spans="1:37" x14ac:dyDescent="0.25">
      <c r="A655" s="21" t="s">
        <v>29</v>
      </c>
      <c r="B655" s="22">
        <v>314304</v>
      </c>
      <c r="C655" s="22">
        <v>27598953</v>
      </c>
      <c r="D655" s="23">
        <v>561702158396</v>
      </c>
      <c r="E655" s="22" t="s">
        <v>824</v>
      </c>
      <c r="F655" s="22" t="s">
        <v>2595</v>
      </c>
      <c r="G655" s="22">
        <v>20170214</v>
      </c>
      <c r="H655" s="22">
        <v>20170330</v>
      </c>
      <c r="I655" s="22" t="s">
        <v>40</v>
      </c>
      <c r="J655" s="22"/>
      <c r="K655" s="22"/>
      <c r="L655" s="22" t="s">
        <v>35</v>
      </c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 t="s">
        <v>1921</v>
      </c>
      <c r="AD655" s="22">
        <v>20170413</v>
      </c>
      <c r="AE655" s="22">
        <v>654</v>
      </c>
      <c r="AF655" s="22"/>
      <c r="AG655" s="22" t="str">
        <f>IFERROR(VLOOKUP(TblFeedFile[[#This Row],[Leave Type ]],LkupPayType[],2,FALSE),"TBD")</f>
        <v>Paid</v>
      </c>
      <c r="AH655" s="22"/>
      <c r="AI655" s="25"/>
      <c r="AJ655" s="25"/>
      <c r="AK655" s="26"/>
    </row>
    <row r="656" spans="1:37" x14ac:dyDescent="0.25">
      <c r="A656" s="21" t="s">
        <v>37</v>
      </c>
      <c r="B656" s="22">
        <v>314304</v>
      </c>
      <c r="C656" s="22">
        <v>27598953</v>
      </c>
      <c r="D656" s="23">
        <v>561702158396</v>
      </c>
      <c r="E656" s="22" t="s">
        <v>824</v>
      </c>
      <c r="F656" s="22" t="s">
        <v>2595</v>
      </c>
      <c r="G656" s="22">
        <v>20170214</v>
      </c>
      <c r="H656" s="22">
        <v>20170430</v>
      </c>
      <c r="I656" s="22" t="s">
        <v>40</v>
      </c>
      <c r="J656" s="22"/>
      <c r="K656" s="22"/>
      <c r="L656" s="22" t="s">
        <v>35</v>
      </c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 t="s">
        <v>1921</v>
      </c>
      <c r="AD656" s="22">
        <v>20170413</v>
      </c>
      <c r="AE656" s="22">
        <v>655</v>
      </c>
      <c r="AF656" s="22"/>
      <c r="AG656" s="22" t="str">
        <f>IFERROR(VLOOKUP(TblFeedFile[[#This Row],[Leave Type ]],LkupPayType[],2,FALSE),"TBD")</f>
        <v>Paid</v>
      </c>
      <c r="AH656" s="22"/>
      <c r="AI656" s="25"/>
      <c r="AJ656" s="25"/>
      <c r="AK656" s="26"/>
    </row>
    <row r="657" spans="1:37" x14ac:dyDescent="0.25">
      <c r="A657" s="21" t="s">
        <v>37</v>
      </c>
      <c r="B657" s="22">
        <v>314304</v>
      </c>
      <c r="C657" s="22">
        <v>27598953</v>
      </c>
      <c r="D657" s="23">
        <v>561702158396</v>
      </c>
      <c r="E657" s="22" t="s">
        <v>824</v>
      </c>
      <c r="F657" s="22" t="s">
        <v>2595</v>
      </c>
      <c r="G657" s="22">
        <v>20170411</v>
      </c>
      <c r="H657" s="22">
        <v>20170430</v>
      </c>
      <c r="I657" s="22" t="s">
        <v>1892</v>
      </c>
      <c r="J657" s="22"/>
      <c r="K657" s="22"/>
      <c r="L657" s="22" t="s">
        <v>35</v>
      </c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 t="s">
        <v>1912</v>
      </c>
      <c r="AD657" s="22">
        <v>20170413</v>
      </c>
      <c r="AE657" s="22">
        <v>656</v>
      </c>
      <c r="AF657" s="22"/>
      <c r="AG657" s="22" t="str">
        <f>IFERROR(VLOOKUP(TblFeedFile[[#This Row],[Leave Type ]],LkupPayType[],2,FALSE),"TBD")</f>
        <v>Paid</v>
      </c>
      <c r="AH657" s="22"/>
      <c r="AI657" s="25"/>
      <c r="AJ657" s="25"/>
      <c r="AK657" s="26"/>
    </row>
    <row r="658" spans="1:37" x14ac:dyDescent="0.25">
      <c r="A658" s="21" t="s">
        <v>29</v>
      </c>
      <c r="B658" s="22">
        <v>314301</v>
      </c>
      <c r="C658" s="22">
        <v>27616693</v>
      </c>
      <c r="D658" s="23" t="s">
        <v>2596</v>
      </c>
      <c r="E658" s="22" t="s">
        <v>522</v>
      </c>
      <c r="F658" s="22" t="s">
        <v>120</v>
      </c>
      <c r="G658" s="22">
        <v>20170221</v>
      </c>
      <c r="H658" s="22">
        <v>20170303</v>
      </c>
      <c r="I658" s="22" t="s">
        <v>223</v>
      </c>
      <c r="J658" s="22"/>
      <c r="K658" s="22"/>
      <c r="L658" s="22" t="s">
        <v>34</v>
      </c>
      <c r="M658" s="22" t="s">
        <v>34</v>
      </c>
      <c r="N658" s="22" t="s">
        <v>35</v>
      </c>
      <c r="O658" s="22" t="s">
        <v>35</v>
      </c>
      <c r="P658" s="22" t="s">
        <v>35</v>
      </c>
      <c r="Q658" s="22" t="s">
        <v>35</v>
      </c>
      <c r="R658" s="22" t="s">
        <v>35</v>
      </c>
      <c r="S658" s="22" t="s">
        <v>34</v>
      </c>
      <c r="T658" s="22">
        <v>20170306</v>
      </c>
      <c r="U658" s="22"/>
      <c r="V658" s="22"/>
      <c r="W658" s="22"/>
      <c r="X658" s="22"/>
      <c r="Y658" s="22"/>
      <c r="Z658" s="22"/>
      <c r="AA658" s="22"/>
      <c r="AB658" s="22"/>
      <c r="AC658" s="22" t="s">
        <v>1923</v>
      </c>
      <c r="AD658" s="22">
        <v>20170413</v>
      </c>
      <c r="AE658" s="22">
        <v>657</v>
      </c>
      <c r="AF658" s="22"/>
      <c r="AG658" s="22" t="str">
        <f>IFERROR(VLOOKUP(TblFeedFile[[#This Row],[Leave Type ]],LkupPayType[],2,FALSE),"TBD")</f>
        <v>Paid</v>
      </c>
      <c r="AH658" s="22"/>
      <c r="AI658" s="25"/>
      <c r="AJ658" s="25"/>
      <c r="AK658" s="26"/>
    </row>
    <row r="659" spans="1:37" x14ac:dyDescent="0.25">
      <c r="A659" s="21" t="s">
        <v>37</v>
      </c>
      <c r="B659" s="22">
        <v>314301</v>
      </c>
      <c r="C659" s="22">
        <v>27616693</v>
      </c>
      <c r="D659" s="23" t="s">
        <v>2596</v>
      </c>
      <c r="E659" s="22" t="s">
        <v>522</v>
      </c>
      <c r="F659" s="22" t="s">
        <v>120</v>
      </c>
      <c r="G659" s="22">
        <v>20170221</v>
      </c>
      <c r="H659" s="22">
        <v>20170221</v>
      </c>
      <c r="I659" s="22" t="s">
        <v>43</v>
      </c>
      <c r="J659" s="22"/>
      <c r="K659" s="22"/>
      <c r="L659" s="22" t="s">
        <v>34</v>
      </c>
      <c r="M659" s="22" t="s">
        <v>34</v>
      </c>
      <c r="N659" s="22" t="s">
        <v>35</v>
      </c>
      <c r="O659" s="22" t="s">
        <v>35</v>
      </c>
      <c r="P659" s="22" t="s">
        <v>35</v>
      </c>
      <c r="Q659" s="22" t="s">
        <v>35</v>
      </c>
      <c r="R659" s="22" t="s">
        <v>35</v>
      </c>
      <c r="S659" s="22" t="s">
        <v>34</v>
      </c>
      <c r="T659" s="22"/>
      <c r="U659" s="22"/>
      <c r="V659" s="22"/>
      <c r="W659" s="22"/>
      <c r="X659" s="22"/>
      <c r="Y659" s="22"/>
      <c r="Z659" s="22"/>
      <c r="AA659" s="22"/>
      <c r="AB659" s="22"/>
      <c r="AC659" s="22" t="s">
        <v>1907</v>
      </c>
      <c r="AD659" s="22">
        <v>20170413</v>
      </c>
      <c r="AE659" s="22">
        <v>658</v>
      </c>
      <c r="AF659" s="22"/>
      <c r="AG659" s="22" t="str">
        <f>IFERROR(VLOOKUP(TblFeedFile[[#This Row],[Leave Type ]],LkupPayType[],2,FALSE),"TBD")</f>
        <v>Denied</v>
      </c>
      <c r="AH659" s="22"/>
      <c r="AI659" s="25"/>
      <c r="AJ659" s="25"/>
      <c r="AK659" s="26"/>
    </row>
    <row r="660" spans="1:37" x14ac:dyDescent="0.25">
      <c r="A660" s="21" t="s">
        <v>37</v>
      </c>
      <c r="B660" s="22">
        <v>314304</v>
      </c>
      <c r="C660" s="22">
        <v>27636579</v>
      </c>
      <c r="D660" s="23" t="s">
        <v>2597</v>
      </c>
      <c r="E660" s="22" t="s">
        <v>1838</v>
      </c>
      <c r="F660" s="22" t="s">
        <v>2598</v>
      </c>
      <c r="G660" s="22">
        <v>20170404</v>
      </c>
      <c r="H660" s="22">
        <v>20170504</v>
      </c>
      <c r="I660" s="22" t="s">
        <v>36</v>
      </c>
      <c r="J660" s="22"/>
      <c r="K660" s="22"/>
      <c r="L660" s="22" t="s">
        <v>34</v>
      </c>
      <c r="M660" s="22" t="s">
        <v>34</v>
      </c>
      <c r="N660" s="22" t="s">
        <v>35</v>
      </c>
      <c r="O660" s="22" t="s">
        <v>35</v>
      </c>
      <c r="P660" s="22" t="s">
        <v>35</v>
      </c>
      <c r="Q660" s="22" t="s">
        <v>35</v>
      </c>
      <c r="R660" s="22" t="s">
        <v>35</v>
      </c>
      <c r="S660" s="22" t="s">
        <v>34</v>
      </c>
      <c r="T660" s="22"/>
      <c r="U660" s="22"/>
      <c r="V660" s="22"/>
      <c r="W660" s="22"/>
      <c r="X660" s="22"/>
      <c r="Y660" s="22"/>
      <c r="Z660" s="22"/>
      <c r="AA660" s="22"/>
      <c r="AB660" s="22"/>
      <c r="AC660" s="22" t="s">
        <v>1927</v>
      </c>
      <c r="AD660" s="22">
        <v>20170413</v>
      </c>
      <c r="AE660" s="22">
        <v>659</v>
      </c>
      <c r="AF660" s="22"/>
      <c r="AG660" s="22" t="str">
        <f>IFERROR(VLOOKUP(TblFeedFile[[#This Row],[Leave Type ]],LkupPayType[],2,FALSE),"TBD")</f>
        <v>Unpaid</v>
      </c>
      <c r="AH660" s="22"/>
      <c r="AI660" s="25"/>
      <c r="AJ660" s="25"/>
      <c r="AK660" s="26"/>
    </row>
    <row r="661" spans="1:37" x14ac:dyDescent="0.25">
      <c r="A661" s="21" t="s">
        <v>37</v>
      </c>
      <c r="B661" s="22">
        <v>314301</v>
      </c>
      <c r="C661" s="22">
        <v>27639551</v>
      </c>
      <c r="D661" s="23" t="s">
        <v>2599</v>
      </c>
      <c r="E661" s="22" t="s">
        <v>818</v>
      </c>
      <c r="F661" s="22" t="s">
        <v>1170</v>
      </c>
      <c r="G661" s="22">
        <v>20170322</v>
      </c>
      <c r="H661" s="22">
        <v>20170414</v>
      </c>
      <c r="I661" s="22" t="s">
        <v>36</v>
      </c>
      <c r="J661" s="22"/>
      <c r="K661" s="22"/>
      <c r="L661" s="22" t="s">
        <v>34</v>
      </c>
      <c r="M661" s="22" t="s">
        <v>34</v>
      </c>
      <c r="N661" s="22" t="s">
        <v>35</v>
      </c>
      <c r="O661" s="22" t="s">
        <v>35</v>
      </c>
      <c r="P661" s="22" t="s">
        <v>35</v>
      </c>
      <c r="Q661" s="22" t="s">
        <v>35</v>
      </c>
      <c r="R661" s="22" t="s">
        <v>35</v>
      </c>
      <c r="S661" s="22" t="s">
        <v>34</v>
      </c>
      <c r="T661" s="22">
        <v>20170415</v>
      </c>
      <c r="U661" s="22"/>
      <c r="V661" s="22"/>
      <c r="W661" s="22"/>
      <c r="X661" s="22" t="s">
        <v>35</v>
      </c>
      <c r="Y661" s="22"/>
      <c r="Z661" s="22"/>
      <c r="AA661" s="22"/>
      <c r="AB661" s="22"/>
      <c r="AC661" s="22" t="s">
        <v>1900</v>
      </c>
      <c r="AD661" s="22">
        <v>20170413</v>
      </c>
      <c r="AE661" s="22">
        <v>660</v>
      </c>
      <c r="AF661" s="22"/>
      <c r="AG661" s="22" t="str">
        <f>IFERROR(VLOOKUP(TblFeedFile[[#This Row],[Leave Type ]],LkupPayType[],2,FALSE),"TBD")</f>
        <v>Unpaid</v>
      </c>
      <c r="AH661" s="22"/>
      <c r="AI661" s="25"/>
      <c r="AJ661" s="25"/>
      <c r="AK661" s="26" t="s">
        <v>35</v>
      </c>
    </row>
    <row r="662" spans="1:37" x14ac:dyDescent="0.25">
      <c r="A662" s="21" t="s">
        <v>29</v>
      </c>
      <c r="B662" s="22">
        <v>314304</v>
      </c>
      <c r="C662" s="22">
        <v>27665519</v>
      </c>
      <c r="D662" s="23" t="s">
        <v>2047</v>
      </c>
      <c r="E662" s="22" t="s">
        <v>2045</v>
      </c>
      <c r="F662" s="22" t="s">
        <v>2046</v>
      </c>
      <c r="G662" s="22">
        <v>20170410</v>
      </c>
      <c r="H662" s="22">
        <v>20170410</v>
      </c>
      <c r="I662" s="22" t="s">
        <v>33</v>
      </c>
      <c r="J662" s="22"/>
      <c r="K662" s="22"/>
      <c r="L662" s="22" t="s">
        <v>34</v>
      </c>
      <c r="M662" s="22" t="s">
        <v>34</v>
      </c>
      <c r="N662" s="22" t="s">
        <v>35</v>
      </c>
      <c r="O662" s="22" t="s">
        <v>35</v>
      </c>
      <c r="P662" s="22" t="s">
        <v>35</v>
      </c>
      <c r="Q662" s="22" t="s">
        <v>35</v>
      </c>
      <c r="R662" s="22" t="s">
        <v>35</v>
      </c>
      <c r="S662" s="22" t="s">
        <v>34</v>
      </c>
      <c r="T662" s="22"/>
      <c r="U662" s="22"/>
      <c r="V662" s="22"/>
      <c r="W662" s="22"/>
      <c r="X662" s="22"/>
      <c r="Y662" s="22"/>
      <c r="Z662" s="22"/>
      <c r="AA662" s="22"/>
      <c r="AB662" s="22"/>
      <c r="AC662" s="22" t="s">
        <v>1944</v>
      </c>
      <c r="AD662" s="22">
        <v>20170413</v>
      </c>
      <c r="AE662" s="22">
        <v>661</v>
      </c>
      <c r="AF662" s="22"/>
      <c r="AG662" s="22" t="str">
        <f>IFERROR(VLOOKUP(TblFeedFile[[#This Row],[Leave Type ]],LkupPayType[],2,FALSE),"TBD")</f>
        <v>Closed</v>
      </c>
      <c r="AH662" s="22"/>
      <c r="AI662" s="25"/>
      <c r="AJ662" s="25"/>
      <c r="AK662" s="26"/>
    </row>
    <row r="663" spans="1:37" x14ac:dyDescent="0.25">
      <c r="A663" s="21" t="s">
        <v>29</v>
      </c>
      <c r="B663" s="22">
        <v>314304</v>
      </c>
      <c r="C663" s="22">
        <v>27665519</v>
      </c>
      <c r="D663" s="23" t="s">
        <v>2044</v>
      </c>
      <c r="E663" s="22" t="s">
        <v>2045</v>
      </c>
      <c r="F663" s="22" t="s">
        <v>2046</v>
      </c>
      <c r="G663" s="22">
        <v>20170130</v>
      </c>
      <c r="H663" s="22">
        <v>20170130</v>
      </c>
      <c r="I663" s="22" t="s">
        <v>33</v>
      </c>
      <c r="J663" s="22"/>
      <c r="K663" s="22"/>
      <c r="L663" s="22" t="s">
        <v>34</v>
      </c>
      <c r="M663" s="22" t="s">
        <v>34</v>
      </c>
      <c r="N663" s="22" t="s">
        <v>35</v>
      </c>
      <c r="O663" s="22" t="s">
        <v>35</v>
      </c>
      <c r="P663" s="22" t="s">
        <v>35</v>
      </c>
      <c r="Q663" s="22" t="s">
        <v>35</v>
      </c>
      <c r="R663" s="22" t="s">
        <v>35</v>
      </c>
      <c r="S663" s="22" t="s">
        <v>34</v>
      </c>
      <c r="T663" s="22"/>
      <c r="U663" s="22"/>
      <c r="V663" s="22"/>
      <c r="W663" s="22"/>
      <c r="X663" s="22"/>
      <c r="Y663" s="22"/>
      <c r="Z663" s="22"/>
      <c r="AA663" s="22"/>
      <c r="AB663" s="22"/>
      <c r="AC663" s="22" t="s">
        <v>1998</v>
      </c>
      <c r="AD663" s="22">
        <v>20170413</v>
      </c>
      <c r="AE663" s="22">
        <v>662</v>
      </c>
      <c r="AF663" s="22"/>
      <c r="AG663" s="22" t="str">
        <f>IFERROR(VLOOKUP(TblFeedFile[[#This Row],[Leave Type ]],LkupPayType[],2,FALSE),"TBD")</f>
        <v>Closed</v>
      </c>
      <c r="AH663" s="22"/>
      <c r="AI663" s="25"/>
      <c r="AJ663" s="25"/>
      <c r="AK663" s="26"/>
    </row>
    <row r="664" spans="1:37" x14ac:dyDescent="0.25">
      <c r="A664" s="21" t="s">
        <v>29</v>
      </c>
      <c r="B664" s="22">
        <v>314304</v>
      </c>
      <c r="C664" s="22">
        <v>27665519</v>
      </c>
      <c r="D664" s="23" t="s">
        <v>2044</v>
      </c>
      <c r="E664" s="22" t="s">
        <v>2045</v>
      </c>
      <c r="F664" s="22" t="s">
        <v>2046</v>
      </c>
      <c r="G664" s="22">
        <v>20161219</v>
      </c>
      <c r="H664" s="22">
        <v>20170129</v>
      </c>
      <c r="I664" s="22" t="s">
        <v>155</v>
      </c>
      <c r="J664" s="22"/>
      <c r="K664" s="22"/>
      <c r="L664" s="22" t="s">
        <v>34</v>
      </c>
      <c r="M664" s="22" t="s">
        <v>34</v>
      </c>
      <c r="N664" s="22" t="s">
        <v>35</v>
      </c>
      <c r="O664" s="22" t="s">
        <v>35</v>
      </c>
      <c r="P664" s="22" t="s">
        <v>35</v>
      </c>
      <c r="Q664" s="22" t="s">
        <v>35</v>
      </c>
      <c r="R664" s="22" t="s">
        <v>35</v>
      </c>
      <c r="S664" s="22" t="s">
        <v>34</v>
      </c>
      <c r="T664" s="22"/>
      <c r="U664" s="22"/>
      <c r="V664" s="22"/>
      <c r="W664" s="22"/>
      <c r="X664" s="22"/>
      <c r="Y664" s="22"/>
      <c r="Z664" s="22"/>
      <c r="AA664" s="22"/>
      <c r="AB664" s="22"/>
      <c r="AC664" s="22" t="s">
        <v>1964</v>
      </c>
      <c r="AD664" s="22">
        <v>20170413</v>
      </c>
      <c r="AE664" s="22">
        <v>663</v>
      </c>
      <c r="AF664" s="22"/>
      <c r="AG664" s="22" t="str">
        <f>IFERROR(VLOOKUP(TblFeedFile[[#This Row],[Leave Type ]],LkupPayType[],2,FALSE),"TBD")</f>
        <v>Paid</v>
      </c>
      <c r="AH664" s="22"/>
      <c r="AI664" s="25"/>
      <c r="AJ664" s="25"/>
      <c r="AK664" s="26"/>
    </row>
    <row r="665" spans="1:37" x14ac:dyDescent="0.25">
      <c r="A665" s="21" t="s">
        <v>29</v>
      </c>
      <c r="B665" s="22">
        <v>314304</v>
      </c>
      <c r="C665" s="22">
        <v>27665519</v>
      </c>
      <c r="D665" s="23" t="s">
        <v>2044</v>
      </c>
      <c r="E665" s="22" t="s">
        <v>2045</v>
      </c>
      <c r="F665" s="22" t="s">
        <v>2046</v>
      </c>
      <c r="G665" s="22">
        <v>20161219</v>
      </c>
      <c r="H665" s="22">
        <v>20170129</v>
      </c>
      <c r="I665" s="22" t="s">
        <v>36</v>
      </c>
      <c r="J665" s="22"/>
      <c r="K665" s="22"/>
      <c r="L665" s="22" t="s">
        <v>34</v>
      </c>
      <c r="M665" s="22" t="s">
        <v>34</v>
      </c>
      <c r="N665" s="22" t="s">
        <v>35</v>
      </c>
      <c r="O665" s="22" t="s">
        <v>35</v>
      </c>
      <c r="P665" s="22" t="s">
        <v>35</v>
      </c>
      <c r="Q665" s="22" t="s">
        <v>35</v>
      </c>
      <c r="R665" s="22" t="s">
        <v>35</v>
      </c>
      <c r="S665" s="22" t="s">
        <v>34</v>
      </c>
      <c r="T665" s="22"/>
      <c r="U665" s="22"/>
      <c r="V665" s="22"/>
      <c r="W665" s="22"/>
      <c r="X665" s="22"/>
      <c r="Y665" s="22"/>
      <c r="Z665" s="22"/>
      <c r="AA665" s="22"/>
      <c r="AB665" s="22"/>
      <c r="AC665" s="22" t="s">
        <v>1964</v>
      </c>
      <c r="AD665" s="22">
        <v>20170413</v>
      </c>
      <c r="AE665" s="22">
        <v>664</v>
      </c>
      <c r="AF665" s="22"/>
      <c r="AG665" s="22" t="str">
        <f>IFERROR(VLOOKUP(TblFeedFile[[#This Row],[Leave Type ]],LkupPayType[],2,FALSE),"TBD")</f>
        <v>Unpaid</v>
      </c>
      <c r="AH665" s="22"/>
      <c r="AI665" s="25"/>
      <c r="AJ665" s="25"/>
      <c r="AK665" s="26"/>
    </row>
    <row r="666" spans="1:37" x14ac:dyDescent="0.25">
      <c r="A666" s="21" t="s">
        <v>29</v>
      </c>
      <c r="B666" s="22">
        <v>314304</v>
      </c>
      <c r="C666" s="22">
        <v>27665519</v>
      </c>
      <c r="D666" s="23" t="s">
        <v>2044</v>
      </c>
      <c r="E666" s="22" t="s">
        <v>2045</v>
      </c>
      <c r="F666" s="22" t="s">
        <v>2046</v>
      </c>
      <c r="G666" s="22">
        <v>20161109</v>
      </c>
      <c r="H666" s="22">
        <v>20161109</v>
      </c>
      <c r="I666" s="22" t="s">
        <v>33</v>
      </c>
      <c r="J666" s="22"/>
      <c r="K666" s="22"/>
      <c r="L666" s="22" t="s">
        <v>34</v>
      </c>
      <c r="M666" s="22" t="s">
        <v>34</v>
      </c>
      <c r="N666" s="22" t="s">
        <v>35</v>
      </c>
      <c r="O666" s="22" t="s">
        <v>35</v>
      </c>
      <c r="P666" s="22" t="s">
        <v>35</v>
      </c>
      <c r="Q666" s="22" t="s">
        <v>35</v>
      </c>
      <c r="R666" s="22" t="s">
        <v>35</v>
      </c>
      <c r="S666" s="22" t="s">
        <v>34</v>
      </c>
      <c r="T666" s="22"/>
      <c r="U666" s="22"/>
      <c r="V666" s="22"/>
      <c r="W666" s="22"/>
      <c r="X666" s="22"/>
      <c r="Y666" s="22"/>
      <c r="Z666" s="22"/>
      <c r="AA666" s="22"/>
      <c r="AB666" s="22"/>
      <c r="AC666" s="22" t="s">
        <v>1998</v>
      </c>
      <c r="AD666" s="22">
        <v>20170413</v>
      </c>
      <c r="AE666" s="22">
        <v>665</v>
      </c>
      <c r="AF666" s="22"/>
      <c r="AG666" s="22" t="str">
        <f>IFERROR(VLOOKUP(TblFeedFile[[#This Row],[Leave Type ]],LkupPayType[],2,FALSE),"TBD")</f>
        <v>Closed</v>
      </c>
      <c r="AH666" s="22"/>
      <c r="AI666" s="25"/>
      <c r="AJ666" s="25"/>
      <c r="AK666" s="26"/>
    </row>
    <row r="667" spans="1:37" x14ac:dyDescent="0.25">
      <c r="A667" s="21" t="s">
        <v>37</v>
      </c>
      <c r="B667" s="22">
        <v>314304</v>
      </c>
      <c r="C667" s="22">
        <v>27665519</v>
      </c>
      <c r="D667" s="23" t="s">
        <v>2047</v>
      </c>
      <c r="E667" s="22" t="s">
        <v>2045</v>
      </c>
      <c r="F667" s="22" t="s">
        <v>2046</v>
      </c>
      <c r="G667" s="22">
        <v>20161109</v>
      </c>
      <c r="H667" s="22">
        <v>20161109</v>
      </c>
      <c r="I667" s="22" t="s">
        <v>33</v>
      </c>
      <c r="J667" s="22"/>
      <c r="K667" s="22"/>
      <c r="L667" s="22" t="s">
        <v>34</v>
      </c>
      <c r="M667" s="22" t="s">
        <v>34</v>
      </c>
      <c r="N667" s="22" t="s">
        <v>35</v>
      </c>
      <c r="O667" s="22" t="s">
        <v>35</v>
      </c>
      <c r="P667" s="22" t="s">
        <v>35</v>
      </c>
      <c r="Q667" s="22" t="s">
        <v>35</v>
      </c>
      <c r="R667" s="22" t="s">
        <v>35</v>
      </c>
      <c r="S667" s="22" t="s">
        <v>34</v>
      </c>
      <c r="T667" s="22"/>
      <c r="U667" s="22"/>
      <c r="V667" s="22"/>
      <c r="W667" s="22"/>
      <c r="X667" s="22"/>
      <c r="Y667" s="22"/>
      <c r="Z667" s="22"/>
      <c r="AA667" s="22"/>
      <c r="AB667" s="22"/>
      <c r="AC667" s="22" t="s">
        <v>1998</v>
      </c>
      <c r="AD667" s="22">
        <v>20170413</v>
      </c>
      <c r="AE667" s="22">
        <v>666</v>
      </c>
      <c r="AF667" s="22"/>
      <c r="AG667" s="22" t="str">
        <f>IFERROR(VLOOKUP(TblFeedFile[[#This Row],[Leave Type ]],LkupPayType[],2,FALSE),"TBD")</f>
        <v>Closed</v>
      </c>
      <c r="AH667" s="22"/>
      <c r="AI667" s="25"/>
      <c r="AJ667" s="25"/>
      <c r="AK667" s="26"/>
    </row>
    <row r="668" spans="1:37" x14ac:dyDescent="0.25">
      <c r="A668" s="21" t="s">
        <v>37</v>
      </c>
      <c r="B668" s="22">
        <v>314304</v>
      </c>
      <c r="C668" s="22">
        <v>27665519</v>
      </c>
      <c r="D668" s="23" t="s">
        <v>2047</v>
      </c>
      <c r="E668" s="22" t="s">
        <v>2045</v>
      </c>
      <c r="F668" s="22" t="s">
        <v>2046</v>
      </c>
      <c r="G668" s="22">
        <v>20161219</v>
      </c>
      <c r="H668" s="22">
        <v>20170414</v>
      </c>
      <c r="I668" s="22" t="s">
        <v>155</v>
      </c>
      <c r="J668" s="22"/>
      <c r="K668" s="22"/>
      <c r="L668" s="22" t="s">
        <v>34</v>
      </c>
      <c r="M668" s="22" t="s">
        <v>34</v>
      </c>
      <c r="N668" s="22" t="s">
        <v>35</v>
      </c>
      <c r="O668" s="22" t="s">
        <v>35</v>
      </c>
      <c r="P668" s="22" t="s">
        <v>35</v>
      </c>
      <c r="Q668" s="22" t="s">
        <v>35</v>
      </c>
      <c r="R668" s="22" t="s">
        <v>35</v>
      </c>
      <c r="S668" s="22" t="s">
        <v>34</v>
      </c>
      <c r="T668" s="22"/>
      <c r="U668" s="22"/>
      <c r="V668" s="22"/>
      <c r="W668" s="22"/>
      <c r="X668" s="22"/>
      <c r="Y668" s="22"/>
      <c r="Z668" s="22"/>
      <c r="AA668" s="22"/>
      <c r="AB668" s="22"/>
      <c r="AC668" s="22" t="s">
        <v>1964</v>
      </c>
      <c r="AD668" s="22">
        <v>20170413</v>
      </c>
      <c r="AE668" s="22">
        <v>667</v>
      </c>
      <c r="AF668" s="22"/>
      <c r="AG668" s="22" t="str">
        <f>IFERROR(VLOOKUP(TblFeedFile[[#This Row],[Leave Type ]],LkupPayType[],2,FALSE),"TBD")</f>
        <v>Paid</v>
      </c>
      <c r="AH668" s="22"/>
      <c r="AI668" s="25" t="s">
        <v>35</v>
      </c>
      <c r="AJ668" s="25"/>
      <c r="AK668" s="26"/>
    </row>
    <row r="669" spans="1:37" x14ac:dyDescent="0.25">
      <c r="A669" s="21" t="s">
        <v>37</v>
      </c>
      <c r="B669" s="22">
        <v>314304</v>
      </c>
      <c r="C669" s="22">
        <v>27665519</v>
      </c>
      <c r="D669" s="23" t="s">
        <v>2044</v>
      </c>
      <c r="E669" s="22" t="s">
        <v>2045</v>
      </c>
      <c r="F669" s="22" t="s">
        <v>2046</v>
      </c>
      <c r="G669" s="22">
        <v>20161219</v>
      </c>
      <c r="H669" s="22">
        <v>20170414</v>
      </c>
      <c r="I669" s="22" t="s">
        <v>36</v>
      </c>
      <c r="J669" s="22"/>
      <c r="K669" s="22"/>
      <c r="L669" s="22" t="s">
        <v>34</v>
      </c>
      <c r="M669" s="22" t="s">
        <v>34</v>
      </c>
      <c r="N669" s="22" t="s">
        <v>35</v>
      </c>
      <c r="O669" s="22" t="s">
        <v>35</v>
      </c>
      <c r="P669" s="22" t="s">
        <v>35</v>
      </c>
      <c r="Q669" s="22" t="s">
        <v>35</v>
      </c>
      <c r="R669" s="22" t="s">
        <v>35</v>
      </c>
      <c r="S669" s="22" t="s">
        <v>34</v>
      </c>
      <c r="T669" s="22"/>
      <c r="U669" s="22"/>
      <c r="V669" s="22"/>
      <c r="W669" s="22"/>
      <c r="X669" s="22"/>
      <c r="Y669" s="22"/>
      <c r="Z669" s="22"/>
      <c r="AA669" s="22"/>
      <c r="AB669" s="22"/>
      <c r="AC669" s="22" t="s">
        <v>1964</v>
      </c>
      <c r="AD669" s="22">
        <v>20170413</v>
      </c>
      <c r="AE669" s="22">
        <v>668</v>
      </c>
      <c r="AF669" s="22"/>
      <c r="AG669" s="22" t="str">
        <f>IFERROR(VLOOKUP(TblFeedFile[[#This Row],[Leave Type ]],LkupPayType[],2,FALSE),"TBD")</f>
        <v>Unpaid</v>
      </c>
      <c r="AH669" s="22"/>
      <c r="AI669" s="25" t="s">
        <v>35</v>
      </c>
      <c r="AJ669" s="25"/>
      <c r="AK669" s="26"/>
    </row>
    <row r="670" spans="1:37" x14ac:dyDescent="0.25">
      <c r="A670" s="21" t="s">
        <v>37</v>
      </c>
      <c r="B670" s="22">
        <v>314304</v>
      </c>
      <c r="C670" s="22">
        <v>27665519</v>
      </c>
      <c r="D670" s="23" t="s">
        <v>2047</v>
      </c>
      <c r="E670" s="22" t="s">
        <v>2045</v>
      </c>
      <c r="F670" s="22" t="s">
        <v>2046</v>
      </c>
      <c r="G670" s="22">
        <v>20170130</v>
      </c>
      <c r="H670" s="22">
        <v>20170414</v>
      </c>
      <c r="I670" s="22" t="s">
        <v>155</v>
      </c>
      <c r="J670" s="22"/>
      <c r="K670" s="22"/>
      <c r="L670" s="22" t="s">
        <v>34</v>
      </c>
      <c r="M670" s="22" t="s">
        <v>34</v>
      </c>
      <c r="N670" s="22" t="s">
        <v>35</v>
      </c>
      <c r="O670" s="22" t="s">
        <v>35</v>
      </c>
      <c r="P670" s="22" t="s">
        <v>35</v>
      </c>
      <c r="Q670" s="22" t="s">
        <v>35</v>
      </c>
      <c r="R670" s="22" t="s">
        <v>35</v>
      </c>
      <c r="S670" s="22" t="s">
        <v>34</v>
      </c>
      <c r="T670" s="22"/>
      <c r="U670" s="22"/>
      <c r="V670" s="22"/>
      <c r="W670" s="22"/>
      <c r="X670" s="22"/>
      <c r="Y670" s="22"/>
      <c r="Z670" s="22"/>
      <c r="AA670" s="22"/>
      <c r="AB670" s="22"/>
      <c r="AC670" s="22" t="s">
        <v>1895</v>
      </c>
      <c r="AD670" s="22">
        <v>20170413</v>
      </c>
      <c r="AE670" s="22">
        <v>669</v>
      </c>
      <c r="AF670" s="22"/>
      <c r="AG670" s="22" t="str">
        <f>IFERROR(VLOOKUP(TblFeedFile[[#This Row],[Leave Type ]],LkupPayType[],2,FALSE),"TBD")</f>
        <v>Paid</v>
      </c>
      <c r="AH670" s="22"/>
      <c r="AI670" s="25" t="s">
        <v>35</v>
      </c>
      <c r="AJ670" s="25"/>
      <c r="AK670" s="26"/>
    </row>
    <row r="671" spans="1:37" x14ac:dyDescent="0.25">
      <c r="A671" s="21" t="s">
        <v>37</v>
      </c>
      <c r="B671" s="22">
        <v>314304</v>
      </c>
      <c r="C671" s="22">
        <v>27665519</v>
      </c>
      <c r="D671" s="23" t="s">
        <v>2047</v>
      </c>
      <c r="E671" s="22" t="s">
        <v>2045</v>
      </c>
      <c r="F671" s="22" t="s">
        <v>2046</v>
      </c>
      <c r="G671" s="22">
        <v>20170410</v>
      </c>
      <c r="H671" s="22">
        <v>20170414</v>
      </c>
      <c r="I671" s="22" t="s">
        <v>156</v>
      </c>
      <c r="J671" s="22"/>
      <c r="K671" s="22"/>
      <c r="L671" s="22" t="s">
        <v>34</v>
      </c>
      <c r="M671" s="22" t="s">
        <v>34</v>
      </c>
      <c r="N671" s="22" t="s">
        <v>35</v>
      </c>
      <c r="O671" s="22" t="s">
        <v>35</v>
      </c>
      <c r="P671" s="22" t="s">
        <v>35</v>
      </c>
      <c r="Q671" s="22" t="s">
        <v>35</v>
      </c>
      <c r="R671" s="22" t="s">
        <v>35</v>
      </c>
      <c r="S671" s="22" t="s">
        <v>34</v>
      </c>
      <c r="T671" s="22"/>
      <c r="U671" s="22"/>
      <c r="V671" s="22"/>
      <c r="W671" s="22"/>
      <c r="X671" s="22"/>
      <c r="Y671" s="22"/>
      <c r="Z671" s="22"/>
      <c r="AA671" s="22"/>
      <c r="AB671" s="22"/>
      <c r="AC671" s="22" t="s">
        <v>1911</v>
      </c>
      <c r="AD671" s="22">
        <v>20170413</v>
      </c>
      <c r="AE671" s="22">
        <v>670</v>
      </c>
      <c r="AF671" s="22"/>
      <c r="AG671" s="22" t="str">
        <f>IFERROR(VLOOKUP(TblFeedFile[[#This Row],[Leave Type ]],LkupPayType[],2,FALSE),"TBD")</f>
        <v>Unpaid</v>
      </c>
      <c r="AH671" s="22"/>
      <c r="AI671" s="25" t="s">
        <v>35</v>
      </c>
      <c r="AJ671" s="25"/>
      <c r="AK671" s="26"/>
    </row>
    <row r="672" spans="1:37" x14ac:dyDescent="0.25">
      <c r="A672" s="21" t="s">
        <v>37</v>
      </c>
      <c r="B672" s="22">
        <v>314304</v>
      </c>
      <c r="C672" s="22">
        <v>27684785</v>
      </c>
      <c r="D672" s="23" t="s">
        <v>2600</v>
      </c>
      <c r="E672" s="22" t="s">
        <v>1151</v>
      </c>
      <c r="F672" s="22" t="s">
        <v>422</v>
      </c>
      <c r="G672" s="22">
        <v>20170413</v>
      </c>
      <c r="H672" s="22">
        <v>20170523</v>
      </c>
      <c r="I672" s="22" t="s">
        <v>36</v>
      </c>
      <c r="J672" s="22"/>
      <c r="K672" s="22"/>
      <c r="L672" s="22" t="s">
        <v>34</v>
      </c>
      <c r="M672" s="22" t="s">
        <v>34</v>
      </c>
      <c r="N672" s="22" t="s">
        <v>35</v>
      </c>
      <c r="O672" s="22" t="s">
        <v>35</v>
      </c>
      <c r="P672" s="22" t="s">
        <v>35</v>
      </c>
      <c r="Q672" s="22" t="s">
        <v>35</v>
      </c>
      <c r="R672" s="22" t="s">
        <v>35</v>
      </c>
      <c r="S672" s="22" t="s">
        <v>34</v>
      </c>
      <c r="T672" s="22"/>
      <c r="U672" s="22"/>
      <c r="V672" s="22"/>
      <c r="W672" s="22"/>
      <c r="X672" s="22"/>
      <c r="Y672" s="22"/>
      <c r="Z672" s="22"/>
      <c r="AA672" s="22"/>
      <c r="AB672" s="22"/>
      <c r="AC672" s="22" t="s">
        <v>1918</v>
      </c>
      <c r="AD672" s="22">
        <v>20170413</v>
      </c>
      <c r="AE672" s="22">
        <v>671</v>
      </c>
      <c r="AF672" s="22"/>
      <c r="AG672" s="22" t="str">
        <f>IFERROR(VLOOKUP(TblFeedFile[[#This Row],[Leave Type ]],LkupPayType[],2,FALSE),"TBD")</f>
        <v>Unpaid</v>
      </c>
      <c r="AH672" s="22"/>
      <c r="AI672" s="25"/>
      <c r="AJ672" s="25"/>
      <c r="AK672" s="26"/>
    </row>
    <row r="673" spans="1:37" x14ac:dyDescent="0.25">
      <c r="A673" s="21" t="s">
        <v>37</v>
      </c>
      <c r="B673" s="22">
        <v>314304</v>
      </c>
      <c r="C673" s="22">
        <v>27693675</v>
      </c>
      <c r="D673" s="23" t="s">
        <v>2601</v>
      </c>
      <c r="E673" s="22" t="s">
        <v>313</v>
      </c>
      <c r="F673" s="22" t="s">
        <v>2437</v>
      </c>
      <c r="G673" s="22">
        <v>20170404</v>
      </c>
      <c r="H673" s="22">
        <v>20170501</v>
      </c>
      <c r="I673" s="22" t="s">
        <v>185</v>
      </c>
      <c r="J673" s="22"/>
      <c r="K673" s="22"/>
      <c r="L673" s="22" t="s">
        <v>34</v>
      </c>
      <c r="M673" s="22" t="s">
        <v>34</v>
      </c>
      <c r="N673" s="22" t="s">
        <v>35</v>
      </c>
      <c r="O673" s="22" t="s">
        <v>35</v>
      </c>
      <c r="P673" s="22" t="s">
        <v>35</v>
      </c>
      <c r="Q673" s="22" t="s">
        <v>35</v>
      </c>
      <c r="R673" s="22" t="s">
        <v>35</v>
      </c>
      <c r="S673" s="22" t="s">
        <v>34</v>
      </c>
      <c r="T673" s="22"/>
      <c r="U673" s="22"/>
      <c r="V673" s="22"/>
      <c r="W673" s="22"/>
      <c r="X673" s="22"/>
      <c r="Y673" s="22"/>
      <c r="Z673" s="22"/>
      <c r="AA673" s="22"/>
      <c r="AB673" s="22"/>
      <c r="AC673" s="22" t="s">
        <v>1911</v>
      </c>
      <c r="AD673" s="22">
        <v>20170413</v>
      </c>
      <c r="AE673" s="22">
        <v>672</v>
      </c>
      <c r="AF673" s="22"/>
      <c r="AG673" s="22" t="str">
        <f>IFERROR(VLOOKUP(TblFeedFile[[#This Row],[Leave Type ]],LkupPayType[],2,FALSE),"TBD")</f>
        <v>Unpaid</v>
      </c>
      <c r="AH673" s="22"/>
      <c r="AI673" s="25"/>
      <c r="AJ673" s="25"/>
      <c r="AK673" s="26"/>
    </row>
    <row r="674" spans="1:37" x14ac:dyDescent="0.25">
      <c r="A674" s="21" t="s">
        <v>37</v>
      </c>
      <c r="B674" s="22">
        <v>314304</v>
      </c>
      <c r="C674" s="22">
        <v>27714471</v>
      </c>
      <c r="D674" s="23" t="s">
        <v>2602</v>
      </c>
      <c r="E674" s="22" t="s">
        <v>1252</v>
      </c>
      <c r="F674" s="22" t="s">
        <v>637</v>
      </c>
      <c r="G674" s="22">
        <v>20170413</v>
      </c>
      <c r="H674" s="22">
        <v>20170802</v>
      </c>
      <c r="I674" s="22" t="s">
        <v>223</v>
      </c>
      <c r="J674" s="22"/>
      <c r="K674" s="22"/>
      <c r="L674" s="22" t="s">
        <v>34</v>
      </c>
      <c r="M674" s="22" t="s">
        <v>34</v>
      </c>
      <c r="N674" s="22" t="s">
        <v>35</v>
      </c>
      <c r="O674" s="22" t="s">
        <v>35</v>
      </c>
      <c r="P674" s="22" t="s">
        <v>35</v>
      </c>
      <c r="Q674" s="22" t="s">
        <v>35</v>
      </c>
      <c r="R674" s="22" t="s">
        <v>35</v>
      </c>
      <c r="S674" s="22" t="s">
        <v>34</v>
      </c>
      <c r="T674" s="22"/>
      <c r="U674" s="22"/>
      <c r="V674" s="22"/>
      <c r="W674" s="22"/>
      <c r="X674" s="22"/>
      <c r="Y674" s="22"/>
      <c r="Z674" s="22"/>
      <c r="AA674" s="22"/>
      <c r="AB674" s="22"/>
      <c r="AC674" s="22" t="s">
        <v>1911</v>
      </c>
      <c r="AD674" s="22">
        <v>20170413</v>
      </c>
      <c r="AE674" s="22">
        <v>673</v>
      </c>
      <c r="AF674" s="22"/>
      <c r="AG674" s="22" t="str">
        <f>IFERROR(VLOOKUP(TblFeedFile[[#This Row],[Leave Type ]],LkupPayType[],2,FALSE),"TBD")</f>
        <v>Paid</v>
      </c>
      <c r="AH674" s="22"/>
      <c r="AI674" s="25"/>
      <c r="AJ674" s="25"/>
      <c r="AK674" s="26"/>
    </row>
    <row r="675" spans="1:37" x14ac:dyDescent="0.25">
      <c r="A675" s="21" t="s">
        <v>29</v>
      </c>
      <c r="B675" s="22">
        <v>314301</v>
      </c>
      <c r="C675" s="22">
        <v>27720648</v>
      </c>
      <c r="D675" s="23">
        <v>531704048993</v>
      </c>
      <c r="E675" s="22" t="s">
        <v>2603</v>
      </c>
      <c r="F675" s="22" t="s">
        <v>2604</v>
      </c>
      <c r="G675" s="22">
        <v>20170331</v>
      </c>
      <c r="H675" s="22">
        <v>20170717</v>
      </c>
      <c r="I675" s="22" t="s">
        <v>53</v>
      </c>
      <c r="J675" s="22"/>
      <c r="K675" s="22"/>
      <c r="L675" s="22" t="s">
        <v>34</v>
      </c>
      <c r="M675" s="22" t="s">
        <v>34</v>
      </c>
      <c r="N675" s="22" t="s">
        <v>35</v>
      </c>
      <c r="O675" s="22" t="s">
        <v>35</v>
      </c>
      <c r="P675" s="22" t="s">
        <v>35</v>
      </c>
      <c r="Q675" s="22" t="s">
        <v>35</v>
      </c>
      <c r="R675" s="22" t="s">
        <v>35</v>
      </c>
      <c r="S675" s="22" t="s">
        <v>34</v>
      </c>
      <c r="T675" s="22"/>
      <c r="U675" s="22"/>
      <c r="V675" s="22"/>
      <c r="W675" s="22"/>
      <c r="X675" s="22"/>
      <c r="Y675" s="22"/>
      <c r="Z675" s="22"/>
      <c r="AA675" s="22"/>
      <c r="AB675" s="22"/>
      <c r="AC675" s="22" t="s">
        <v>1922</v>
      </c>
      <c r="AD675" s="22">
        <v>20170413</v>
      </c>
      <c r="AE675" s="22">
        <v>674</v>
      </c>
      <c r="AF675" s="22"/>
      <c r="AG675" s="22" t="str">
        <f>IFERROR(VLOOKUP(TblFeedFile[[#This Row],[Leave Type ]],LkupPayType[],2,FALSE),"TBD")</f>
        <v>Paid</v>
      </c>
      <c r="AH675" s="22"/>
      <c r="AI675" s="25"/>
      <c r="AJ675" s="25"/>
      <c r="AK675" s="26"/>
    </row>
    <row r="676" spans="1:37" x14ac:dyDescent="0.25">
      <c r="A676" s="21" t="s">
        <v>37</v>
      </c>
      <c r="B676" s="22">
        <v>314301</v>
      </c>
      <c r="C676" s="22">
        <v>27720648</v>
      </c>
      <c r="D676" s="23">
        <v>531704048993</v>
      </c>
      <c r="E676" s="22" t="s">
        <v>2603</v>
      </c>
      <c r="F676" s="22" t="s">
        <v>2604</v>
      </c>
      <c r="G676" s="22">
        <v>20170331</v>
      </c>
      <c r="H676" s="22">
        <v>20170720</v>
      </c>
      <c r="I676" s="22" t="s">
        <v>53</v>
      </c>
      <c r="J676" s="22"/>
      <c r="K676" s="22"/>
      <c r="L676" s="22" t="s">
        <v>34</v>
      </c>
      <c r="M676" s="22" t="s">
        <v>34</v>
      </c>
      <c r="N676" s="22" t="s">
        <v>35</v>
      </c>
      <c r="O676" s="22" t="s">
        <v>35</v>
      </c>
      <c r="P676" s="22" t="s">
        <v>35</v>
      </c>
      <c r="Q676" s="22" t="s">
        <v>35</v>
      </c>
      <c r="R676" s="22" t="s">
        <v>35</v>
      </c>
      <c r="S676" s="22" t="s">
        <v>34</v>
      </c>
      <c r="T676" s="22"/>
      <c r="U676" s="22"/>
      <c r="V676" s="22"/>
      <c r="W676" s="22"/>
      <c r="X676" s="22"/>
      <c r="Y676" s="22"/>
      <c r="Z676" s="22"/>
      <c r="AA676" s="22"/>
      <c r="AB676" s="22"/>
      <c r="AC676" s="22" t="s">
        <v>1922</v>
      </c>
      <c r="AD676" s="22">
        <v>20170413</v>
      </c>
      <c r="AE676" s="22">
        <v>675</v>
      </c>
      <c r="AF676" s="22"/>
      <c r="AG676" s="22" t="str">
        <f>IFERROR(VLOOKUP(TblFeedFile[[#This Row],[Leave Type ]],LkupPayType[],2,FALSE),"TBD")</f>
        <v>Paid</v>
      </c>
      <c r="AH676" s="22"/>
      <c r="AI676" s="25"/>
      <c r="AJ676" s="25"/>
      <c r="AK676" s="26"/>
    </row>
    <row r="677" spans="1:37" x14ac:dyDescent="0.25">
      <c r="A677" s="21" t="s">
        <v>29</v>
      </c>
      <c r="B677" s="22">
        <v>314304</v>
      </c>
      <c r="C677" s="22">
        <v>27767401</v>
      </c>
      <c r="D677" s="23" t="s">
        <v>2605</v>
      </c>
      <c r="E677" s="22" t="s">
        <v>737</v>
      </c>
      <c r="F677" s="22" t="s">
        <v>2606</v>
      </c>
      <c r="G677" s="22">
        <v>20170308</v>
      </c>
      <c r="H677" s="22">
        <v>20170404</v>
      </c>
      <c r="I677" s="22" t="s">
        <v>36</v>
      </c>
      <c r="J677" s="22"/>
      <c r="K677" s="22"/>
      <c r="L677" s="22" t="s">
        <v>34</v>
      </c>
      <c r="M677" s="22" t="s">
        <v>34</v>
      </c>
      <c r="N677" s="22" t="s">
        <v>35</v>
      </c>
      <c r="O677" s="22" t="s">
        <v>35</v>
      </c>
      <c r="P677" s="22" t="s">
        <v>35</v>
      </c>
      <c r="Q677" s="22" t="s">
        <v>35</v>
      </c>
      <c r="R677" s="22" t="s">
        <v>35</v>
      </c>
      <c r="S677" s="22" t="s">
        <v>34</v>
      </c>
      <c r="T677" s="22">
        <v>20170405</v>
      </c>
      <c r="U677" s="22"/>
      <c r="V677" s="22"/>
      <c r="W677" s="22"/>
      <c r="X677" s="22"/>
      <c r="Y677" s="22"/>
      <c r="Z677" s="22"/>
      <c r="AA677" s="22"/>
      <c r="AB677" s="22"/>
      <c r="AC677" s="22" t="s">
        <v>1908</v>
      </c>
      <c r="AD677" s="22">
        <v>20170413</v>
      </c>
      <c r="AE677" s="22">
        <v>676</v>
      </c>
      <c r="AF677" s="22"/>
      <c r="AG677" s="22" t="str">
        <f>IFERROR(VLOOKUP(TblFeedFile[[#This Row],[Leave Type ]],LkupPayType[],2,FALSE),"TBD")</f>
        <v>Unpaid</v>
      </c>
      <c r="AH677" s="22"/>
      <c r="AI677" s="25"/>
      <c r="AJ677" s="25"/>
      <c r="AK677" s="26"/>
    </row>
    <row r="678" spans="1:37" x14ac:dyDescent="0.25">
      <c r="A678" s="21" t="s">
        <v>37</v>
      </c>
      <c r="B678" s="22">
        <v>314304</v>
      </c>
      <c r="C678" s="22">
        <v>27767401</v>
      </c>
      <c r="D678" s="23" t="s">
        <v>2605</v>
      </c>
      <c r="E678" s="22" t="s">
        <v>737</v>
      </c>
      <c r="F678" s="22" t="s">
        <v>2606</v>
      </c>
      <c r="G678" s="22">
        <v>20170308</v>
      </c>
      <c r="H678" s="22">
        <v>20170425</v>
      </c>
      <c r="I678" s="22" t="s">
        <v>36</v>
      </c>
      <c r="J678" s="22"/>
      <c r="K678" s="22"/>
      <c r="L678" s="22" t="s">
        <v>34</v>
      </c>
      <c r="M678" s="22" t="s">
        <v>34</v>
      </c>
      <c r="N678" s="22" t="s">
        <v>35</v>
      </c>
      <c r="O678" s="22" t="s">
        <v>35</v>
      </c>
      <c r="P678" s="22" t="s">
        <v>35</v>
      </c>
      <c r="Q678" s="22" t="s">
        <v>35</v>
      </c>
      <c r="R678" s="22" t="s">
        <v>35</v>
      </c>
      <c r="S678" s="22" t="s">
        <v>34</v>
      </c>
      <c r="T678" s="22"/>
      <c r="U678" s="22"/>
      <c r="V678" s="22"/>
      <c r="W678" s="22"/>
      <c r="X678" s="22"/>
      <c r="Y678" s="22"/>
      <c r="Z678" s="22"/>
      <c r="AA678" s="22"/>
      <c r="AB678" s="22"/>
      <c r="AC678" s="22" t="s">
        <v>1901</v>
      </c>
      <c r="AD678" s="22">
        <v>20170413</v>
      </c>
      <c r="AE678" s="22">
        <v>677</v>
      </c>
      <c r="AF678" s="22"/>
      <c r="AG678" s="22" t="str">
        <f>IFERROR(VLOOKUP(TblFeedFile[[#This Row],[Leave Type ]],LkupPayType[],2,FALSE),"TBD")</f>
        <v>Unpaid</v>
      </c>
      <c r="AH678" s="22"/>
      <c r="AI678" s="25"/>
      <c r="AJ678" s="25"/>
      <c r="AK678" s="26"/>
    </row>
    <row r="679" spans="1:37" x14ac:dyDescent="0.25">
      <c r="A679" s="21" t="s">
        <v>29</v>
      </c>
      <c r="B679" s="22">
        <v>314304</v>
      </c>
      <c r="C679" s="22">
        <v>27828619</v>
      </c>
      <c r="D679" s="23" t="s">
        <v>2607</v>
      </c>
      <c r="E679" s="22" t="s">
        <v>1151</v>
      </c>
      <c r="F679" s="22" t="s">
        <v>297</v>
      </c>
      <c r="G679" s="22">
        <v>20170406</v>
      </c>
      <c r="H679" s="22">
        <v>20170406</v>
      </c>
      <c r="I679" s="22" t="s">
        <v>33</v>
      </c>
      <c r="J679" s="22"/>
      <c r="K679" s="22"/>
      <c r="L679" s="22" t="s">
        <v>34</v>
      </c>
      <c r="M679" s="22" t="s">
        <v>34</v>
      </c>
      <c r="N679" s="22" t="s">
        <v>35</v>
      </c>
      <c r="O679" s="22" t="s">
        <v>35</v>
      </c>
      <c r="P679" s="22" t="s">
        <v>35</v>
      </c>
      <c r="Q679" s="22" t="s">
        <v>35</v>
      </c>
      <c r="R679" s="22" t="s">
        <v>35</v>
      </c>
      <c r="S679" s="22" t="s">
        <v>34</v>
      </c>
      <c r="T679" s="22"/>
      <c r="U679" s="22"/>
      <c r="V679" s="22"/>
      <c r="W679" s="22"/>
      <c r="X679" s="22"/>
      <c r="Y679" s="22"/>
      <c r="Z679" s="22"/>
      <c r="AA679" s="22"/>
      <c r="AB679" s="22"/>
      <c r="AC679" s="22" t="s">
        <v>1935</v>
      </c>
      <c r="AD679" s="22">
        <v>20170413</v>
      </c>
      <c r="AE679" s="22">
        <v>678</v>
      </c>
      <c r="AF679" s="22"/>
      <c r="AG679" s="22" t="str">
        <f>IFERROR(VLOOKUP(TblFeedFile[[#This Row],[Leave Type ]],LkupPayType[],2,FALSE),"TBD")</f>
        <v>Closed</v>
      </c>
      <c r="AH679" s="22"/>
      <c r="AI679" s="25"/>
      <c r="AJ679" s="25"/>
      <c r="AK679" s="26"/>
    </row>
    <row r="680" spans="1:37" x14ac:dyDescent="0.25">
      <c r="A680" s="21" t="s">
        <v>37</v>
      </c>
      <c r="B680" s="22">
        <v>314304</v>
      </c>
      <c r="C680" s="22">
        <v>27828619</v>
      </c>
      <c r="D680" s="23" t="s">
        <v>2607</v>
      </c>
      <c r="E680" s="22" t="s">
        <v>1151</v>
      </c>
      <c r="F680" s="22" t="s">
        <v>297</v>
      </c>
      <c r="G680" s="22">
        <v>20170328</v>
      </c>
      <c r="H680" s="22">
        <v>20170405</v>
      </c>
      <c r="I680" s="22" t="s">
        <v>49</v>
      </c>
      <c r="J680" s="22"/>
      <c r="K680" s="22"/>
      <c r="L680" s="22" t="s">
        <v>34</v>
      </c>
      <c r="M680" s="22" t="s">
        <v>34</v>
      </c>
      <c r="N680" s="22" t="s">
        <v>35</v>
      </c>
      <c r="O680" s="22" t="s">
        <v>35</v>
      </c>
      <c r="P680" s="22" t="s">
        <v>35</v>
      </c>
      <c r="Q680" s="22" t="s">
        <v>35</v>
      </c>
      <c r="R680" s="22" t="s">
        <v>35</v>
      </c>
      <c r="S680" s="22" t="s">
        <v>34</v>
      </c>
      <c r="T680" s="22">
        <v>20170406</v>
      </c>
      <c r="U680" s="22"/>
      <c r="V680" s="22"/>
      <c r="W680" s="22"/>
      <c r="X680" s="22"/>
      <c r="Y680" s="22"/>
      <c r="Z680" s="22"/>
      <c r="AA680" s="22"/>
      <c r="AB680" s="22"/>
      <c r="AC680" s="22" t="s">
        <v>1916</v>
      </c>
      <c r="AD680" s="22">
        <v>20170413</v>
      </c>
      <c r="AE680" s="22">
        <v>679</v>
      </c>
      <c r="AF680" s="22"/>
      <c r="AG680" s="22" t="str">
        <f>IFERROR(VLOOKUP(TblFeedFile[[#This Row],[Leave Type ]],LkupPayType[],2,FALSE),"TBD")</f>
        <v>Unpaid</v>
      </c>
      <c r="AH680" s="22"/>
      <c r="AI680" s="25" t="s">
        <v>35</v>
      </c>
      <c r="AJ680" s="25"/>
      <c r="AK680" s="26" t="s">
        <v>35</v>
      </c>
    </row>
    <row r="681" spans="1:37" x14ac:dyDescent="0.25">
      <c r="A681" s="21" t="s">
        <v>29</v>
      </c>
      <c r="B681" s="22">
        <v>314304</v>
      </c>
      <c r="C681" s="22">
        <v>27927004</v>
      </c>
      <c r="D681" s="23" t="s">
        <v>2048</v>
      </c>
      <c r="E681" s="22" t="s">
        <v>2049</v>
      </c>
      <c r="F681" s="22" t="s">
        <v>263</v>
      </c>
      <c r="G681" s="22">
        <v>20170126</v>
      </c>
      <c r="H681" s="22">
        <v>20170219</v>
      </c>
      <c r="I681" s="22" t="s">
        <v>36</v>
      </c>
      <c r="J681" s="22"/>
      <c r="K681" s="22"/>
      <c r="L681" s="22" t="s">
        <v>35</v>
      </c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 t="s">
        <v>35</v>
      </c>
      <c r="Y681" s="22"/>
      <c r="Z681" s="22"/>
      <c r="AA681" s="22"/>
      <c r="AB681" s="22"/>
      <c r="AC681" s="22" t="s">
        <v>1917</v>
      </c>
      <c r="AD681" s="22">
        <v>20170413</v>
      </c>
      <c r="AE681" s="22">
        <v>680</v>
      </c>
      <c r="AF681" s="22"/>
      <c r="AG681" s="22" t="str">
        <f>IFERROR(VLOOKUP(TblFeedFile[[#This Row],[Leave Type ]],LkupPayType[],2,FALSE),"TBD")</f>
        <v>Unpaid</v>
      </c>
      <c r="AH681" s="22"/>
      <c r="AI681" s="25"/>
      <c r="AJ681" s="25"/>
      <c r="AK681" s="26"/>
    </row>
    <row r="682" spans="1:37" x14ac:dyDescent="0.25">
      <c r="A682" s="21" t="s">
        <v>37</v>
      </c>
      <c r="B682" s="22">
        <v>314301</v>
      </c>
      <c r="C682" s="22">
        <v>27959442</v>
      </c>
      <c r="D682" s="23">
        <v>571704048057</v>
      </c>
      <c r="E682" s="22" t="s">
        <v>2608</v>
      </c>
      <c r="F682" s="22" t="s">
        <v>2609</v>
      </c>
      <c r="G682" s="22">
        <v>20170406</v>
      </c>
      <c r="H682" s="22">
        <v>20170506</v>
      </c>
      <c r="I682" s="22" t="s">
        <v>53</v>
      </c>
      <c r="J682" s="22"/>
      <c r="K682" s="22"/>
      <c r="L682" s="22" t="s">
        <v>34</v>
      </c>
      <c r="M682" s="22" t="s">
        <v>34</v>
      </c>
      <c r="N682" s="22" t="s">
        <v>35</v>
      </c>
      <c r="O682" s="22" t="s">
        <v>35</v>
      </c>
      <c r="P682" s="22" t="s">
        <v>35</v>
      </c>
      <c r="Q682" s="22" t="s">
        <v>35</v>
      </c>
      <c r="R682" s="22" t="s">
        <v>35</v>
      </c>
      <c r="S682" s="22" t="s">
        <v>34</v>
      </c>
      <c r="T682" s="22"/>
      <c r="U682" s="22"/>
      <c r="V682" s="22"/>
      <c r="W682" s="22"/>
      <c r="X682" s="22"/>
      <c r="Y682" s="22"/>
      <c r="Z682" s="22"/>
      <c r="AA682" s="22"/>
      <c r="AB682" s="22"/>
      <c r="AC682" s="22" t="s">
        <v>1902</v>
      </c>
      <c r="AD682" s="22">
        <v>20170413</v>
      </c>
      <c r="AE682" s="22">
        <v>681</v>
      </c>
      <c r="AF682" s="22"/>
      <c r="AG682" s="22" t="str">
        <f>IFERROR(VLOOKUP(TblFeedFile[[#This Row],[Leave Type ]],LkupPayType[],2,FALSE),"TBD")</f>
        <v>Paid</v>
      </c>
      <c r="AH682" s="22"/>
      <c r="AI682" s="25"/>
      <c r="AJ682" s="25"/>
      <c r="AK682" s="26"/>
    </row>
    <row r="683" spans="1:37" x14ac:dyDescent="0.25">
      <c r="A683" s="21" t="s">
        <v>37</v>
      </c>
      <c r="B683" s="22">
        <v>314301</v>
      </c>
      <c r="C683" s="22">
        <v>27959442</v>
      </c>
      <c r="D683" s="23">
        <v>571704048057</v>
      </c>
      <c r="E683" s="22" t="s">
        <v>2608</v>
      </c>
      <c r="F683" s="22" t="s">
        <v>2609</v>
      </c>
      <c r="G683" s="22">
        <v>20170413</v>
      </c>
      <c r="H683" s="22">
        <v>20170506</v>
      </c>
      <c r="I683" s="22" t="s">
        <v>40</v>
      </c>
      <c r="J683" s="22"/>
      <c r="K683" s="22"/>
      <c r="L683" s="22" t="s">
        <v>34</v>
      </c>
      <c r="M683" s="22" t="s">
        <v>34</v>
      </c>
      <c r="N683" s="22" t="s">
        <v>35</v>
      </c>
      <c r="O683" s="22" t="s">
        <v>35</v>
      </c>
      <c r="P683" s="22" t="s">
        <v>35</v>
      </c>
      <c r="Q683" s="22" t="s">
        <v>35</v>
      </c>
      <c r="R683" s="22" t="s">
        <v>35</v>
      </c>
      <c r="S683" s="22" t="s">
        <v>34</v>
      </c>
      <c r="T683" s="22"/>
      <c r="U683" s="22"/>
      <c r="V683" s="22"/>
      <c r="W683" s="22"/>
      <c r="X683" s="22"/>
      <c r="Y683" s="22"/>
      <c r="Z683" s="22"/>
      <c r="AA683" s="22"/>
      <c r="AB683" s="22"/>
      <c r="AC683" s="22" t="s">
        <v>1916</v>
      </c>
      <c r="AD683" s="22">
        <v>20170413</v>
      </c>
      <c r="AE683" s="22">
        <v>682</v>
      </c>
      <c r="AF683" s="22"/>
      <c r="AG683" s="22" t="str">
        <f>IFERROR(VLOOKUP(TblFeedFile[[#This Row],[Leave Type ]],LkupPayType[],2,FALSE),"TBD")</f>
        <v>Paid</v>
      </c>
      <c r="AH683" s="22"/>
      <c r="AI683" s="25"/>
      <c r="AJ683" s="25"/>
      <c r="AK683" s="26"/>
    </row>
    <row r="684" spans="1:37" x14ac:dyDescent="0.25">
      <c r="A684" s="21" t="s">
        <v>29</v>
      </c>
      <c r="B684" s="22">
        <v>314304</v>
      </c>
      <c r="C684" s="22">
        <v>27972013</v>
      </c>
      <c r="D684" s="23">
        <v>501703298078</v>
      </c>
      <c r="E684" s="22" t="s">
        <v>2610</v>
      </c>
      <c r="F684" s="22" t="s">
        <v>2611</v>
      </c>
      <c r="G684" s="22">
        <v>20170330</v>
      </c>
      <c r="H684" s="22">
        <v>20170511</v>
      </c>
      <c r="I684" s="22" t="s">
        <v>40</v>
      </c>
      <c r="J684" s="22"/>
      <c r="K684" s="22"/>
      <c r="L684" s="22" t="s">
        <v>35</v>
      </c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 t="s">
        <v>1936</v>
      </c>
      <c r="AD684" s="22">
        <v>20170413</v>
      </c>
      <c r="AE684" s="22">
        <v>683</v>
      </c>
      <c r="AF684" s="22"/>
      <c r="AG684" s="22" t="str">
        <f>IFERROR(VLOOKUP(TblFeedFile[[#This Row],[Leave Type ]],LkupPayType[],2,FALSE),"TBD")</f>
        <v>Paid</v>
      </c>
      <c r="AH684" s="22"/>
      <c r="AI684" s="25"/>
      <c r="AJ684" s="25"/>
      <c r="AK684" s="26"/>
    </row>
    <row r="685" spans="1:37" x14ac:dyDescent="0.25">
      <c r="A685" s="21" t="s">
        <v>37</v>
      </c>
      <c r="B685" s="22">
        <v>314304</v>
      </c>
      <c r="C685" s="22">
        <v>27972013</v>
      </c>
      <c r="D685" s="23">
        <v>501703298078</v>
      </c>
      <c r="E685" s="22" t="s">
        <v>2610</v>
      </c>
      <c r="F685" s="22" t="s">
        <v>2611</v>
      </c>
      <c r="G685" s="22">
        <v>20170330</v>
      </c>
      <c r="H685" s="22">
        <v>20170427</v>
      </c>
      <c r="I685" s="22" t="s">
        <v>40</v>
      </c>
      <c r="J685" s="22"/>
      <c r="K685" s="22"/>
      <c r="L685" s="22" t="s">
        <v>35</v>
      </c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 t="s">
        <v>1936</v>
      </c>
      <c r="AD685" s="22">
        <v>20170413</v>
      </c>
      <c r="AE685" s="22">
        <v>684</v>
      </c>
      <c r="AF685" s="22"/>
      <c r="AG685" s="22" t="str">
        <f>IFERROR(VLOOKUP(TblFeedFile[[#This Row],[Leave Type ]],LkupPayType[],2,FALSE),"TBD")</f>
        <v>Paid</v>
      </c>
      <c r="AH685" s="22"/>
      <c r="AI685" s="25"/>
      <c r="AJ685" s="25"/>
      <c r="AK685" s="26"/>
    </row>
    <row r="686" spans="1:37" x14ac:dyDescent="0.25">
      <c r="A686" s="21" t="s">
        <v>37</v>
      </c>
      <c r="B686" s="22">
        <v>314304</v>
      </c>
      <c r="C686" s="22">
        <v>28002303</v>
      </c>
      <c r="D686" s="23" t="s">
        <v>2612</v>
      </c>
      <c r="E686" s="22" t="s">
        <v>2010</v>
      </c>
      <c r="F686" s="22" t="s">
        <v>2613</v>
      </c>
      <c r="G686" s="22">
        <v>20170308</v>
      </c>
      <c r="H686" s="22">
        <v>20170516</v>
      </c>
      <c r="I686" s="22" t="s">
        <v>156</v>
      </c>
      <c r="J686" s="22"/>
      <c r="K686" s="22"/>
      <c r="L686" s="22" t="s">
        <v>34</v>
      </c>
      <c r="M686" s="22" t="s">
        <v>34</v>
      </c>
      <c r="N686" s="22" t="s">
        <v>35</v>
      </c>
      <c r="O686" s="22" t="s">
        <v>35</v>
      </c>
      <c r="P686" s="22" t="s">
        <v>35</v>
      </c>
      <c r="Q686" s="22" t="s">
        <v>35</v>
      </c>
      <c r="R686" s="22" t="s">
        <v>35</v>
      </c>
      <c r="S686" s="22" t="s">
        <v>34</v>
      </c>
      <c r="T686" s="22"/>
      <c r="U686" s="22"/>
      <c r="V686" s="22"/>
      <c r="W686" s="22"/>
      <c r="X686" s="22"/>
      <c r="Y686" s="22"/>
      <c r="Z686" s="22"/>
      <c r="AA686" s="22"/>
      <c r="AB686" s="22"/>
      <c r="AC686" s="22" t="s">
        <v>1927</v>
      </c>
      <c r="AD686" s="22">
        <v>20170413</v>
      </c>
      <c r="AE686" s="22">
        <v>685</v>
      </c>
      <c r="AF686" s="22"/>
      <c r="AG686" s="22" t="str">
        <f>IFERROR(VLOOKUP(TblFeedFile[[#This Row],[Leave Type ]],LkupPayType[],2,FALSE),"TBD")</f>
        <v>Unpaid</v>
      </c>
      <c r="AH686" s="22"/>
      <c r="AI686" s="25"/>
      <c r="AJ686" s="25"/>
      <c r="AK686" s="26"/>
    </row>
    <row r="687" spans="1:37" x14ac:dyDescent="0.25">
      <c r="A687" s="21" t="s">
        <v>37</v>
      </c>
      <c r="B687" s="22">
        <v>314304</v>
      </c>
      <c r="C687" s="22">
        <v>28020271</v>
      </c>
      <c r="D687" s="23" t="s">
        <v>2614</v>
      </c>
      <c r="E687" s="22" t="s">
        <v>2615</v>
      </c>
      <c r="F687" s="22" t="s">
        <v>2616</v>
      </c>
      <c r="G687" s="22">
        <v>20170413</v>
      </c>
      <c r="H687" s="22">
        <v>20170608</v>
      </c>
      <c r="I687" s="22" t="s">
        <v>36</v>
      </c>
      <c r="J687" s="22"/>
      <c r="K687" s="22"/>
      <c r="L687" s="22" t="s">
        <v>34</v>
      </c>
      <c r="M687" s="22" t="s">
        <v>34</v>
      </c>
      <c r="N687" s="22" t="s">
        <v>35</v>
      </c>
      <c r="O687" s="22" t="s">
        <v>35</v>
      </c>
      <c r="P687" s="22" t="s">
        <v>35</v>
      </c>
      <c r="Q687" s="22" t="s">
        <v>35</v>
      </c>
      <c r="R687" s="22" t="s">
        <v>35</v>
      </c>
      <c r="S687" s="22" t="s">
        <v>34</v>
      </c>
      <c r="T687" s="22"/>
      <c r="U687" s="22"/>
      <c r="V687" s="22"/>
      <c r="W687" s="22"/>
      <c r="X687" s="22" t="s">
        <v>35</v>
      </c>
      <c r="Y687" s="22"/>
      <c r="Z687" s="22"/>
      <c r="AA687" s="22"/>
      <c r="AB687" s="22"/>
      <c r="AC687" s="22" t="s">
        <v>1911</v>
      </c>
      <c r="AD687" s="22">
        <v>20170413</v>
      </c>
      <c r="AE687" s="22">
        <v>686</v>
      </c>
      <c r="AF687" s="22"/>
      <c r="AG687" s="22" t="str">
        <f>IFERROR(VLOOKUP(TblFeedFile[[#This Row],[Leave Type ]],LkupPayType[],2,FALSE),"TBD")</f>
        <v>Unpaid</v>
      </c>
      <c r="AH687" s="22"/>
      <c r="AI687" s="25"/>
      <c r="AJ687" s="25"/>
      <c r="AK687" s="26"/>
    </row>
    <row r="688" spans="1:37" x14ac:dyDescent="0.25">
      <c r="A688" s="21" t="s">
        <v>37</v>
      </c>
      <c r="B688" s="22">
        <v>314304</v>
      </c>
      <c r="C688" s="22">
        <v>28022906</v>
      </c>
      <c r="D688" s="23">
        <v>541703078004</v>
      </c>
      <c r="E688" s="22" t="s">
        <v>837</v>
      </c>
      <c r="F688" s="22" t="s">
        <v>2617</v>
      </c>
      <c r="G688" s="22">
        <v>20170327</v>
      </c>
      <c r="H688" s="22">
        <v>20170627</v>
      </c>
      <c r="I688" s="22" t="s">
        <v>53</v>
      </c>
      <c r="J688" s="22"/>
      <c r="K688" s="22"/>
      <c r="L688" s="22" t="s">
        <v>34</v>
      </c>
      <c r="M688" s="22" t="s">
        <v>34</v>
      </c>
      <c r="N688" s="22" t="s">
        <v>35</v>
      </c>
      <c r="O688" s="22" t="s">
        <v>35</v>
      </c>
      <c r="P688" s="22" t="s">
        <v>35</v>
      </c>
      <c r="Q688" s="22" t="s">
        <v>35</v>
      </c>
      <c r="R688" s="22" t="s">
        <v>35</v>
      </c>
      <c r="S688" s="22" t="s">
        <v>34</v>
      </c>
      <c r="T688" s="22"/>
      <c r="U688" s="22"/>
      <c r="V688" s="22"/>
      <c r="W688" s="22"/>
      <c r="X688" s="22"/>
      <c r="Y688" s="22"/>
      <c r="Z688" s="22"/>
      <c r="AA688" s="22"/>
      <c r="AB688" s="22"/>
      <c r="AC688" s="22" t="s">
        <v>1912</v>
      </c>
      <c r="AD688" s="22">
        <v>20170413</v>
      </c>
      <c r="AE688" s="22">
        <v>687</v>
      </c>
      <c r="AF688" s="22"/>
      <c r="AG688" s="22" t="str">
        <f>IFERROR(VLOOKUP(TblFeedFile[[#This Row],[Leave Type ]],LkupPayType[],2,FALSE),"TBD")</f>
        <v>Paid</v>
      </c>
      <c r="AH688" s="22"/>
      <c r="AI688" s="25"/>
      <c r="AJ688" s="25"/>
      <c r="AK688" s="26"/>
    </row>
    <row r="689" spans="1:37" x14ac:dyDescent="0.25">
      <c r="A689" s="21" t="s">
        <v>37</v>
      </c>
      <c r="B689" s="22">
        <v>314304</v>
      </c>
      <c r="C689" s="22">
        <v>28022906</v>
      </c>
      <c r="D689" s="23">
        <v>541703078004</v>
      </c>
      <c r="E689" s="22" t="s">
        <v>837</v>
      </c>
      <c r="F689" s="22" t="s">
        <v>2617</v>
      </c>
      <c r="G689" s="22">
        <v>20170403</v>
      </c>
      <c r="H689" s="22">
        <v>20170627</v>
      </c>
      <c r="I689" s="22" t="s">
        <v>40</v>
      </c>
      <c r="J689" s="22"/>
      <c r="K689" s="22"/>
      <c r="L689" s="22" t="s">
        <v>34</v>
      </c>
      <c r="M689" s="22" t="s">
        <v>34</v>
      </c>
      <c r="N689" s="22" t="s">
        <v>35</v>
      </c>
      <c r="O689" s="22" t="s">
        <v>35</v>
      </c>
      <c r="P689" s="22" t="s">
        <v>35</v>
      </c>
      <c r="Q689" s="22" t="s">
        <v>35</v>
      </c>
      <c r="R689" s="22" t="s">
        <v>35</v>
      </c>
      <c r="S689" s="22" t="s">
        <v>34</v>
      </c>
      <c r="T689" s="22"/>
      <c r="U689" s="22"/>
      <c r="V689" s="22"/>
      <c r="W689" s="22"/>
      <c r="X689" s="22"/>
      <c r="Y689" s="22"/>
      <c r="Z689" s="22"/>
      <c r="AA689" s="22"/>
      <c r="AB689" s="22"/>
      <c r="AC689" s="22" t="s">
        <v>1908</v>
      </c>
      <c r="AD689" s="22">
        <v>20170413</v>
      </c>
      <c r="AE689" s="22">
        <v>688</v>
      </c>
      <c r="AF689" s="22"/>
      <c r="AG689" s="22" t="str">
        <f>IFERROR(VLOOKUP(TblFeedFile[[#This Row],[Leave Type ]],LkupPayType[],2,FALSE),"TBD")</f>
        <v>Paid</v>
      </c>
      <c r="AH689" s="22"/>
      <c r="AI689" s="25"/>
      <c r="AJ689" s="25"/>
      <c r="AK689" s="26"/>
    </row>
    <row r="690" spans="1:37" x14ac:dyDescent="0.25">
      <c r="A690" s="21" t="s">
        <v>29</v>
      </c>
      <c r="B690" s="22">
        <v>314304</v>
      </c>
      <c r="C690" s="22">
        <v>28062136</v>
      </c>
      <c r="D690" s="23" t="s">
        <v>2618</v>
      </c>
      <c r="E690" s="22" t="s">
        <v>1333</v>
      </c>
      <c r="F690" s="22" t="s">
        <v>1536</v>
      </c>
      <c r="G690" s="22">
        <v>20170403</v>
      </c>
      <c r="H690" s="22">
        <v>20170403</v>
      </c>
      <c r="I690" s="22" t="s">
        <v>33</v>
      </c>
      <c r="J690" s="22"/>
      <c r="K690" s="22"/>
      <c r="L690" s="22" t="s">
        <v>34</v>
      </c>
      <c r="M690" s="22" t="s">
        <v>34</v>
      </c>
      <c r="N690" s="22" t="s">
        <v>35</v>
      </c>
      <c r="O690" s="22" t="s">
        <v>35</v>
      </c>
      <c r="P690" s="22" t="s">
        <v>35</v>
      </c>
      <c r="Q690" s="22" t="s">
        <v>35</v>
      </c>
      <c r="R690" s="22" t="s">
        <v>35</v>
      </c>
      <c r="S690" s="22" t="s">
        <v>34</v>
      </c>
      <c r="T690" s="22"/>
      <c r="U690" s="22"/>
      <c r="V690" s="22"/>
      <c r="W690" s="22"/>
      <c r="X690" s="22"/>
      <c r="Y690" s="22"/>
      <c r="Z690" s="22"/>
      <c r="AA690" s="22"/>
      <c r="AB690" s="22"/>
      <c r="AC690" s="22" t="s">
        <v>1929</v>
      </c>
      <c r="AD690" s="22">
        <v>20170413</v>
      </c>
      <c r="AE690" s="22">
        <v>689</v>
      </c>
      <c r="AF690" s="22"/>
      <c r="AG690" s="22" t="str">
        <f>IFERROR(VLOOKUP(TblFeedFile[[#This Row],[Leave Type ]],LkupPayType[],2,FALSE),"TBD")</f>
        <v>Closed</v>
      </c>
      <c r="AH690" s="22"/>
      <c r="AI690" s="25"/>
      <c r="AJ690" s="25"/>
      <c r="AK690" s="26"/>
    </row>
    <row r="691" spans="1:37" x14ac:dyDescent="0.25">
      <c r="A691" s="21" t="s">
        <v>37</v>
      </c>
      <c r="B691" s="22">
        <v>314304</v>
      </c>
      <c r="C691" s="22">
        <v>28062136</v>
      </c>
      <c r="D691" s="23">
        <v>571702168727</v>
      </c>
      <c r="E691" s="22" t="s">
        <v>1333</v>
      </c>
      <c r="F691" s="22" t="s">
        <v>1536</v>
      </c>
      <c r="G691" s="22">
        <v>20170224</v>
      </c>
      <c r="H691" s="22">
        <v>20170402</v>
      </c>
      <c r="I691" s="22" t="s">
        <v>40</v>
      </c>
      <c r="J691" s="22"/>
      <c r="K691" s="22"/>
      <c r="L691" s="22" t="s">
        <v>34</v>
      </c>
      <c r="M691" s="22" t="s">
        <v>34</v>
      </c>
      <c r="N691" s="22" t="s">
        <v>35</v>
      </c>
      <c r="O691" s="22" t="s">
        <v>35</v>
      </c>
      <c r="P691" s="22" t="s">
        <v>35</v>
      </c>
      <c r="Q691" s="22" t="s">
        <v>35</v>
      </c>
      <c r="R691" s="22" t="s">
        <v>35</v>
      </c>
      <c r="S691" s="22" t="s">
        <v>34</v>
      </c>
      <c r="T691" s="22">
        <v>20170403</v>
      </c>
      <c r="U691" s="22"/>
      <c r="V691" s="22"/>
      <c r="W691" s="22"/>
      <c r="X691" s="22"/>
      <c r="Y691" s="22"/>
      <c r="Z691" s="22"/>
      <c r="AA691" s="22"/>
      <c r="AB691" s="22"/>
      <c r="AC691" s="22" t="s">
        <v>1945</v>
      </c>
      <c r="AD691" s="22">
        <v>20170413</v>
      </c>
      <c r="AE691" s="22">
        <v>690</v>
      </c>
      <c r="AF691" s="22"/>
      <c r="AG691" s="22" t="str">
        <f>IFERROR(VLOOKUP(TblFeedFile[[#This Row],[Leave Type ]],LkupPayType[],2,FALSE),"TBD")</f>
        <v>Paid</v>
      </c>
      <c r="AH691" s="22"/>
      <c r="AI691" s="25" t="s">
        <v>35</v>
      </c>
      <c r="AJ691" s="25"/>
      <c r="AK691" s="26" t="s">
        <v>35</v>
      </c>
    </row>
    <row r="692" spans="1:37" x14ac:dyDescent="0.25">
      <c r="A692" s="21" t="s">
        <v>37</v>
      </c>
      <c r="B692" s="22">
        <v>314304</v>
      </c>
      <c r="C692" s="22">
        <v>28094368</v>
      </c>
      <c r="D692" s="23">
        <v>511704138831</v>
      </c>
      <c r="E692" s="22" t="s">
        <v>2619</v>
      </c>
      <c r="F692" s="22" t="s">
        <v>2620</v>
      </c>
      <c r="G692" s="22">
        <v>20170412</v>
      </c>
      <c r="H692" s="22">
        <v>20170512</v>
      </c>
      <c r="I692" s="22" t="s">
        <v>53</v>
      </c>
      <c r="J692" s="22"/>
      <c r="K692" s="22"/>
      <c r="L692" s="22" t="s">
        <v>34</v>
      </c>
      <c r="M692" s="22" t="s">
        <v>34</v>
      </c>
      <c r="N692" s="22" t="s">
        <v>34</v>
      </c>
      <c r="O692" s="22" t="s">
        <v>35</v>
      </c>
      <c r="P692" s="22" t="s">
        <v>35</v>
      </c>
      <c r="Q692" s="22" t="s">
        <v>35</v>
      </c>
      <c r="R692" s="22" t="s">
        <v>35</v>
      </c>
      <c r="S692" s="22" t="s">
        <v>35</v>
      </c>
      <c r="T692" s="22"/>
      <c r="U692" s="22"/>
      <c r="V692" s="22"/>
      <c r="W692" s="22"/>
      <c r="X692" s="22"/>
      <c r="Y692" s="22"/>
      <c r="Z692" s="22"/>
      <c r="AA692" s="22"/>
      <c r="AB692" s="22"/>
      <c r="AC692" s="22" t="s">
        <v>1923</v>
      </c>
      <c r="AD692" s="22">
        <v>20170413</v>
      </c>
      <c r="AE692" s="22">
        <v>691</v>
      </c>
      <c r="AF692" s="22"/>
      <c r="AG692" s="22" t="str">
        <f>IFERROR(VLOOKUP(TblFeedFile[[#This Row],[Leave Type ]],LkupPayType[],2,FALSE),"TBD")</f>
        <v>Paid</v>
      </c>
      <c r="AH692" s="22"/>
      <c r="AI692" s="25"/>
      <c r="AJ692" s="25"/>
      <c r="AK692" s="26"/>
    </row>
    <row r="693" spans="1:37" x14ac:dyDescent="0.25">
      <c r="A693" s="21" t="s">
        <v>29</v>
      </c>
      <c r="B693" s="22">
        <v>314304</v>
      </c>
      <c r="C693" s="22">
        <v>28117404</v>
      </c>
      <c r="D693" s="23">
        <v>501704038728</v>
      </c>
      <c r="E693" s="22" t="s">
        <v>831</v>
      </c>
      <c r="F693" s="22" t="s">
        <v>2621</v>
      </c>
      <c r="G693" s="22">
        <v>20170331</v>
      </c>
      <c r="H693" s="22">
        <v>20170504</v>
      </c>
      <c r="I693" s="22" t="s">
        <v>40</v>
      </c>
      <c r="J693" s="22"/>
      <c r="K693" s="22"/>
      <c r="L693" s="22" t="s">
        <v>34</v>
      </c>
      <c r="M693" s="22" t="s">
        <v>34</v>
      </c>
      <c r="N693" s="22" t="s">
        <v>35</v>
      </c>
      <c r="O693" s="22" t="s">
        <v>35</v>
      </c>
      <c r="P693" s="22" t="s">
        <v>35</v>
      </c>
      <c r="Q693" s="22" t="s">
        <v>35</v>
      </c>
      <c r="R693" s="22" t="s">
        <v>35</v>
      </c>
      <c r="S693" s="22" t="s">
        <v>34</v>
      </c>
      <c r="T693" s="22"/>
      <c r="U693" s="22"/>
      <c r="V693" s="22"/>
      <c r="W693" s="22"/>
      <c r="X693" s="22"/>
      <c r="Y693" s="22"/>
      <c r="Z693" s="22"/>
      <c r="AA693" s="22"/>
      <c r="AB693" s="22"/>
      <c r="AC693" s="22" t="s">
        <v>1912</v>
      </c>
      <c r="AD693" s="22">
        <v>20170413</v>
      </c>
      <c r="AE693" s="22">
        <v>692</v>
      </c>
      <c r="AF693" s="22"/>
      <c r="AG693" s="22" t="str">
        <f>IFERROR(VLOOKUP(TblFeedFile[[#This Row],[Leave Type ]],LkupPayType[],2,FALSE),"TBD")</f>
        <v>Paid</v>
      </c>
      <c r="AH693" s="22"/>
      <c r="AI693" s="25"/>
      <c r="AJ693" s="25"/>
      <c r="AK693" s="26"/>
    </row>
    <row r="694" spans="1:37" x14ac:dyDescent="0.25">
      <c r="A694" s="21" t="s">
        <v>37</v>
      </c>
      <c r="B694" s="22">
        <v>314304</v>
      </c>
      <c r="C694" s="22">
        <v>28117404</v>
      </c>
      <c r="D694" s="23">
        <v>501704038728</v>
      </c>
      <c r="E694" s="22" t="s">
        <v>831</v>
      </c>
      <c r="F694" s="22" t="s">
        <v>2621</v>
      </c>
      <c r="G694" s="22">
        <v>20170331</v>
      </c>
      <c r="H694" s="22">
        <v>20170504</v>
      </c>
      <c r="I694" s="22" t="s">
        <v>40</v>
      </c>
      <c r="J694" s="22"/>
      <c r="K694" s="22"/>
      <c r="L694" s="22" t="s">
        <v>34</v>
      </c>
      <c r="M694" s="22" t="s">
        <v>34</v>
      </c>
      <c r="N694" s="22" t="s">
        <v>35</v>
      </c>
      <c r="O694" s="22" t="s">
        <v>35</v>
      </c>
      <c r="P694" s="22" t="s">
        <v>35</v>
      </c>
      <c r="Q694" s="22" t="s">
        <v>35</v>
      </c>
      <c r="R694" s="22" t="s">
        <v>35</v>
      </c>
      <c r="S694" s="22" t="s">
        <v>34</v>
      </c>
      <c r="T694" s="22"/>
      <c r="U694" s="22"/>
      <c r="V694" s="22"/>
      <c r="W694" s="22"/>
      <c r="X694" s="22"/>
      <c r="Y694" s="22">
        <v>673</v>
      </c>
      <c r="Z694" s="22" t="s">
        <v>306</v>
      </c>
      <c r="AA694" s="22">
        <v>20170331</v>
      </c>
      <c r="AB694" s="22">
        <v>20170921</v>
      </c>
      <c r="AC694" s="22" t="s">
        <v>2622</v>
      </c>
      <c r="AD694" s="22">
        <v>20170413</v>
      </c>
      <c r="AE694" s="22">
        <v>693</v>
      </c>
      <c r="AF694" s="22"/>
      <c r="AG694" s="22" t="str">
        <f>IFERROR(VLOOKUP(TblFeedFile[[#This Row],[Leave Type ]],LkupPayType[],2,FALSE),"TBD")</f>
        <v>Paid</v>
      </c>
      <c r="AH694" s="22"/>
      <c r="AI694" s="25"/>
      <c r="AJ694" s="25"/>
      <c r="AK694" s="26"/>
    </row>
    <row r="695" spans="1:37" x14ac:dyDescent="0.25">
      <c r="A695" s="21" t="s">
        <v>37</v>
      </c>
      <c r="B695" s="22">
        <v>314304</v>
      </c>
      <c r="C695" s="22">
        <v>28157763</v>
      </c>
      <c r="D695" s="23" t="s">
        <v>2623</v>
      </c>
      <c r="E695" s="22" t="s">
        <v>704</v>
      </c>
      <c r="F695" s="22" t="s">
        <v>2624</v>
      </c>
      <c r="G695" s="22">
        <v>20170228</v>
      </c>
      <c r="H695" s="22">
        <v>20170416</v>
      </c>
      <c r="I695" s="22" t="s">
        <v>36</v>
      </c>
      <c r="J695" s="22"/>
      <c r="K695" s="22"/>
      <c r="L695" s="22" t="s">
        <v>34</v>
      </c>
      <c r="M695" s="22" t="s">
        <v>34</v>
      </c>
      <c r="N695" s="22" t="s">
        <v>35</v>
      </c>
      <c r="O695" s="22" t="s">
        <v>35</v>
      </c>
      <c r="P695" s="22" t="s">
        <v>35</v>
      </c>
      <c r="Q695" s="22" t="s">
        <v>35</v>
      </c>
      <c r="R695" s="22" t="s">
        <v>35</v>
      </c>
      <c r="S695" s="22" t="s">
        <v>34</v>
      </c>
      <c r="T695" s="22">
        <v>20170417</v>
      </c>
      <c r="U695" s="22"/>
      <c r="V695" s="22"/>
      <c r="W695" s="22"/>
      <c r="X695" s="22"/>
      <c r="Y695" s="22"/>
      <c r="Z695" s="22"/>
      <c r="AA695" s="22"/>
      <c r="AB695" s="22"/>
      <c r="AC695" s="22" t="s">
        <v>1923</v>
      </c>
      <c r="AD695" s="22">
        <v>20170413</v>
      </c>
      <c r="AE695" s="22">
        <v>694</v>
      </c>
      <c r="AF695" s="22"/>
      <c r="AG695" s="22" t="str">
        <f>IFERROR(VLOOKUP(TblFeedFile[[#This Row],[Leave Type ]],LkupPayType[],2,FALSE),"TBD")</f>
        <v>Unpaid</v>
      </c>
      <c r="AH695" s="22"/>
      <c r="AI695" s="25"/>
      <c r="AJ695" s="25"/>
      <c r="AK695" s="26" t="s">
        <v>35</v>
      </c>
    </row>
    <row r="696" spans="1:37" x14ac:dyDescent="0.25">
      <c r="A696" s="21" t="s">
        <v>29</v>
      </c>
      <c r="B696" s="22">
        <v>314304</v>
      </c>
      <c r="C696" s="22">
        <v>28171082</v>
      </c>
      <c r="D696" s="23" t="s">
        <v>2052</v>
      </c>
      <c r="E696" s="22" t="s">
        <v>1698</v>
      </c>
      <c r="F696" s="22" t="s">
        <v>685</v>
      </c>
      <c r="G696" s="22">
        <v>20170412</v>
      </c>
      <c r="H696" s="22">
        <v>20170412</v>
      </c>
      <c r="I696" s="22" t="s">
        <v>33</v>
      </c>
      <c r="J696" s="22"/>
      <c r="K696" s="22"/>
      <c r="L696" s="22" t="s">
        <v>34</v>
      </c>
      <c r="M696" s="22" t="s">
        <v>34</v>
      </c>
      <c r="N696" s="22" t="s">
        <v>35</v>
      </c>
      <c r="O696" s="22" t="s">
        <v>35</v>
      </c>
      <c r="P696" s="22" t="s">
        <v>35</v>
      </c>
      <c r="Q696" s="22" t="s">
        <v>35</v>
      </c>
      <c r="R696" s="22" t="s">
        <v>35</v>
      </c>
      <c r="S696" s="22" t="s">
        <v>34</v>
      </c>
      <c r="T696" s="22"/>
      <c r="U696" s="22"/>
      <c r="V696" s="22"/>
      <c r="W696" s="22"/>
      <c r="X696" s="22"/>
      <c r="Y696" s="22"/>
      <c r="Z696" s="22"/>
      <c r="AA696" s="22"/>
      <c r="AB696" s="22"/>
      <c r="AC696" s="22" t="s">
        <v>1944</v>
      </c>
      <c r="AD696" s="22">
        <v>20170413</v>
      </c>
      <c r="AE696" s="22">
        <v>695</v>
      </c>
      <c r="AF696" s="22"/>
      <c r="AG696" s="22" t="str">
        <f>IFERROR(VLOOKUP(TblFeedFile[[#This Row],[Leave Type ]],LkupPayType[],2,FALSE),"TBD")</f>
        <v>Closed</v>
      </c>
      <c r="AH696" s="22"/>
      <c r="AI696" s="25"/>
      <c r="AJ696" s="25"/>
      <c r="AK696" s="26"/>
    </row>
    <row r="697" spans="1:37" x14ac:dyDescent="0.25">
      <c r="A697" s="21" t="s">
        <v>37</v>
      </c>
      <c r="B697" s="22">
        <v>314304</v>
      </c>
      <c r="C697" s="22">
        <v>28171082</v>
      </c>
      <c r="D697" s="23" t="s">
        <v>2052</v>
      </c>
      <c r="E697" s="22" t="s">
        <v>1698</v>
      </c>
      <c r="F697" s="22" t="s">
        <v>685</v>
      </c>
      <c r="G697" s="22">
        <v>20170327</v>
      </c>
      <c r="H697" s="22">
        <v>20170411</v>
      </c>
      <c r="I697" s="22" t="s">
        <v>156</v>
      </c>
      <c r="J697" s="22"/>
      <c r="K697" s="22"/>
      <c r="L697" s="22" t="s">
        <v>34</v>
      </c>
      <c r="M697" s="22" t="s">
        <v>34</v>
      </c>
      <c r="N697" s="22" t="s">
        <v>35</v>
      </c>
      <c r="O697" s="22" t="s">
        <v>35</v>
      </c>
      <c r="P697" s="22" t="s">
        <v>35</v>
      </c>
      <c r="Q697" s="22" t="s">
        <v>35</v>
      </c>
      <c r="R697" s="22" t="s">
        <v>35</v>
      </c>
      <c r="S697" s="22" t="s">
        <v>34</v>
      </c>
      <c r="T697" s="22">
        <v>20170412</v>
      </c>
      <c r="U697" s="22"/>
      <c r="V697" s="22"/>
      <c r="W697" s="22"/>
      <c r="X697" s="22"/>
      <c r="Y697" s="22"/>
      <c r="Z697" s="22"/>
      <c r="AA697" s="22"/>
      <c r="AB697" s="22"/>
      <c r="AC697" s="22" t="s">
        <v>1897</v>
      </c>
      <c r="AD697" s="22">
        <v>20170413</v>
      </c>
      <c r="AE697" s="22">
        <v>696</v>
      </c>
      <c r="AF697" s="22"/>
      <c r="AG697" s="22" t="str">
        <f>IFERROR(VLOOKUP(TblFeedFile[[#This Row],[Leave Type ]],LkupPayType[],2,FALSE),"TBD")</f>
        <v>Unpaid</v>
      </c>
      <c r="AH697" s="22"/>
      <c r="AI697" s="25" t="s">
        <v>35</v>
      </c>
      <c r="AJ697" s="25"/>
      <c r="AK697" s="26" t="s">
        <v>35</v>
      </c>
    </row>
    <row r="698" spans="1:37" x14ac:dyDescent="0.25">
      <c r="A698" s="21" t="s">
        <v>29</v>
      </c>
      <c r="B698" s="22">
        <v>314304</v>
      </c>
      <c r="C698" s="22">
        <v>28184637</v>
      </c>
      <c r="D698" s="23">
        <v>511702078109</v>
      </c>
      <c r="E698" s="22" t="s">
        <v>2625</v>
      </c>
      <c r="F698" s="22" t="s">
        <v>2626</v>
      </c>
      <c r="G698" s="22">
        <v>20170331</v>
      </c>
      <c r="H698" s="22">
        <v>20170409</v>
      </c>
      <c r="I698" s="22" t="s">
        <v>1892</v>
      </c>
      <c r="J698" s="22"/>
      <c r="K698" s="22"/>
      <c r="L698" s="22" t="s">
        <v>34</v>
      </c>
      <c r="M698" s="22" t="s">
        <v>34</v>
      </c>
      <c r="N698" s="22" t="s">
        <v>35</v>
      </c>
      <c r="O698" s="22" t="s">
        <v>35</v>
      </c>
      <c r="P698" s="22" t="s">
        <v>35</v>
      </c>
      <c r="Q698" s="22" t="s">
        <v>35</v>
      </c>
      <c r="R698" s="22" t="s">
        <v>35</v>
      </c>
      <c r="S698" s="22" t="s">
        <v>34</v>
      </c>
      <c r="T698" s="22">
        <v>20170410</v>
      </c>
      <c r="U698" s="22"/>
      <c r="V698" s="22"/>
      <c r="W698" s="22"/>
      <c r="X698" s="22"/>
      <c r="Y698" s="22"/>
      <c r="Z698" s="22"/>
      <c r="AA698" s="22"/>
      <c r="AB698" s="22"/>
      <c r="AC698" s="22" t="s">
        <v>1983</v>
      </c>
      <c r="AD698" s="22">
        <v>20170413</v>
      </c>
      <c r="AE698" s="22">
        <v>697</v>
      </c>
      <c r="AF698" s="22"/>
      <c r="AG698" s="22" t="str">
        <f>IFERROR(VLOOKUP(TblFeedFile[[#This Row],[Leave Type ]],LkupPayType[],2,FALSE),"TBD")</f>
        <v>Paid</v>
      </c>
      <c r="AH698" s="22"/>
      <c r="AI698" s="25"/>
      <c r="AJ698" s="25"/>
      <c r="AK698" s="26"/>
    </row>
    <row r="699" spans="1:37" x14ac:dyDescent="0.25">
      <c r="A699" s="21" t="s">
        <v>37</v>
      </c>
      <c r="B699" s="22">
        <v>314304</v>
      </c>
      <c r="C699" s="22">
        <v>28184637</v>
      </c>
      <c r="D699" s="23">
        <v>511702078109</v>
      </c>
      <c r="E699" s="22" t="s">
        <v>2625</v>
      </c>
      <c r="F699" s="22" t="s">
        <v>2626</v>
      </c>
      <c r="G699" s="22">
        <v>20170331</v>
      </c>
      <c r="H699" s="22">
        <v>20170416</v>
      </c>
      <c r="I699" s="22" t="s">
        <v>1892</v>
      </c>
      <c r="J699" s="22"/>
      <c r="K699" s="22"/>
      <c r="L699" s="22" t="s">
        <v>34</v>
      </c>
      <c r="M699" s="22" t="s">
        <v>34</v>
      </c>
      <c r="N699" s="22" t="s">
        <v>35</v>
      </c>
      <c r="O699" s="22" t="s">
        <v>35</v>
      </c>
      <c r="P699" s="22" t="s">
        <v>35</v>
      </c>
      <c r="Q699" s="22" t="s">
        <v>35</v>
      </c>
      <c r="R699" s="22" t="s">
        <v>35</v>
      </c>
      <c r="S699" s="22" t="s">
        <v>34</v>
      </c>
      <c r="T699" s="22"/>
      <c r="U699" s="22"/>
      <c r="V699" s="22"/>
      <c r="W699" s="22"/>
      <c r="X699" s="22"/>
      <c r="Y699" s="22"/>
      <c r="Z699" s="22"/>
      <c r="AA699" s="22"/>
      <c r="AB699" s="22"/>
      <c r="AC699" s="22" t="s">
        <v>1925</v>
      </c>
      <c r="AD699" s="22">
        <v>20170413</v>
      </c>
      <c r="AE699" s="22">
        <v>698</v>
      </c>
      <c r="AF699" s="22"/>
      <c r="AG699" s="22" t="str">
        <f>IFERROR(VLOOKUP(TblFeedFile[[#This Row],[Leave Type ]],LkupPayType[],2,FALSE),"TBD")</f>
        <v>Paid</v>
      </c>
      <c r="AH699" s="22"/>
      <c r="AI699" s="25"/>
      <c r="AJ699" s="25"/>
      <c r="AK699" s="26"/>
    </row>
    <row r="700" spans="1:37" x14ac:dyDescent="0.25">
      <c r="A700" s="21" t="s">
        <v>29</v>
      </c>
      <c r="B700" s="22">
        <v>314304</v>
      </c>
      <c r="C700" s="22">
        <v>28205173</v>
      </c>
      <c r="D700" s="23">
        <v>251702218925</v>
      </c>
      <c r="E700" s="22" t="s">
        <v>2627</v>
      </c>
      <c r="F700" s="22" t="s">
        <v>2628</v>
      </c>
      <c r="G700" s="22">
        <v>20161118</v>
      </c>
      <c r="H700" s="22">
        <v>20161218</v>
      </c>
      <c r="I700" s="22" t="s">
        <v>53</v>
      </c>
      <c r="J700" s="22"/>
      <c r="K700" s="22"/>
      <c r="L700" s="22" t="s">
        <v>34</v>
      </c>
      <c r="M700" s="22" t="s">
        <v>34</v>
      </c>
      <c r="N700" s="22" t="s">
        <v>35</v>
      </c>
      <c r="O700" s="22" t="s">
        <v>35</v>
      </c>
      <c r="P700" s="22" t="s">
        <v>35</v>
      </c>
      <c r="Q700" s="22" t="s">
        <v>35</v>
      </c>
      <c r="R700" s="22" t="s">
        <v>35</v>
      </c>
      <c r="S700" s="22" t="s">
        <v>34</v>
      </c>
      <c r="T700" s="22"/>
      <c r="U700" s="22"/>
      <c r="V700" s="22"/>
      <c r="W700" s="22"/>
      <c r="X700" s="22"/>
      <c r="Y700" s="22"/>
      <c r="Z700" s="22"/>
      <c r="AA700" s="22"/>
      <c r="AB700" s="22"/>
      <c r="AC700" s="22" t="s">
        <v>1923</v>
      </c>
      <c r="AD700" s="22">
        <v>20170413</v>
      </c>
      <c r="AE700" s="22">
        <v>699</v>
      </c>
      <c r="AF700" s="22"/>
      <c r="AG700" s="22" t="str">
        <f>IFERROR(VLOOKUP(TblFeedFile[[#This Row],[Leave Type ]],LkupPayType[],2,FALSE),"TBD")</f>
        <v>Paid</v>
      </c>
      <c r="AH700" s="22"/>
      <c r="AI700" s="25"/>
      <c r="AJ700" s="25"/>
      <c r="AK700" s="26"/>
    </row>
    <row r="701" spans="1:37" x14ac:dyDescent="0.25">
      <c r="A701" s="21" t="s">
        <v>37</v>
      </c>
      <c r="B701" s="22">
        <v>314304</v>
      </c>
      <c r="C701" s="22">
        <v>28205173</v>
      </c>
      <c r="D701" s="23">
        <v>251702218925</v>
      </c>
      <c r="E701" s="22" t="s">
        <v>2627</v>
      </c>
      <c r="F701" s="22" t="s">
        <v>2628</v>
      </c>
      <c r="G701" s="22">
        <v>20161118</v>
      </c>
      <c r="H701" s="22">
        <v>20170116</v>
      </c>
      <c r="I701" s="22" t="s">
        <v>53</v>
      </c>
      <c r="J701" s="22"/>
      <c r="K701" s="22"/>
      <c r="L701" s="22" t="s">
        <v>34</v>
      </c>
      <c r="M701" s="22" t="s">
        <v>34</v>
      </c>
      <c r="N701" s="22" t="s">
        <v>35</v>
      </c>
      <c r="O701" s="22" t="s">
        <v>35</v>
      </c>
      <c r="P701" s="22" t="s">
        <v>35</v>
      </c>
      <c r="Q701" s="22" t="s">
        <v>35</v>
      </c>
      <c r="R701" s="22" t="s">
        <v>35</v>
      </c>
      <c r="S701" s="22" t="s">
        <v>34</v>
      </c>
      <c r="T701" s="22"/>
      <c r="U701" s="22"/>
      <c r="V701" s="22"/>
      <c r="W701" s="22"/>
      <c r="X701" s="22"/>
      <c r="Y701" s="22"/>
      <c r="Z701" s="22"/>
      <c r="AA701" s="22"/>
      <c r="AB701" s="22"/>
      <c r="AC701" s="22" t="s">
        <v>1923</v>
      </c>
      <c r="AD701" s="22">
        <v>20170413</v>
      </c>
      <c r="AE701" s="22">
        <v>700</v>
      </c>
      <c r="AF701" s="22"/>
      <c r="AG701" s="22" t="str">
        <f>IFERROR(VLOOKUP(TblFeedFile[[#This Row],[Leave Type ]],LkupPayType[],2,FALSE),"TBD")</f>
        <v>Paid</v>
      </c>
      <c r="AH701" s="22"/>
      <c r="AI701" s="25"/>
      <c r="AJ701" s="25"/>
      <c r="AK701" s="26"/>
    </row>
    <row r="702" spans="1:37" x14ac:dyDescent="0.25">
      <c r="A702" s="21" t="s">
        <v>37</v>
      </c>
      <c r="B702" s="22">
        <v>314304</v>
      </c>
      <c r="C702" s="22">
        <v>28233495</v>
      </c>
      <c r="D702" s="23">
        <v>571702238847</v>
      </c>
      <c r="E702" s="22" t="s">
        <v>2629</v>
      </c>
      <c r="F702" s="22" t="s">
        <v>2630</v>
      </c>
      <c r="G702" s="22">
        <v>20170307</v>
      </c>
      <c r="H702" s="22">
        <v>20170416</v>
      </c>
      <c r="I702" s="22" t="s">
        <v>40</v>
      </c>
      <c r="J702" s="22"/>
      <c r="K702" s="22"/>
      <c r="L702" s="22" t="s">
        <v>34</v>
      </c>
      <c r="M702" s="22" t="s">
        <v>34</v>
      </c>
      <c r="N702" s="22" t="s">
        <v>35</v>
      </c>
      <c r="O702" s="22" t="s">
        <v>35</v>
      </c>
      <c r="P702" s="22" t="s">
        <v>35</v>
      </c>
      <c r="Q702" s="22" t="s">
        <v>35</v>
      </c>
      <c r="R702" s="22" t="s">
        <v>35</v>
      </c>
      <c r="S702" s="22" t="s">
        <v>34</v>
      </c>
      <c r="T702" s="22">
        <v>20170417</v>
      </c>
      <c r="U702" s="22"/>
      <c r="V702" s="22"/>
      <c r="W702" s="22"/>
      <c r="X702" s="22"/>
      <c r="Y702" s="22"/>
      <c r="Z702" s="22"/>
      <c r="AA702" s="22"/>
      <c r="AB702" s="22"/>
      <c r="AC702" s="22" t="s">
        <v>1904</v>
      </c>
      <c r="AD702" s="22">
        <v>20170413</v>
      </c>
      <c r="AE702" s="22">
        <v>701</v>
      </c>
      <c r="AF702" s="22"/>
      <c r="AG702" s="22" t="str">
        <f>IFERROR(VLOOKUP(TblFeedFile[[#This Row],[Leave Type ]],LkupPayType[],2,FALSE),"TBD")</f>
        <v>Paid</v>
      </c>
      <c r="AH702" s="22"/>
      <c r="AI702" s="25"/>
      <c r="AJ702" s="25"/>
      <c r="AK702" s="26" t="s">
        <v>35</v>
      </c>
    </row>
    <row r="703" spans="1:37" x14ac:dyDescent="0.25">
      <c r="A703" s="21" t="s">
        <v>29</v>
      </c>
      <c r="B703" s="22">
        <v>314304</v>
      </c>
      <c r="C703" s="22">
        <v>28247628</v>
      </c>
      <c r="D703" s="23" t="s">
        <v>2631</v>
      </c>
      <c r="E703" s="22" t="s">
        <v>539</v>
      </c>
      <c r="F703" s="22" t="s">
        <v>2632</v>
      </c>
      <c r="G703" s="22">
        <v>20170203</v>
      </c>
      <c r="H703" s="22">
        <v>20170203</v>
      </c>
      <c r="I703" s="22" t="s">
        <v>33</v>
      </c>
      <c r="J703" s="22"/>
      <c r="K703" s="22"/>
      <c r="L703" s="22" t="s">
        <v>34</v>
      </c>
      <c r="M703" s="22" t="s">
        <v>34</v>
      </c>
      <c r="N703" s="22" t="s">
        <v>35</v>
      </c>
      <c r="O703" s="22" t="s">
        <v>35</v>
      </c>
      <c r="P703" s="22" t="s">
        <v>35</v>
      </c>
      <c r="Q703" s="22" t="s">
        <v>35</v>
      </c>
      <c r="R703" s="22" t="s">
        <v>35</v>
      </c>
      <c r="S703" s="22" t="s">
        <v>34</v>
      </c>
      <c r="T703" s="22"/>
      <c r="U703" s="22"/>
      <c r="V703" s="22"/>
      <c r="W703" s="22"/>
      <c r="X703" s="22"/>
      <c r="Y703" s="22"/>
      <c r="Z703" s="22"/>
      <c r="AA703" s="22"/>
      <c r="AB703" s="22"/>
      <c r="AC703" s="22" t="s">
        <v>1998</v>
      </c>
      <c r="AD703" s="22">
        <v>20170413</v>
      </c>
      <c r="AE703" s="22">
        <v>702</v>
      </c>
      <c r="AF703" s="22"/>
      <c r="AG703" s="22" t="str">
        <f>IFERROR(VLOOKUP(TblFeedFile[[#This Row],[Leave Type ]],LkupPayType[],2,FALSE),"TBD")</f>
        <v>Closed</v>
      </c>
      <c r="AH703" s="22"/>
      <c r="AI703" s="25"/>
      <c r="AJ703" s="25"/>
      <c r="AK703" s="26"/>
    </row>
    <row r="704" spans="1:37" x14ac:dyDescent="0.25">
      <c r="A704" s="21" t="s">
        <v>29</v>
      </c>
      <c r="B704" s="22">
        <v>314304</v>
      </c>
      <c r="C704" s="22">
        <v>28247628</v>
      </c>
      <c r="D704" s="23" t="s">
        <v>2633</v>
      </c>
      <c r="E704" s="22" t="s">
        <v>539</v>
      </c>
      <c r="F704" s="22" t="s">
        <v>2632</v>
      </c>
      <c r="G704" s="22">
        <v>20160622</v>
      </c>
      <c r="H704" s="22">
        <v>20160622</v>
      </c>
      <c r="I704" s="22" t="s">
        <v>33</v>
      </c>
      <c r="J704" s="22"/>
      <c r="K704" s="22"/>
      <c r="L704" s="22" t="s">
        <v>34</v>
      </c>
      <c r="M704" s="22" t="s">
        <v>34</v>
      </c>
      <c r="N704" s="22" t="s">
        <v>35</v>
      </c>
      <c r="O704" s="22" t="s">
        <v>35</v>
      </c>
      <c r="P704" s="22" t="s">
        <v>35</v>
      </c>
      <c r="Q704" s="22" t="s">
        <v>35</v>
      </c>
      <c r="R704" s="22" t="s">
        <v>35</v>
      </c>
      <c r="S704" s="22" t="s">
        <v>34</v>
      </c>
      <c r="T704" s="22"/>
      <c r="U704" s="22"/>
      <c r="V704" s="22"/>
      <c r="W704" s="22"/>
      <c r="X704" s="22"/>
      <c r="Y704" s="22"/>
      <c r="Z704" s="22"/>
      <c r="AA704" s="22"/>
      <c r="AB704" s="22"/>
      <c r="AC704" s="22" t="s">
        <v>1998</v>
      </c>
      <c r="AD704" s="22">
        <v>20170413</v>
      </c>
      <c r="AE704" s="22">
        <v>703</v>
      </c>
      <c r="AF704" s="22"/>
      <c r="AG704" s="22" t="str">
        <f>IFERROR(VLOOKUP(TblFeedFile[[#This Row],[Leave Type ]],LkupPayType[],2,FALSE),"TBD")</f>
        <v>Closed</v>
      </c>
      <c r="AH704" s="22"/>
      <c r="AI704" s="25"/>
      <c r="AJ704" s="25"/>
      <c r="AK704" s="26"/>
    </row>
    <row r="705" spans="1:37" x14ac:dyDescent="0.25">
      <c r="A705" s="21" t="s">
        <v>29</v>
      </c>
      <c r="B705" s="22">
        <v>314304</v>
      </c>
      <c r="C705" s="22">
        <v>28247628</v>
      </c>
      <c r="D705" s="23">
        <v>291703018269</v>
      </c>
      <c r="E705" s="22" t="s">
        <v>539</v>
      </c>
      <c r="F705" s="22" t="s">
        <v>2632</v>
      </c>
      <c r="G705" s="22">
        <v>20160318</v>
      </c>
      <c r="H705" s="22">
        <v>20160621</v>
      </c>
      <c r="I705" s="22" t="s">
        <v>53</v>
      </c>
      <c r="J705" s="22"/>
      <c r="K705" s="22"/>
      <c r="L705" s="22" t="s">
        <v>34</v>
      </c>
      <c r="M705" s="22" t="s">
        <v>34</v>
      </c>
      <c r="N705" s="22" t="s">
        <v>35</v>
      </c>
      <c r="O705" s="22" t="s">
        <v>35</v>
      </c>
      <c r="P705" s="22" t="s">
        <v>35</v>
      </c>
      <c r="Q705" s="22" t="s">
        <v>35</v>
      </c>
      <c r="R705" s="22" t="s">
        <v>35</v>
      </c>
      <c r="S705" s="22" t="s">
        <v>34</v>
      </c>
      <c r="T705" s="22"/>
      <c r="U705" s="22"/>
      <c r="V705" s="22"/>
      <c r="W705" s="22"/>
      <c r="X705" s="22"/>
      <c r="Y705" s="22"/>
      <c r="Z705" s="22"/>
      <c r="AA705" s="22"/>
      <c r="AB705" s="22"/>
      <c r="AC705" s="22" t="s">
        <v>1921</v>
      </c>
      <c r="AD705" s="22">
        <v>20170413</v>
      </c>
      <c r="AE705" s="22">
        <v>704</v>
      </c>
      <c r="AF705" s="22"/>
      <c r="AG705" s="22" t="str">
        <f>IFERROR(VLOOKUP(TblFeedFile[[#This Row],[Leave Type ]],LkupPayType[],2,FALSE),"TBD")</f>
        <v>Paid</v>
      </c>
      <c r="AH705" s="22"/>
      <c r="AI705" s="25"/>
      <c r="AJ705" s="25"/>
      <c r="AK705" s="26"/>
    </row>
    <row r="706" spans="1:37" x14ac:dyDescent="0.25">
      <c r="A706" s="21" t="s">
        <v>37</v>
      </c>
      <c r="B706" s="22">
        <v>314304</v>
      </c>
      <c r="C706" s="22">
        <v>28247628</v>
      </c>
      <c r="D706" s="23">
        <v>291703018269</v>
      </c>
      <c r="E706" s="22" t="s">
        <v>539</v>
      </c>
      <c r="F706" s="22" t="s">
        <v>2632</v>
      </c>
      <c r="G706" s="22">
        <v>20160318</v>
      </c>
      <c r="H706" s="22">
        <v>20170331</v>
      </c>
      <c r="I706" s="22" t="s">
        <v>53</v>
      </c>
      <c r="J706" s="22"/>
      <c r="K706" s="22"/>
      <c r="L706" s="22" t="s">
        <v>34</v>
      </c>
      <c r="M706" s="22" t="s">
        <v>34</v>
      </c>
      <c r="N706" s="22" t="s">
        <v>35</v>
      </c>
      <c r="O706" s="22" t="s">
        <v>35</v>
      </c>
      <c r="P706" s="22" t="s">
        <v>35</v>
      </c>
      <c r="Q706" s="22" t="s">
        <v>35</v>
      </c>
      <c r="R706" s="22" t="s">
        <v>35</v>
      </c>
      <c r="S706" s="22" t="s">
        <v>34</v>
      </c>
      <c r="T706" s="22"/>
      <c r="U706" s="22"/>
      <c r="V706" s="22"/>
      <c r="W706" s="22"/>
      <c r="X706" s="22"/>
      <c r="Y706" s="22"/>
      <c r="Z706" s="22"/>
      <c r="AA706" s="22"/>
      <c r="AB706" s="22"/>
      <c r="AC706" s="22" t="s">
        <v>1921</v>
      </c>
      <c r="AD706" s="22">
        <v>20170413</v>
      </c>
      <c r="AE706" s="22">
        <v>705</v>
      </c>
      <c r="AF706" s="22"/>
      <c r="AG706" s="22" t="str">
        <f>IFERROR(VLOOKUP(TblFeedFile[[#This Row],[Leave Type ]],LkupPayType[],2,FALSE),"TBD")</f>
        <v>Paid</v>
      </c>
      <c r="AH706" s="22"/>
      <c r="AI706" s="25" t="s">
        <v>35</v>
      </c>
      <c r="AJ706" s="25"/>
      <c r="AK706" s="26"/>
    </row>
    <row r="707" spans="1:37" x14ac:dyDescent="0.25">
      <c r="A707" s="21" t="s">
        <v>37</v>
      </c>
      <c r="B707" s="22">
        <v>314304</v>
      </c>
      <c r="C707" s="22">
        <v>28247628</v>
      </c>
      <c r="D707" s="23" t="s">
        <v>2631</v>
      </c>
      <c r="E707" s="22" t="s">
        <v>539</v>
      </c>
      <c r="F707" s="22" t="s">
        <v>2632</v>
      </c>
      <c r="G707" s="22">
        <v>20160325</v>
      </c>
      <c r="H707" s="22">
        <v>20170331</v>
      </c>
      <c r="I707" s="22" t="s">
        <v>36</v>
      </c>
      <c r="J707" s="22"/>
      <c r="K707" s="22"/>
      <c r="L707" s="22" t="s">
        <v>34</v>
      </c>
      <c r="M707" s="22" t="s">
        <v>34</v>
      </c>
      <c r="N707" s="22" t="s">
        <v>35</v>
      </c>
      <c r="O707" s="22" t="s">
        <v>35</v>
      </c>
      <c r="P707" s="22" t="s">
        <v>35</v>
      </c>
      <c r="Q707" s="22" t="s">
        <v>35</v>
      </c>
      <c r="R707" s="22" t="s">
        <v>35</v>
      </c>
      <c r="S707" s="22" t="s">
        <v>34</v>
      </c>
      <c r="T707" s="22"/>
      <c r="U707" s="22"/>
      <c r="V707" s="22"/>
      <c r="W707" s="22"/>
      <c r="X707" s="22"/>
      <c r="Y707" s="22"/>
      <c r="Z707" s="22"/>
      <c r="AA707" s="22"/>
      <c r="AB707" s="22"/>
      <c r="AC707" s="22" t="s">
        <v>1964</v>
      </c>
      <c r="AD707" s="22">
        <v>20170413</v>
      </c>
      <c r="AE707" s="22">
        <v>706</v>
      </c>
      <c r="AF707" s="22"/>
      <c r="AG707" s="22" t="str">
        <f>IFERROR(VLOOKUP(TblFeedFile[[#This Row],[Leave Type ]],LkupPayType[],2,FALSE),"TBD")</f>
        <v>Unpaid</v>
      </c>
      <c r="AH707" s="22"/>
      <c r="AI707" s="25" t="s">
        <v>35</v>
      </c>
      <c r="AJ707" s="25"/>
      <c r="AK707" s="26"/>
    </row>
    <row r="708" spans="1:37" x14ac:dyDescent="0.25">
      <c r="A708" s="21" t="s">
        <v>37</v>
      </c>
      <c r="B708" s="22">
        <v>314304</v>
      </c>
      <c r="C708" s="22">
        <v>28247628</v>
      </c>
      <c r="D708" s="23" t="s">
        <v>2631</v>
      </c>
      <c r="E708" s="22" t="s">
        <v>539</v>
      </c>
      <c r="F708" s="22" t="s">
        <v>2632</v>
      </c>
      <c r="G708" s="22">
        <v>20161219</v>
      </c>
      <c r="H708" s="22">
        <v>20161219</v>
      </c>
      <c r="I708" s="22" t="s">
        <v>33</v>
      </c>
      <c r="J708" s="22"/>
      <c r="K708" s="22"/>
      <c r="L708" s="22" t="s">
        <v>34</v>
      </c>
      <c r="M708" s="22" t="s">
        <v>34</v>
      </c>
      <c r="N708" s="22" t="s">
        <v>35</v>
      </c>
      <c r="O708" s="22" t="s">
        <v>35</v>
      </c>
      <c r="P708" s="22" t="s">
        <v>35</v>
      </c>
      <c r="Q708" s="22" t="s">
        <v>35</v>
      </c>
      <c r="R708" s="22" t="s">
        <v>35</v>
      </c>
      <c r="S708" s="22" t="s">
        <v>34</v>
      </c>
      <c r="T708" s="22"/>
      <c r="U708" s="22"/>
      <c r="V708" s="22"/>
      <c r="W708" s="22"/>
      <c r="X708" s="22"/>
      <c r="Y708" s="22"/>
      <c r="Z708" s="22"/>
      <c r="AA708" s="22"/>
      <c r="AB708" s="22"/>
      <c r="AC708" s="22" t="s">
        <v>1944</v>
      </c>
      <c r="AD708" s="22">
        <v>20170413</v>
      </c>
      <c r="AE708" s="22">
        <v>707</v>
      </c>
      <c r="AF708" s="22"/>
      <c r="AG708" s="22" t="str">
        <f>IFERROR(VLOOKUP(TblFeedFile[[#This Row],[Leave Type ]],LkupPayType[],2,FALSE),"TBD")</f>
        <v>Closed</v>
      </c>
      <c r="AH708" s="22"/>
      <c r="AI708" s="25"/>
      <c r="AJ708" s="25"/>
      <c r="AK708" s="26"/>
    </row>
    <row r="709" spans="1:37" x14ac:dyDescent="0.25">
      <c r="A709" s="21" t="s">
        <v>37</v>
      </c>
      <c r="B709" s="22">
        <v>314304</v>
      </c>
      <c r="C709" s="22">
        <v>28247628</v>
      </c>
      <c r="D709" s="23" t="s">
        <v>2631</v>
      </c>
      <c r="E709" s="22" t="s">
        <v>539</v>
      </c>
      <c r="F709" s="22" t="s">
        <v>2632</v>
      </c>
      <c r="G709" s="22">
        <v>20170401</v>
      </c>
      <c r="H709" s="22">
        <v>20170401</v>
      </c>
      <c r="I709" s="22" t="s">
        <v>33</v>
      </c>
      <c r="J709" s="22"/>
      <c r="K709" s="22"/>
      <c r="L709" s="22" t="s">
        <v>34</v>
      </c>
      <c r="M709" s="22" t="s">
        <v>34</v>
      </c>
      <c r="N709" s="22" t="s">
        <v>35</v>
      </c>
      <c r="O709" s="22" t="s">
        <v>35</v>
      </c>
      <c r="P709" s="22" t="s">
        <v>35</v>
      </c>
      <c r="Q709" s="22" t="s">
        <v>35</v>
      </c>
      <c r="R709" s="22" t="s">
        <v>35</v>
      </c>
      <c r="S709" s="22" t="s">
        <v>34</v>
      </c>
      <c r="T709" s="22"/>
      <c r="U709" s="22"/>
      <c r="V709" s="22"/>
      <c r="W709" s="22"/>
      <c r="X709" s="22"/>
      <c r="Y709" s="22"/>
      <c r="Z709" s="22"/>
      <c r="AA709" s="22"/>
      <c r="AB709" s="22"/>
      <c r="AC709" s="22" t="s">
        <v>1944</v>
      </c>
      <c r="AD709" s="22">
        <v>20170413</v>
      </c>
      <c r="AE709" s="22">
        <v>708</v>
      </c>
      <c r="AF709" s="22"/>
      <c r="AG709" s="22" t="str">
        <f>IFERROR(VLOOKUP(TblFeedFile[[#This Row],[Leave Type ]],LkupPayType[],2,FALSE),"TBD")</f>
        <v>Closed</v>
      </c>
      <c r="AH709" s="22"/>
      <c r="AI709" s="25"/>
      <c r="AJ709" s="25"/>
      <c r="AK709" s="26"/>
    </row>
    <row r="710" spans="1:37" x14ac:dyDescent="0.25">
      <c r="A710" s="21" t="s">
        <v>29</v>
      </c>
      <c r="B710" s="22">
        <v>314304</v>
      </c>
      <c r="C710" s="22">
        <v>28272594</v>
      </c>
      <c r="D710" s="23" t="s">
        <v>2634</v>
      </c>
      <c r="E710" s="22" t="s">
        <v>606</v>
      </c>
      <c r="F710" s="22" t="s">
        <v>2635</v>
      </c>
      <c r="G710" s="22">
        <v>20170410</v>
      </c>
      <c r="H710" s="22">
        <v>20170509</v>
      </c>
      <c r="I710" s="22" t="s">
        <v>36</v>
      </c>
      <c r="J710" s="22"/>
      <c r="K710" s="22" t="s">
        <v>2050</v>
      </c>
      <c r="L710" s="22" t="s">
        <v>35</v>
      </c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 t="s">
        <v>1912</v>
      </c>
      <c r="AD710" s="22">
        <v>20170413</v>
      </c>
      <c r="AE710" s="22">
        <v>709</v>
      </c>
      <c r="AF710" s="22"/>
      <c r="AG710" s="22" t="str">
        <f>IFERROR(VLOOKUP(TblFeedFile[[#This Row],[Leave Type ]],LkupPayType[],2,FALSE),"TBD")</f>
        <v>Unpaid</v>
      </c>
      <c r="AH710" s="22"/>
      <c r="AI710" s="25"/>
      <c r="AJ710" s="25"/>
      <c r="AK710" s="26"/>
    </row>
    <row r="711" spans="1:37" x14ac:dyDescent="0.25">
      <c r="A711" s="21" t="s">
        <v>37</v>
      </c>
      <c r="B711" s="22">
        <v>314304</v>
      </c>
      <c r="C711" s="22">
        <v>28272594</v>
      </c>
      <c r="D711" s="23" t="s">
        <v>2634</v>
      </c>
      <c r="E711" s="22" t="s">
        <v>606</v>
      </c>
      <c r="F711" s="22" t="s">
        <v>2635</v>
      </c>
      <c r="G711" s="22">
        <v>20170411</v>
      </c>
      <c r="H711" s="22">
        <v>20170523</v>
      </c>
      <c r="I711" s="22" t="s">
        <v>156</v>
      </c>
      <c r="J711" s="22"/>
      <c r="K711" s="22"/>
      <c r="L711" s="22" t="s">
        <v>35</v>
      </c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 t="s">
        <v>1936</v>
      </c>
      <c r="AD711" s="22">
        <v>20170413</v>
      </c>
      <c r="AE711" s="22">
        <v>710</v>
      </c>
      <c r="AF711" s="22"/>
      <c r="AG711" s="22" t="str">
        <f>IFERROR(VLOOKUP(TblFeedFile[[#This Row],[Leave Type ]],LkupPayType[],2,FALSE),"TBD")</f>
        <v>Unpaid</v>
      </c>
      <c r="AH711" s="22"/>
      <c r="AI711" s="25"/>
      <c r="AJ711" s="25"/>
      <c r="AK711" s="26"/>
    </row>
    <row r="712" spans="1:37" x14ac:dyDescent="0.25">
      <c r="A712" s="21" t="s">
        <v>37</v>
      </c>
      <c r="B712" s="22">
        <v>314304</v>
      </c>
      <c r="C712" s="22">
        <v>28272594</v>
      </c>
      <c r="D712" s="23">
        <v>571704058297</v>
      </c>
      <c r="E712" s="22" t="s">
        <v>606</v>
      </c>
      <c r="F712" s="22" t="s">
        <v>2635</v>
      </c>
      <c r="G712" s="22">
        <v>20170411</v>
      </c>
      <c r="H712" s="22">
        <v>20170523</v>
      </c>
      <c r="I712" s="22" t="s">
        <v>53</v>
      </c>
      <c r="J712" s="22"/>
      <c r="K712" s="22"/>
      <c r="L712" s="22" t="s">
        <v>35</v>
      </c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 t="s">
        <v>1912</v>
      </c>
      <c r="AD712" s="22">
        <v>20170413</v>
      </c>
      <c r="AE712" s="22">
        <v>711</v>
      </c>
      <c r="AF712" s="22"/>
      <c r="AG712" s="22" t="str">
        <f>IFERROR(VLOOKUP(TblFeedFile[[#This Row],[Leave Type ]],LkupPayType[],2,FALSE),"TBD")</f>
        <v>Paid</v>
      </c>
      <c r="AH712" s="22"/>
      <c r="AI712" s="25"/>
      <c r="AJ712" s="25"/>
      <c r="AK712" s="26"/>
    </row>
    <row r="713" spans="1:37" x14ac:dyDescent="0.25">
      <c r="A713" s="21" t="s">
        <v>37</v>
      </c>
      <c r="B713" s="22">
        <v>314301</v>
      </c>
      <c r="C713" s="22">
        <v>28290645</v>
      </c>
      <c r="D713" s="23" t="s">
        <v>2636</v>
      </c>
      <c r="E713" s="22" t="s">
        <v>892</v>
      </c>
      <c r="F713" s="22" t="s">
        <v>2637</v>
      </c>
      <c r="G713" s="22">
        <v>20170413</v>
      </c>
      <c r="H713" s="22">
        <v>20170413</v>
      </c>
      <c r="I713" s="22" t="s">
        <v>33</v>
      </c>
      <c r="J713" s="22"/>
      <c r="K713" s="22"/>
      <c r="L713" s="22" t="s">
        <v>34</v>
      </c>
      <c r="M713" s="22" t="s">
        <v>34</v>
      </c>
      <c r="N713" s="22" t="s">
        <v>35</v>
      </c>
      <c r="O713" s="22" t="s">
        <v>35</v>
      </c>
      <c r="P713" s="22" t="s">
        <v>35</v>
      </c>
      <c r="Q713" s="22" t="s">
        <v>35</v>
      </c>
      <c r="R713" s="22" t="s">
        <v>35</v>
      </c>
      <c r="S713" s="22" t="s">
        <v>34</v>
      </c>
      <c r="T713" s="22"/>
      <c r="U713" s="22"/>
      <c r="V713" s="22"/>
      <c r="W713" s="22"/>
      <c r="X713" s="22"/>
      <c r="Y713" s="22"/>
      <c r="Z713" s="22"/>
      <c r="AA713" s="22"/>
      <c r="AB713" s="22"/>
      <c r="AC713" s="22" t="s">
        <v>1944</v>
      </c>
      <c r="AD713" s="22">
        <v>20170413</v>
      </c>
      <c r="AE713" s="22">
        <v>712</v>
      </c>
      <c r="AF713" s="22"/>
      <c r="AG713" s="22" t="str">
        <f>IFERROR(VLOOKUP(TblFeedFile[[#This Row],[Leave Type ]],LkupPayType[],2,FALSE),"TBD")</f>
        <v>Closed</v>
      </c>
      <c r="AH713" s="22"/>
      <c r="AI713" s="25"/>
      <c r="AJ713" s="25"/>
      <c r="AK713" s="26"/>
    </row>
    <row r="714" spans="1:37" x14ac:dyDescent="0.25">
      <c r="A714" s="21" t="s">
        <v>29</v>
      </c>
      <c r="B714" s="22">
        <v>314304</v>
      </c>
      <c r="C714" s="22">
        <v>28324549</v>
      </c>
      <c r="D714" s="23" t="s">
        <v>2638</v>
      </c>
      <c r="E714" s="22" t="s">
        <v>2639</v>
      </c>
      <c r="F714" s="22" t="s">
        <v>2640</v>
      </c>
      <c r="G714" s="22">
        <v>20170410</v>
      </c>
      <c r="H714" s="22">
        <v>20170410</v>
      </c>
      <c r="I714" s="22" t="s">
        <v>33</v>
      </c>
      <c r="J714" s="22"/>
      <c r="K714" s="22"/>
      <c r="L714" s="22" t="s">
        <v>34</v>
      </c>
      <c r="M714" s="22" t="s">
        <v>34</v>
      </c>
      <c r="N714" s="22" t="s">
        <v>35</v>
      </c>
      <c r="O714" s="22" t="s">
        <v>35</v>
      </c>
      <c r="P714" s="22" t="s">
        <v>35</v>
      </c>
      <c r="Q714" s="22" t="s">
        <v>35</v>
      </c>
      <c r="R714" s="22" t="s">
        <v>35</v>
      </c>
      <c r="S714" s="22" t="s">
        <v>34</v>
      </c>
      <c r="T714" s="22"/>
      <c r="U714" s="22"/>
      <c r="V714" s="22"/>
      <c r="W714" s="22"/>
      <c r="X714" s="22"/>
      <c r="Y714" s="22"/>
      <c r="Z714" s="22"/>
      <c r="AA714" s="22"/>
      <c r="AB714" s="22"/>
      <c r="AC714" s="22" t="s">
        <v>1949</v>
      </c>
      <c r="AD714" s="22">
        <v>20170413</v>
      </c>
      <c r="AE714" s="22">
        <v>713</v>
      </c>
      <c r="AF714" s="22"/>
      <c r="AG714" s="22" t="str">
        <f>IFERROR(VLOOKUP(TblFeedFile[[#This Row],[Leave Type ]],LkupPayType[],2,FALSE),"TBD")</f>
        <v>Closed</v>
      </c>
      <c r="AH714" s="22"/>
      <c r="AI714" s="25"/>
      <c r="AJ714" s="25"/>
      <c r="AK714" s="26"/>
    </row>
    <row r="715" spans="1:37" x14ac:dyDescent="0.25">
      <c r="A715" s="21" t="s">
        <v>29</v>
      </c>
      <c r="B715" s="22">
        <v>314304</v>
      </c>
      <c r="C715" s="22">
        <v>28324549</v>
      </c>
      <c r="D715" s="23">
        <v>541704038634</v>
      </c>
      <c r="E715" s="22" t="s">
        <v>2639</v>
      </c>
      <c r="F715" s="22" t="s">
        <v>2640</v>
      </c>
      <c r="G715" s="22">
        <v>20170331</v>
      </c>
      <c r="H715" s="22">
        <v>20170503</v>
      </c>
      <c r="I715" s="22" t="s">
        <v>40</v>
      </c>
      <c r="J715" s="22"/>
      <c r="K715" s="22"/>
      <c r="L715" s="22" t="s">
        <v>34</v>
      </c>
      <c r="M715" s="22" t="s">
        <v>34</v>
      </c>
      <c r="N715" s="22" t="s">
        <v>35</v>
      </c>
      <c r="O715" s="22" t="s">
        <v>35</v>
      </c>
      <c r="P715" s="22" t="s">
        <v>35</v>
      </c>
      <c r="Q715" s="22" t="s">
        <v>35</v>
      </c>
      <c r="R715" s="22" t="s">
        <v>35</v>
      </c>
      <c r="S715" s="22" t="s">
        <v>34</v>
      </c>
      <c r="T715" s="22">
        <v>20170412</v>
      </c>
      <c r="U715" s="22"/>
      <c r="V715" s="22"/>
      <c r="W715" s="22"/>
      <c r="X715" s="22"/>
      <c r="Y715" s="22"/>
      <c r="Z715" s="22"/>
      <c r="AA715" s="22"/>
      <c r="AB715" s="22"/>
      <c r="AC715" s="22" t="s">
        <v>1951</v>
      </c>
      <c r="AD715" s="22">
        <v>20170413</v>
      </c>
      <c r="AE715" s="22">
        <v>714</v>
      </c>
      <c r="AF715" s="22"/>
      <c r="AG715" s="22" t="str">
        <f>IFERROR(VLOOKUP(TblFeedFile[[#This Row],[Leave Type ]],LkupPayType[],2,FALSE),"TBD")</f>
        <v>Paid</v>
      </c>
      <c r="AH715" s="22"/>
      <c r="AI715" s="25"/>
      <c r="AJ715" s="25"/>
      <c r="AK715" s="26"/>
    </row>
    <row r="716" spans="1:37" x14ac:dyDescent="0.25">
      <c r="A716" s="21" t="s">
        <v>37</v>
      </c>
      <c r="B716" s="22">
        <v>314304</v>
      </c>
      <c r="C716" s="22">
        <v>28324549</v>
      </c>
      <c r="D716" s="23">
        <v>541704038634</v>
      </c>
      <c r="E716" s="22" t="s">
        <v>2639</v>
      </c>
      <c r="F716" s="22" t="s">
        <v>2640</v>
      </c>
      <c r="G716" s="22">
        <v>20170331</v>
      </c>
      <c r="H716" s="22">
        <v>20170503</v>
      </c>
      <c r="I716" s="22" t="s">
        <v>40</v>
      </c>
      <c r="J716" s="22"/>
      <c r="K716" s="22"/>
      <c r="L716" s="22" t="s">
        <v>34</v>
      </c>
      <c r="M716" s="22" t="s">
        <v>34</v>
      </c>
      <c r="N716" s="22" t="s">
        <v>35</v>
      </c>
      <c r="O716" s="22" t="s">
        <v>35</v>
      </c>
      <c r="P716" s="22" t="s">
        <v>35</v>
      </c>
      <c r="Q716" s="22" t="s">
        <v>35</v>
      </c>
      <c r="R716" s="22" t="s">
        <v>35</v>
      </c>
      <c r="S716" s="22" t="s">
        <v>34</v>
      </c>
      <c r="T716" s="22">
        <v>20170410</v>
      </c>
      <c r="U716" s="22"/>
      <c r="V716" s="22"/>
      <c r="W716" s="22"/>
      <c r="X716" s="22"/>
      <c r="Y716" s="22"/>
      <c r="Z716" s="22"/>
      <c r="AA716" s="22"/>
      <c r="AB716" s="22"/>
      <c r="AC716" s="22" t="s">
        <v>1951</v>
      </c>
      <c r="AD716" s="22">
        <v>20170413</v>
      </c>
      <c r="AE716" s="22">
        <v>715</v>
      </c>
      <c r="AF716" s="22"/>
      <c r="AG716" s="22" t="str">
        <f>IFERROR(VLOOKUP(TblFeedFile[[#This Row],[Leave Type ]],LkupPayType[],2,FALSE),"TBD")</f>
        <v>Paid</v>
      </c>
      <c r="AH716" s="22"/>
      <c r="AI716" s="25" t="s">
        <v>35</v>
      </c>
      <c r="AJ716" s="25"/>
      <c r="AK716" s="26" t="s">
        <v>35</v>
      </c>
    </row>
    <row r="717" spans="1:37" x14ac:dyDescent="0.25">
      <c r="A717" s="21" t="s">
        <v>29</v>
      </c>
      <c r="B717" s="22">
        <v>314301</v>
      </c>
      <c r="C717" s="22">
        <v>28328199</v>
      </c>
      <c r="D717" s="23">
        <v>551702238875</v>
      </c>
      <c r="E717" s="22" t="s">
        <v>1363</v>
      </c>
      <c r="F717" s="22" t="s">
        <v>2641</v>
      </c>
      <c r="G717" s="22">
        <v>20170223</v>
      </c>
      <c r="H717" s="22">
        <v>20170412</v>
      </c>
      <c r="I717" s="22" t="s">
        <v>40</v>
      </c>
      <c r="J717" s="22"/>
      <c r="K717" s="22"/>
      <c r="L717" s="22" t="s">
        <v>34</v>
      </c>
      <c r="M717" s="22" t="s">
        <v>34</v>
      </c>
      <c r="N717" s="22" t="s">
        <v>35</v>
      </c>
      <c r="O717" s="22" t="s">
        <v>35</v>
      </c>
      <c r="P717" s="22" t="s">
        <v>35</v>
      </c>
      <c r="Q717" s="22" t="s">
        <v>35</v>
      </c>
      <c r="R717" s="22" t="s">
        <v>35</v>
      </c>
      <c r="S717" s="22" t="s">
        <v>34</v>
      </c>
      <c r="T717" s="22">
        <v>20170413</v>
      </c>
      <c r="U717" s="22"/>
      <c r="V717" s="22"/>
      <c r="W717" s="22"/>
      <c r="X717" s="22"/>
      <c r="Y717" s="22"/>
      <c r="Z717" s="22"/>
      <c r="AA717" s="22"/>
      <c r="AB717" s="22"/>
      <c r="AC717" s="22" t="s">
        <v>1914</v>
      </c>
      <c r="AD717" s="22">
        <v>20170413</v>
      </c>
      <c r="AE717" s="22">
        <v>716</v>
      </c>
      <c r="AF717" s="22"/>
      <c r="AG717" s="22" t="str">
        <f>IFERROR(VLOOKUP(TblFeedFile[[#This Row],[Leave Type ]],LkupPayType[],2,FALSE),"TBD")</f>
        <v>Paid</v>
      </c>
      <c r="AH717" s="22"/>
      <c r="AI717" s="25"/>
      <c r="AJ717" s="25"/>
      <c r="AK717" s="26"/>
    </row>
    <row r="718" spans="1:37" x14ac:dyDescent="0.25">
      <c r="A718" s="21" t="s">
        <v>37</v>
      </c>
      <c r="B718" s="22">
        <v>314301</v>
      </c>
      <c r="C718" s="22">
        <v>28328199</v>
      </c>
      <c r="D718" s="23">
        <v>551702238875</v>
      </c>
      <c r="E718" s="22" t="s">
        <v>1363</v>
      </c>
      <c r="F718" s="22" t="s">
        <v>2641</v>
      </c>
      <c r="G718" s="22">
        <v>20170223</v>
      </c>
      <c r="H718" s="22">
        <v>20170510</v>
      </c>
      <c r="I718" s="22" t="s">
        <v>40</v>
      </c>
      <c r="J718" s="22"/>
      <c r="K718" s="22"/>
      <c r="L718" s="22" t="s">
        <v>34</v>
      </c>
      <c r="M718" s="22" t="s">
        <v>34</v>
      </c>
      <c r="N718" s="22" t="s">
        <v>35</v>
      </c>
      <c r="O718" s="22" t="s">
        <v>35</v>
      </c>
      <c r="P718" s="22" t="s">
        <v>35</v>
      </c>
      <c r="Q718" s="22" t="s">
        <v>35</v>
      </c>
      <c r="R718" s="22" t="s">
        <v>35</v>
      </c>
      <c r="S718" s="22" t="s">
        <v>34</v>
      </c>
      <c r="T718" s="22"/>
      <c r="U718" s="22"/>
      <c r="V718" s="22"/>
      <c r="W718" s="22"/>
      <c r="X718" s="22"/>
      <c r="Y718" s="22"/>
      <c r="Z718" s="22"/>
      <c r="AA718" s="22"/>
      <c r="AB718" s="22"/>
      <c r="AC718" s="22" t="s">
        <v>1951</v>
      </c>
      <c r="AD718" s="22">
        <v>20170413</v>
      </c>
      <c r="AE718" s="22">
        <v>717</v>
      </c>
      <c r="AF718" s="22"/>
      <c r="AG718" s="22" t="str">
        <f>IFERROR(VLOOKUP(TblFeedFile[[#This Row],[Leave Type ]],LkupPayType[],2,FALSE),"TBD")</f>
        <v>Paid</v>
      </c>
      <c r="AH718" s="22"/>
      <c r="AI718" s="25"/>
      <c r="AJ718" s="25"/>
      <c r="AK718" s="26"/>
    </row>
    <row r="719" spans="1:37" x14ac:dyDescent="0.25">
      <c r="A719" s="21" t="s">
        <v>37</v>
      </c>
      <c r="B719" s="22">
        <v>314301</v>
      </c>
      <c r="C719" s="22">
        <v>28328199</v>
      </c>
      <c r="D719" s="23">
        <v>551702238875</v>
      </c>
      <c r="E719" s="22" t="s">
        <v>1363</v>
      </c>
      <c r="F719" s="22" t="s">
        <v>2641</v>
      </c>
      <c r="G719" s="22">
        <v>20170413</v>
      </c>
      <c r="H719" s="22">
        <v>20170510</v>
      </c>
      <c r="I719" s="22" t="s">
        <v>432</v>
      </c>
      <c r="J719" s="22"/>
      <c r="K719" s="22"/>
      <c r="L719" s="22" t="s">
        <v>34</v>
      </c>
      <c r="M719" s="22" t="s">
        <v>34</v>
      </c>
      <c r="N719" s="22" t="s">
        <v>35</v>
      </c>
      <c r="O719" s="22" t="s">
        <v>35</v>
      </c>
      <c r="P719" s="22" t="s">
        <v>35</v>
      </c>
      <c r="Q719" s="22" t="s">
        <v>35</v>
      </c>
      <c r="R719" s="22" t="s">
        <v>35</v>
      </c>
      <c r="S719" s="22" t="s">
        <v>34</v>
      </c>
      <c r="T719" s="22"/>
      <c r="U719" s="22"/>
      <c r="V719" s="22"/>
      <c r="W719" s="22"/>
      <c r="X719" s="22"/>
      <c r="Y719" s="22"/>
      <c r="Z719" s="22"/>
      <c r="AA719" s="22"/>
      <c r="AB719" s="22"/>
      <c r="AC719" s="22" t="s">
        <v>1922</v>
      </c>
      <c r="AD719" s="22">
        <v>20170413</v>
      </c>
      <c r="AE719" s="22">
        <v>718</v>
      </c>
      <c r="AF719" s="22"/>
      <c r="AG719" s="22" t="str">
        <f>IFERROR(VLOOKUP(TblFeedFile[[#This Row],[Leave Type ]],LkupPayType[],2,FALSE),"TBD")</f>
        <v>Paid</v>
      </c>
      <c r="AH719" s="22"/>
      <c r="AI719" s="25"/>
      <c r="AJ719" s="25"/>
      <c r="AK719" s="26"/>
    </row>
    <row r="720" spans="1:37" x14ac:dyDescent="0.25">
      <c r="A720" s="21" t="s">
        <v>29</v>
      </c>
      <c r="B720" s="22">
        <v>314304</v>
      </c>
      <c r="C720" s="22">
        <v>28341272</v>
      </c>
      <c r="D720" s="23" t="s">
        <v>2053</v>
      </c>
      <c r="E720" s="22" t="s">
        <v>331</v>
      </c>
      <c r="F720" s="22" t="s">
        <v>1587</v>
      </c>
      <c r="G720" s="22">
        <v>20170411</v>
      </c>
      <c r="H720" s="22">
        <v>20170411</v>
      </c>
      <c r="I720" s="22" t="s">
        <v>33</v>
      </c>
      <c r="J720" s="22"/>
      <c r="K720" s="22"/>
      <c r="L720" s="22" t="s">
        <v>34</v>
      </c>
      <c r="M720" s="22" t="s">
        <v>34</v>
      </c>
      <c r="N720" s="22" t="s">
        <v>35</v>
      </c>
      <c r="O720" s="22" t="s">
        <v>35</v>
      </c>
      <c r="P720" s="22" t="s">
        <v>35</v>
      </c>
      <c r="Q720" s="22" t="s">
        <v>35</v>
      </c>
      <c r="R720" s="22" t="s">
        <v>35</v>
      </c>
      <c r="S720" s="22" t="s">
        <v>34</v>
      </c>
      <c r="T720" s="22"/>
      <c r="U720" s="22"/>
      <c r="V720" s="22"/>
      <c r="W720" s="22"/>
      <c r="X720" s="22"/>
      <c r="Y720" s="22"/>
      <c r="Z720" s="22"/>
      <c r="AA720" s="22"/>
      <c r="AB720" s="22"/>
      <c r="AC720" s="22" t="s">
        <v>1929</v>
      </c>
      <c r="AD720" s="22">
        <v>20170413</v>
      </c>
      <c r="AE720" s="22">
        <v>719</v>
      </c>
      <c r="AF720" s="22"/>
      <c r="AG720" s="22" t="str">
        <f>IFERROR(VLOOKUP(TblFeedFile[[#This Row],[Leave Type ]],LkupPayType[],2,FALSE),"TBD")</f>
        <v>Closed</v>
      </c>
      <c r="AH720" s="22"/>
      <c r="AI720" s="25"/>
      <c r="AJ720" s="25"/>
      <c r="AK720" s="26"/>
    </row>
    <row r="721" spans="1:37" x14ac:dyDescent="0.25">
      <c r="A721" s="21" t="s">
        <v>29</v>
      </c>
      <c r="B721" s="22">
        <v>314304</v>
      </c>
      <c r="C721" s="22">
        <v>28341272</v>
      </c>
      <c r="D721" s="23" t="s">
        <v>2053</v>
      </c>
      <c r="E721" s="22" t="s">
        <v>331</v>
      </c>
      <c r="F721" s="22" t="s">
        <v>1587</v>
      </c>
      <c r="G721" s="22">
        <v>20170411</v>
      </c>
      <c r="H721" s="22">
        <v>20170411</v>
      </c>
      <c r="I721" s="22" t="s">
        <v>33</v>
      </c>
      <c r="J721" s="22"/>
      <c r="K721" s="22"/>
      <c r="L721" s="22" t="s">
        <v>34</v>
      </c>
      <c r="M721" s="22" t="s">
        <v>34</v>
      </c>
      <c r="N721" s="22" t="s">
        <v>35</v>
      </c>
      <c r="O721" s="22" t="s">
        <v>35</v>
      </c>
      <c r="P721" s="22" t="s">
        <v>35</v>
      </c>
      <c r="Q721" s="22" t="s">
        <v>35</v>
      </c>
      <c r="R721" s="22" t="s">
        <v>35</v>
      </c>
      <c r="S721" s="22" t="s">
        <v>34</v>
      </c>
      <c r="T721" s="22"/>
      <c r="U721" s="22"/>
      <c r="V721" s="22"/>
      <c r="W721" s="22"/>
      <c r="X721" s="22"/>
      <c r="Y721" s="22"/>
      <c r="Z721" s="22"/>
      <c r="AA721" s="22"/>
      <c r="AB721" s="22"/>
      <c r="AC721" s="22" t="s">
        <v>1929</v>
      </c>
      <c r="AD721" s="22">
        <v>20170413</v>
      </c>
      <c r="AE721" s="22">
        <v>720</v>
      </c>
      <c r="AF721" s="22"/>
      <c r="AG721" s="22" t="str">
        <f>IFERROR(VLOOKUP(TblFeedFile[[#This Row],[Leave Type ]],LkupPayType[],2,FALSE),"TBD")</f>
        <v>Closed</v>
      </c>
      <c r="AH721" s="22"/>
      <c r="AI721" s="25"/>
      <c r="AJ721" s="25"/>
      <c r="AK721" s="26"/>
    </row>
    <row r="722" spans="1:37" x14ac:dyDescent="0.25">
      <c r="A722" s="21" t="s">
        <v>29</v>
      </c>
      <c r="B722" s="22">
        <v>314304</v>
      </c>
      <c r="C722" s="22">
        <v>28341272</v>
      </c>
      <c r="D722" s="23" t="s">
        <v>2053</v>
      </c>
      <c r="E722" s="22" t="s">
        <v>331</v>
      </c>
      <c r="F722" s="22" t="s">
        <v>1587</v>
      </c>
      <c r="G722" s="22">
        <v>20170117</v>
      </c>
      <c r="H722" s="22">
        <v>20170410</v>
      </c>
      <c r="I722" s="22" t="s">
        <v>36</v>
      </c>
      <c r="J722" s="22"/>
      <c r="K722" s="22"/>
      <c r="L722" s="22" t="s">
        <v>34</v>
      </c>
      <c r="M722" s="22" t="s">
        <v>34</v>
      </c>
      <c r="N722" s="22" t="s">
        <v>35</v>
      </c>
      <c r="O722" s="22" t="s">
        <v>35</v>
      </c>
      <c r="P722" s="22" t="s">
        <v>35</v>
      </c>
      <c r="Q722" s="22" t="s">
        <v>35</v>
      </c>
      <c r="R722" s="22" t="s">
        <v>35</v>
      </c>
      <c r="S722" s="22" t="s">
        <v>34</v>
      </c>
      <c r="T722" s="22"/>
      <c r="U722" s="22"/>
      <c r="V722" s="22"/>
      <c r="W722" s="22"/>
      <c r="X722" s="22"/>
      <c r="Y722" s="22"/>
      <c r="Z722" s="22"/>
      <c r="AA722" s="22"/>
      <c r="AB722" s="22"/>
      <c r="AC722" s="22" t="s">
        <v>1911</v>
      </c>
      <c r="AD722" s="22">
        <v>20170413</v>
      </c>
      <c r="AE722" s="22">
        <v>721</v>
      </c>
      <c r="AF722" s="22"/>
      <c r="AG722" s="22" t="str">
        <f>IFERROR(VLOOKUP(TblFeedFile[[#This Row],[Leave Type ]],LkupPayType[],2,FALSE),"TBD")</f>
        <v>Unpaid</v>
      </c>
      <c r="AH722" s="22"/>
      <c r="AI722" s="25"/>
      <c r="AJ722" s="25"/>
      <c r="AK722" s="26"/>
    </row>
    <row r="723" spans="1:37" x14ac:dyDescent="0.25">
      <c r="A723" s="21" t="s">
        <v>29</v>
      </c>
      <c r="B723" s="22">
        <v>314304</v>
      </c>
      <c r="C723" s="22">
        <v>28341272</v>
      </c>
      <c r="D723" s="23">
        <v>571701198817</v>
      </c>
      <c r="E723" s="22" t="s">
        <v>331</v>
      </c>
      <c r="F723" s="22" t="s">
        <v>1587</v>
      </c>
      <c r="G723" s="22">
        <v>20170110</v>
      </c>
      <c r="H723" s="22">
        <v>20170410</v>
      </c>
      <c r="I723" s="22" t="s">
        <v>53</v>
      </c>
      <c r="J723" s="22"/>
      <c r="K723" s="22"/>
      <c r="L723" s="22" t="s">
        <v>34</v>
      </c>
      <c r="M723" s="22" t="s">
        <v>34</v>
      </c>
      <c r="N723" s="22" t="s">
        <v>35</v>
      </c>
      <c r="O723" s="22" t="s">
        <v>35</v>
      </c>
      <c r="P723" s="22" t="s">
        <v>35</v>
      </c>
      <c r="Q723" s="22" t="s">
        <v>35</v>
      </c>
      <c r="R723" s="22" t="s">
        <v>35</v>
      </c>
      <c r="S723" s="22" t="s">
        <v>34</v>
      </c>
      <c r="T723" s="22"/>
      <c r="U723" s="22"/>
      <c r="V723" s="22"/>
      <c r="W723" s="22"/>
      <c r="X723" s="22"/>
      <c r="Y723" s="22"/>
      <c r="Z723" s="22"/>
      <c r="AA723" s="22"/>
      <c r="AB723" s="22"/>
      <c r="AC723" s="22" t="s">
        <v>1900</v>
      </c>
      <c r="AD723" s="22">
        <v>20170413</v>
      </c>
      <c r="AE723" s="22">
        <v>722</v>
      </c>
      <c r="AF723" s="22"/>
      <c r="AG723" s="22" t="str">
        <f>IFERROR(VLOOKUP(TblFeedFile[[#This Row],[Leave Type ]],LkupPayType[],2,FALSE),"TBD")</f>
        <v>Paid</v>
      </c>
      <c r="AH723" s="22"/>
      <c r="AI723" s="25"/>
      <c r="AJ723" s="25"/>
      <c r="AK723" s="26"/>
    </row>
    <row r="724" spans="1:37" x14ac:dyDescent="0.25">
      <c r="A724" s="21" t="s">
        <v>29</v>
      </c>
      <c r="B724" s="22">
        <v>314304</v>
      </c>
      <c r="C724" s="22">
        <v>28341272</v>
      </c>
      <c r="D724" s="23">
        <v>521701068572</v>
      </c>
      <c r="E724" s="22" t="s">
        <v>331</v>
      </c>
      <c r="F724" s="22" t="s">
        <v>1587</v>
      </c>
      <c r="G724" s="22">
        <v>20170109</v>
      </c>
      <c r="H724" s="22">
        <v>20170410</v>
      </c>
      <c r="I724" s="22" t="s">
        <v>53</v>
      </c>
      <c r="J724" s="22"/>
      <c r="K724" s="22"/>
      <c r="L724" s="22" t="s">
        <v>34</v>
      </c>
      <c r="M724" s="22" t="s">
        <v>34</v>
      </c>
      <c r="N724" s="22" t="s">
        <v>35</v>
      </c>
      <c r="O724" s="22" t="s">
        <v>35</v>
      </c>
      <c r="P724" s="22" t="s">
        <v>35</v>
      </c>
      <c r="Q724" s="22" t="s">
        <v>35</v>
      </c>
      <c r="R724" s="22" t="s">
        <v>35</v>
      </c>
      <c r="S724" s="22" t="s">
        <v>34</v>
      </c>
      <c r="T724" s="22"/>
      <c r="U724" s="22"/>
      <c r="V724" s="22"/>
      <c r="W724" s="22"/>
      <c r="X724" s="22"/>
      <c r="Y724" s="22"/>
      <c r="Z724" s="22"/>
      <c r="AA724" s="22"/>
      <c r="AB724" s="22"/>
      <c r="AC724" s="22" t="s">
        <v>1900</v>
      </c>
      <c r="AD724" s="22">
        <v>20170413</v>
      </c>
      <c r="AE724" s="22">
        <v>723</v>
      </c>
      <c r="AF724" s="22"/>
      <c r="AG724" s="22" t="str">
        <f>IFERROR(VLOOKUP(TblFeedFile[[#This Row],[Leave Type ]],LkupPayType[],2,FALSE),"TBD")</f>
        <v>Paid</v>
      </c>
      <c r="AH724" s="22"/>
      <c r="AI724" s="25"/>
      <c r="AJ724" s="25"/>
      <c r="AK724" s="26"/>
    </row>
    <row r="725" spans="1:37" x14ac:dyDescent="0.25">
      <c r="A725" s="21" t="s">
        <v>37</v>
      </c>
      <c r="B725" s="22">
        <v>314304</v>
      </c>
      <c r="C725" s="22">
        <v>28341272</v>
      </c>
      <c r="D725" s="23">
        <v>521701068572</v>
      </c>
      <c r="E725" s="22" t="s">
        <v>331</v>
      </c>
      <c r="F725" s="22" t="s">
        <v>1587</v>
      </c>
      <c r="G725" s="22">
        <v>20170109</v>
      </c>
      <c r="H725" s="22">
        <v>20170414</v>
      </c>
      <c r="I725" s="22" t="s">
        <v>53</v>
      </c>
      <c r="J725" s="22"/>
      <c r="K725" s="22"/>
      <c r="L725" s="22" t="s">
        <v>34</v>
      </c>
      <c r="M725" s="22" t="s">
        <v>34</v>
      </c>
      <c r="N725" s="22" t="s">
        <v>35</v>
      </c>
      <c r="O725" s="22" t="s">
        <v>35</v>
      </c>
      <c r="P725" s="22" t="s">
        <v>35</v>
      </c>
      <c r="Q725" s="22" t="s">
        <v>35</v>
      </c>
      <c r="R725" s="22" t="s">
        <v>35</v>
      </c>
      <c r="S725" s="22" t="s">
        <v>34</v>
      </c>
      <c r="T725" s="22"/>
      <c r="U725" s="22"/>
      <c r="V725" s="22"/>
      <c r="W725" s="22"/>
      <c r="X725" s="22"/>
      <c r="Y725" s="22"/>
      <c r="Z725" s="22"/>
      <c r="AA725" s="22"/>
      <c r="AB725" s="22"/>
      <c r="AC725" s="22" t="s">
        <v>1900</v>
      </c>
      <c r="AD725" s="22">
        <v>20170413</v>
      </c>
      <c r="AE725" s="22">
        <v>724</v>
      </c>
      <c r="AF725" s="22"/>
      <c r="AG725" s="22" t="str">
        <f>IFERROR(VLOOKUP(TblFeedFile[[#This Row],[Leave Type ]],LkupPayType[],2,FALSE),"TBD")</f>
        <v>Paid</v>
      </c>
      <c r="AH725" s="22"/>
      <c r="AI725" s="25" t="s">
        <v>35</v>
      </c>
      <c r="AJ725" s="25"/>
      <c r="AK725" s="26"/>
    </row>
    <row r="726" spans="1:37" x14ac:dyDescent="0.25">
      <c r="A726" s="21" t="s">
        <v>37</v>
      </c>
      <c r="B726" s="22">
        <v>314304</v>
      </c>
      <c r="C726" s="22">
        <v>28341272</v>
      </c>
      <c r="D726" s="23">
        <v>571701198817</v>
      </c>
      <c r="E726" s="22" t="s">
        <v>331</v>
      </c>
      <c r="F726" s="22" t="s">
        <v>1587</v>
      </c>
      <c r="G726" s="22">
        <v>20170110</v>
      </c>
      <c r="H726" s="22">
        <v>20170414</v>
      </c>
      <c r="I726" s="22" t="s">
        <v>53</v>
      </c>
      <c r="J726" s="22"/>
      <c r="K726" s="22"/>
      <c r="L726" s="22" t="s">
        <v>34</v>
      </c>
      <c r="M726" s="22" t="s">
        <v>34</v>
      </c>
      <c r="N726" s="22" t="s">
        <v>35</v>
      </c>
      <c r="O726" s="22" t="s">
        <v>35</v>
      </c>
      <c r="P726" s="22" t="s">
        <v>35</v>
      </c>
      <c r="Q726" s="22" t="s">
        <v>35</v>
      </c>
      <c r="R726" s="22" t="s">
        <v>35</v>
      </c>
      <c r="S726" s="22" t="s">
        <v>34</v>
      </c>
      <c r="T726" s="22"/>
      <c r="U726" s="22"/>
      <c r="V726" s="22"/>
      <c r="W726" s="22"/>
      <c r="X726" s="22"/>
      <c r="Y726" s="22"/>
      <c r="Z726" s="22"/>
      <c r="AA726" s="22"/>
      <c r="AB726" s="22"/>
      <c r="AC726" s="22" t="s">
        <v>1900</v>
      </c>
      <c r="AD726" s="22">
        <v>20170413</v>
      </c>
      <c r="AE726" s="22">
        <v>725</v>
      </c>
      <c r="AF726" s="22"/>
      <c r="AG726" s="22" t="str">
        <f>IFERROR(VLOOKUP(TblFeedFile[[#This Row],[Leave Type ]],LkupPayType[],2,FALSE),"TBD")</f>
        <v>Paid</v>
      </c>
      <c r="AH726" s="22"/>
      <c r="AI726" s="25" t="s">
        <v>35</v>
      </c>
      <c r="AJ726" s="25"/>
      <c r="AK726" s="26"/>
    </row>
    <row r="727" spans="1:37" x14ac:dyDescent="0.25">
      <c r="A727" s="21" t="s">
        <v>37</v>
      </c>
      <c r="B727" s="22">
        <v>314304</v>
      </c>
      <c r="C727" s="22">
        <v>28341272</v>
      </c>
      <c r="D727" s="23" t="s">
        <v>2053</v>
      </c>
      <c r="E727" s="22" t="s">
        <v>331</v>
      </c>
      <c r="F727" s="22" t="s">
        <v>1587</v>
      </c>
      <c r="G727" s="22">
        <v>20170117</v>
      </c>
      <c r="H727" s="22">
        <v>20170414</v>
      </c>
      <c r="I727" s="22" t="s">
        <v>36</v>
      </c>
      <c r="J727" s="22"/>
      <c r="K727" s="22"/>
      <c r="L727" s="22" t="s">
        <v>34</v>
      </c>
      <c r="M727" s="22" t="s">
        <v>34</v>
      </c>
      <c r="N727" s="22" t="s">
        <v>35</v>
      </c>
      <c r="O727" s="22" t="s">
        <v>35</v>
      </c>
      <c r="P727" s="22" t="s">
        <v>35</v>
      </c>
      <c r="Q727" s="22" t="s">
        <v>35</v>
      </c>
      <c r="R727" s="22" t="s">
        <v>35</v>
      </c>
      <c r="S727" s="22" t="s">
        <v>34</v>
      </c>
      <c r="T727" s="22">
        <v>20170415</v>
      </c>
      <c r="U727" s="22"/>
      <c r="V727" s="22"/>
      <c r="W727" s="22"/>
      <c r="X727" s="22"/>
      <c r="Y727" s="22"/>
      <c r="Z727" s="22"/>
      <c r="AA727" s="22"/>
      <c r="AB727" s="22"/>
      <c r="AC727" s="22" t="s">
        <v>1897</v>
      </c>
      <c r="AD727" s="22">
        <v>20170413</v>
      </c>
      <c r="AE727" s="22">
        <v>726</v>
      </c>
      <c r="AF727" s="22"/>
      <c r="AG727" s="22" t="str">
        <f>IFERROR(VLOOKUP(TblFeedFile[[#This Row],[Leave Type ]],LkupPayType[],2,FALSE),"TBD")</f>
        <v>Unpaid</v>
      </c>
      <c r="AH727" s="22"/>
      <c r="AI727" s="25" t="s">
        <v>35</v>
      </c>
      <c r="AJ727" s="25"/>
      <c r="AK727" s="26" t="s">
        <v>35</v>
      </c>
    </row>
    <row r="728" spans="1:37" x14ac:dyDescent="0.25">
      <c r="A728" s="21" t="s">
        <v>37</v>
      </c>
      <c r="B728" s="22">
        <v>314307</v>
      </c>
      <c r="C728" s="22">
        <v>28354611</v>
      </c>
      <c r="D728" s="23" t="s">
        <v>2642</v>
      </c>
      <c r="E728" s="22" t="s">
        <v>421</v>
      </c>
      <c r="F728" s="22" t="s">
        <v>2643</v>
      </c>
      <c r="G728" s="22">
        <v>20170117</v>
      </c>
      <c r="H728" s="22">
        <v>20170416</v>
      </c>
      <c r="I728" s="22" t="s">
        <v>223</v>
      </c>
      <c r="J728" s="22"/>
      <c r="K728" s="22"/>
      <c r="L728" s="22" t="s">
        <v>34</v>
      </c>
      <c r="M728" s="22" t="s">
        <v>34</v>
      </c>
      <c r="N728" s="22" t="s">
        <v>35</v>
      </c>
      <c r="O728" s="22" t="s">
        <v>35</v>
      </c>
      <c r="P728" s="22" t="s">
        <v>35</v>
      </c>
      <c r="Q728" s="22" t="s">
        <v>35</v>
      </c>
      <c r="R728" s="22" t="s">
        <v>35</v>
      </c>
      <c r="S728" s="22" t="s">
        <v>34</v>
      </c>
      <c r="T728" s="22">
        <v>20170417</v>
      </c>
      <c r="U728" s="22"/>
      <c r="V728" s="22"/>
      <c r="W728" s="22"/>
      <c r="X728" s="22"/>
      <c r="Y728" s="22"/>
      <c r="Z728" s="22"/>
      <c r="AA728" s="22"/>
      <c r="AB728" s="22"/>
      <c r="AC728" s="22" t="s">
        <v>1902</v>
      </c>
      <c r="AD728" s="22">
        <v>20170413</v>
      </c>
      <c r="AE728" s="22">
        <v>727</v>
      </c>
      <c r="AF728" s="22"/>
      <c r="AG728" s="22" t="str">
        <f>IFERROR(VLOOKUP(TblFeedFile[[#This Row],[Leave Type ]],LkupPayType[],2,FALSE),"TBD")</f>
        <v>Paid</v>
      </c>
      <c r="AH728" s="22"/>
      <c r="AI728" s="25"/>
      <c r="AJ728" s="25"/>
      <c r="AK728" s="26" t="s">
        <v>35</v>
      </c>
    </row>
    <row r="729" spans="1:37" x14ac:dyDescent="0.25">
      <c r="A729" s="21" t="s">
        <v>37</v>
      </c>
      <c r="B729" s="22">
        <v>314304</v>
      </c>
      <c r="C729" s="22">
        <v>28402692</v>
      </c>
      <c r="D729" s="23">
        <v>501704128648</v>
      </c>
      <c r="E729" s="22" t="s">
        <v>2054</v>
      </c>
      <c r="F729" s="22" t="s">
        <v>918</v>
      </c>
      <c r="G729" s="22">
        <v>20170401</v>
      </c>
      <c r="H729" s="22">
        <v>20170508</v>
      </c>
      <c r="I729" s="22" t="s">
        <v>53</v>
      </c>
      <c r="J729" s="22"/>
      <c r="K729" s="22"/>
      <c r="L729" s="22" t="s">
        <v>34</v>
      </c>
      <c r="M729" s="22" t="s">
        <v>34</v>
      </c>
      <c r="N729" s="22" t="s">
        <v>35</v>
      </c>
      <c r="O729" s="22" t="s">
        <v>35</v>
      </c>
      <c r="P729" s="22" t="s">
        <v>35</v>
      </c>
      <c r="Q729" s="22" t="s">
        <v>35</v>
      </c>
      <c r="R729" s="22" t="s">
        <v>35</v>
      </c>
      <c r="S729" s="22" t="s">
        <v>34</v>
      </c>
      <c r="T729" s="22"/>
      <c r="U729" s="22"/>
      <c r="V729" s="22"/>
      <c r="W729" s="22"/>
      <c r="X729" s="22"/>
      <c r="Y729" s="22"/>
      <c r="Z729" s="22"/>
      <c r="AA729" s="22"/>
      <c r="AB729" s="22"/>
      <c r="AC729" s="22" t="s">
        <v>1897</v>
      </c>
      <c r="AD729" s="22">
        <v>20170413</v>
      </c>
      <c r="AE729" s="22">
        <v>728</v>
      </c>
      <c r="AF729" s="22"/>
      <c r="AG729" s="22" t="str">
        <f>IFERROR(VLOOKUP(TblFeedFile[[#This Row],[Leave Type ]],LkupPayType[],2,FALSE),"TBD")</f>
        <v>Paid</v>
      </c>
      <c r="AH729" s="22"/>
      <c r="AI729" s="25"/>
      <c r="AJ729" s="25"/>
      <c r="AK729" s="26"/>
    </row>
    <row r="730" spans="1:37" x14ac:dyDescent="0.25">
      <c r="A730" s="21" t="s">
        <v>37</v>
      </c>
      <c r="B730" s="22">
        <v>314304</v>
      </c>
      <c r="C730" s="22">
        <v>28421342</v>
      </c>
      <c r="D730" s="23">
        <v>501704138768</v>
      </c>
      <c r="E730" s="22" t="s">
        <v>1122</v>
      </c>
      <c r="F730" s="22" t="s">
        <v>2644</v>
      </c>
      <c r="G730" s="22">
        <v>20170406</v>
      </c>
      <c r="H730" s="22">
        <v>20170506</v>
      </c>
      <c r="I730" s="22" t="s">
        <v>53</v>
      </c>
      <c r="J730" s="22"/>
      <c r="K730" s="22"/>
      <c r="L730" s="22" t="s">
        <v>34</v>
      </c>
      <c r="M730" s="22" t="s">
        <v>34</v>
      </c>
      <c r="N730" s="22" t="s">
        <v>35</v>
      </c>
      <c r="O730" s="22" t="s">
        <v>35</v>
      </c>
      <c r="P730" s="22" t="s">
        <v>35</v>
      </c>
      <c r="Q730" s="22" t="s">
        <v>35</v>
      </c>
      <c r="R730" s="22" t="s">
        <v>35</v>
      </c>
      <c r="S730" s="22" t="s">
        <v>34</v>
      </c>
      <c r="T730" s="22"/>
      <c r="U730" s="22"/>
      <c r="V730" s="22"/>
      <c r="W730" s="22"/>
      <c r="X730" s="22"/>
      <c r="Y730" s="22"/>
      <c r="Z730" s="22"/>
      <c r="AA730" s="22"/>
      <c r="AB730" s="22"/>
      <c r="AC730" s="22" t="s">
        <v>1908</v>
      </c>
      <c r="AD730" s="22">
        <v>20170413</v>
      </c>
      <c r="AE730" s="22">
        <v>729</v>
      </c>
      <c r="AF730" s="22"/>
      <c r="AG730" s="22" t="str">
        <f>IFERROR(VLOOKUP(TblFeedFile[[#This Row],[Leave Type ]],LkupPayType[],2,FALSE),"TBD")</f>
        <v>Paid</v>
      </c>
      <c r="AH730" s="22"/>
      <c r="AI730" s="25"/>
      <c r="AJ730" s="25"/>
      <c r="AK730" s="26"/>
    </row>
    <row r="731" spans="1:37" x14ac:dyDescent="0.25">
      <c r="A731" s="21" t="s">
        <v>29</v>
      </c>
      <c r="B731" s="22">
        <v>314304</v>
      </c>
      <c r="C731" s="22">
        <v>28425250</v>
      </c>
      <c r="D731" s="23" t="s">
        <v>2645</v>
      </c>
      <c r="E731" s="22" t="s">
        <v>2055</v>
      </c>
      <c r="F731" s="22" t="s">
        <v>2056</v>
      </c>
      <c r="G731" s="22">
        <v>20160923</v>
      </c>
      <c r="H731" s="22">
        <v>20170502</v>
      </c>
      <c r="I731" s="22" t="s">
        <v>36</v>
      </c>
      <c r="J731" s="22"/>
      <c r="K731" s="22"/>
      <c r="L731" s="22" t="s">
        <v>34</v>
      </c>
      <c r="M731" s="22" t="s">
        <v>34</v>
      </c>
      <c r="N731" s="22" t="s">
        <v>35</v>
      </c>
      <c r="O731" s="22" t="s">
        <v>35</v>
      </c>
      <c r="P731" s="22" t="s">
        <v>35</v>
      </c>
      <c r="Q731" s="22" t="s">
        <v>35</v>
      </c>
      <c r="R731" s="22" t="s">
        <v>35</v>
      </c>
      <c r="S731" s="22" t="s">
        <v>34</v>
      </c>
      <c r="T731" s="22"/>
      <c r="U731" s="22"/>
      <c r="V731" s="22"/>
      <c r="W731" s="22"/>
      <c r="X731" s="22"/>
      <c r="Y731" s="22"/>
      <c r="Z731" s="22"/>
      <c r="AA731" s="22"/>
      <c r="AB731" s="22"/>
      <c r="AC731" s="22" t="s">
        <v>1964</v>
      </c>
      <c r="AD731" s="22">
        <v>20170413</v>
      </c>
      <c r="AE731" s="22">
        <v>730</v>
      </c>
      <c r="AF731" s="22"/>
      <c r="AG731" s="22" t="str">
        <f>IFERROR(VLOOKUP(TblFeedFile[[#This Row],[Leave Type ]],LkupPayType[],2,FALSE),"TBD")</f>
        <v>Unpaid</v>
      </c>
      <c r="AH731" s="22"/>
      <c r="AI731" s="25"/>
      <c r="AJ731" s="25"/>
      <c r="AK731" s="26"/>
    </row>
    <row r="732" spans="1:37" x14ac:dyDescent="0.25">
      <c r="A732" s="21" t="s">
        <v>37</v>
      </c>
      <c r="B732" s="22">
        <v>314304</v>
      </c>
      <c r="C732" s="22">
        <v>28425250</v>
      </c>
      <c r="D732" s="23" t="s">
        <v>2645</v>
      </c>
      <c r="E732" s="22" t="s">
        <v>2055</v>
      </c>
      <c r="F732" s="22" t="s">
        <v>2056</v>
      </c>
      <c r="G732" s="22">
        <v>20170113</v>
      </c>
      <c r="H732" s="22">
        <v>20170502</v>
      </c>
      <c r="I732" s="22" t="s">
        <v>36</v>
      </c>
      <c r="J732" s="22"/>
      <c r="K732" s="22"/>
      <c r="L732" s="22" t="s">
        <v>34</v>
      </c>
      <c r="M732" s="22" t="s">
        <v>34</v>
      </c>
      <c r="N732" s="22" t="s">
        <v>35</v>
      </c>
      <c r="O732" s="22" t="s">
        <v>35</v>
      </c>
      <c r="P732" s="22" t="s">
        <v>35</v>
      </c>
      <c r="Q732" s="22" t="s">
        <v>35</v>
      </c>
      <c r="R732" s="22" t="s">
        <v>35</v>
      </c>
      <c r="S732" s="22" t="s">
        <v>34</v>
      </c>
      <c r="T732" s="22"/>
      <c r="U732" s="22"/>
      <c r="V732" s="22"/>
      <c r="W732" s="22"/>
      <c r="X732" s="22"/>
      <c r="Y732" s="22"/>
      <c r="Z732" s="22"/>
      <c r="AA732" s="22"/>
      <c r="AB732" s="22"/>
      <c r="AC732" s="22" t="s">
        <v>1964</v>
      </c>
      <c r="AD732" s="22">
        <v>20170413</v>
      </c>
      <c r="AE732" s="22">
        <v>731</v>
      </c>
      <c r="AF732" s="22"/>
      <c r="AG732" s="22" t="str">
        <f>IFERROR(VLOOKUP(TblFeedFile[[#This Row],[Leave Type ]],LkupPayType[],2,FALSE),"TBD")</f>
        <v>Unpaid</v>
      </c>
      <c r="AH732" s="22"/>
      <c r="AI732" s="25"/>
      <c r="AJ732" s="25"/>
      <c r="AK732" s="26"/>
    </row>
    <row r="733" spans="1:37" x14ac:dyDescent="0.25">
      <c r="A733" s="21" t="s">
        <v>37</v>
      </c>
      <c r="B733" s="22">
        <v>314304</v>
      </c>
      <c r="C733" s="22">
        <v>28438233</v>
      </c>
      <c r="D733" s="23" t="s">
        <v>2646</v>
      </c>
      <c r="E733" s="22" t="s">
        <v>246</v>
      </c>
      <c r="F733" s="22" t="s">
        <v>2647</v>
      </c>
      <c r="G733" s="22">
        <v>20170413</v>
      </c>
      <c r="H733" s="22">
        <v>20170417</v>
      </c>
      <c r="I733" s="22" t="s">
        <v>36</v>
      </c>
      <c r="J733" s="22"/>
      <c r="K733" s="22"/>
      <c r="L733" s="22" t="s">
        <v>34</v>
      </c>
      <c r="M733" s="22" t="s">
        <v>34</v>
      </c>
      <c r="N733" s="22" t="s">
        <v>35</v>
      </c>
      <c r="O733" s="22" t="s">
        <v>35</v>
      </c>
      <c r="P733" s="22" t="s">
        <v>35</v>
      </c>
      <c r="Q733" s="22" t="s">
        <v>35</v>
      </c>
      <c r="R733" s="22" t="s">
        <v>35</v>
      </c>
      <c r="S733" s="22" t="s">
        <v>34</v>
      </c>
      <c r="T733" s="22"/>
      <c r="U733" s="22"/>
      <c r="V733" s="22"/>
      <c r="W733" s="22"/>
      <c r="X733" s="22"/>
      <c r="Y733" s="22"/>
      <c r="Z733" s="22"/>
      <c r="AA733" s="22"/>
      <c r="AB733" s="22"/>
      <c r="AC733" s="22" t="s">
        <v>1911</v>
      </c>
      <c r="AD733" s="22">
        <v>20170413</v>
      </c>
      <c r="AE733" s="22">
        <v>732</v>
      </c>
      <c r="AF733" s="22"/>
      <c r="AG733" s="22" t="str">
        <f>IFERROR(VLOOKUP(TblFeedFile[[#This Row],[Leave Type ]],LkupPayType[],2,FALSE),"TBD")</f>
        <v>Unpaid</v>
      </c>
      <c r="AH733" s="22"/>
      <c r="AI733" s="25"/>
      <c r="AJ733" s="25"/>
      <c r="AK733" s="26"/>
    </row>
    <row r="734" spans="1:37" x14ac:dyDescent="0.25">
      <c r="A734" s="21" t="s">
        <v>37</v>
      </c>
      <c r="B734" s="22">
        <v>314304</v>
      </c>
      <c r="C734" s="22">
        <v>28457063</v>
      </c>
      <c r="D734" s="23" t="s">
        <v>2648</v>
      </c>
      <c r="E734" s="22" t="s">
        <v>2649</v>
      </c>
      <c r="F734" s="22" t="s">
        <v>297</v>
      </c>
      <c r="G734" s="22">
        <v>20170413</v>
      </c>
      <c r="H734" s="22">
        <v>20170531</v>
      </c>
      <c r="I734" s="22" t="s">
        <v>127</v>
      </c>
      <c r="J734" s="22"/>
      <c r="K734" s="22"/>
      <c r="L734" s="22" t="s">
        <v>34</v>
      </c>
      <c r="M734" s="22" t="s">
        <v>34</v>
      </c>
      <c r="N734" s="22" t="s">
        <v>35</v>
      </c>
      <c r="O734" s="22" t="s">
        <v>35</v>
      </c>
      <c r="P734" s="22" t="s">
        <v>35</v>
      </c>
      <c r="Q734" s="22" t="s">
        <v>35</v>
      </c>
      <c r="R734" s="22" t="s">
        <v>35</v>
      </c>
      <c r="S734" s="22" t="s">
        <v>34</v>
      </c>
      <c r="T734" s="22"/>
      <c r="U734" s="22"/>
      <c r="V734" s="22"/>
      <c r="W734" s="22"/>
      <c r="X734" s="22"/>
      <c r="Y734" s="22"/>
      <c r="Z734" s="22"/>
      <c r="AA734" s="22"/>
      <c r="AB734" s="22"/>
      <c r="AC734" s="22" t="s">
        <v>1936</v>
      </c>
      <c r="AD734" s="22">
        <v>20170413</v>
      </c>
      <c r="AE734" s="22">
        <v>733</v>
      </c>
      <c r="AF734" s="22"/>
      <c r="AG734" s="22" t="str">
        <f>IFERROR(VLOOKUP(TblFeedFile[[#This Row],[Leave Type ]],LkupPayType[],2,FALSE),"TBD")</f>
        <v>Unpaid</v>
      </c>
      <c r="AH734" s="22"/>
      <c r="AI734" s="25"/>
      <c r="AJ734" s="25"/>
      <c r="AK734" s="26"/>
    </row>
    <row r="735" spans="1:37" x14ac:dyDescent="0.25">
      <c r="A735" s="21" t="s">
        <v>29</v>
      </c>
      <c r="B735" s="22">
        <v>314304</v>
      </c>
      <c r="C735" s="22">
        <v>28520073</v>
      </c>
      <c r="D735" s="23" t="s">
        <v>2650</v>
      </c>
      <c r="E735" s="22" t="s">
        <v>1990</v>
      </c>
      <c r="F735" s="22" t="s">
        <v>319</v>
      </c>
      <c r="G735" s="22">
        <v>20170403</v>
      </c>
      <c r="H735" s="22">
        <v>20170502</v>
      </c>
      <c r="I735" s="22" t="s">
        <v>78</v>
      </c>
      <c r="J735" s="22"/>
      <c r="K735" s="22" t="s">
        <v>79</v>
      </c>
      <c r="L735" s="22" t="s">
        <v>34</v>
      </c>
      <c r="M735" s="22" t="s">
        <v>34</v>
      </c>
      <c r="N735" s="22" t="s">
        <v>35</v>
      </c>
      <c r="O735" s="22" t="s">
        <v>35</v>
      </c>
      <c r="P735" s="22" t="s">
        <v>35</v>
      </c>
      <c r="Q735" s="22" t="s">
        <v>35</v>
      </c>
      <c r="R735" s="22" t="s">
        <v>35</v>
      </c>
      <c r="S735" s="22" t="s">
        <v>34</v>
      </c>
      <c r="T735" s="22"/>
      <c r="U735" s="22"/>
      <c r="V735" s="22"/>
      <c r="W735" s="22"/>
      <c r="X735" s="22"/>
      <c r="Y735" s="22"/>
      <c r="Z735" s="22"/>
      <c r="AA735" s="22"/>
      <c r="AB735" s="22"/>
      <c r="AC735" s="22" t="s">
        <v>1908</v>
      </c>
      <c r="AD735" s="22">
        <v>20170413</v>
      </c>
      <c r="AE735" s="22">
        <v>734</v>
      </c>
      <c r="AF735" s="22"/>
      <c r="AG735" s="22" t="str">
        <f>IFERROR(VLOOKUP(TblFeedFile[[#This Row],[Leave Type ]],LkupPayType[],2,FALSE),"TBD")</f>
        <v>Unpaid</v>
      </c>
      <c r="AH735" s="22"/>
      <c r="AI735" s="25"/>
      <c r="AJ735" s="25"/>
      <c r="AK735" s="26"/>
    </row>
    <row r="736" spans="1:37" x14ac:dyDescent="0.25">
      <c r="A736" s="21" t="s">
        <v>37</v>
      </c>
      <c r="B736" s="22">
        <v>314304</v>
      </c>
      <c r="C736" s="22">
        <v>28520073</v>
      </c>
      <c r="D736" s="23" t="s">
        <v>2650</v>
      </c>
      <c r="E736" s="22" t="s">
        <v>1990</v>
      </c>
      <c r="F736" s="22" t="s">
        <v>319</v>
      </c>
      <c r="G736" s="22">
        <v>20170403</v>
      </c>
      <c r="H736" s="22">
        <v>20170502</v>
      </c>
      <c r="I736" s="22" t="s">
        <v>36</v>
      </c>
      <c r="J736" s="22"/>
      <c r="K736" s="22"/>
      <c r="L736" s="22" t="s">
        <v>34</v>
      </c>
      <c r="M736" s="22" t="s">
        <v>34</v>
      </c>
      <c r="N736" s="22" t="s">
        <v>35</v>
      </c>
      <c r="O736" s="22" t="s">
        <v>35</v>
      </c>
      <c r="P736" s="22" t="s">
        <v>35</v>
      </c>
      <c r="Q736" s="22" t="s">
        <v>35</v>
      </c>
      <c r="R736" s="22" t="s">
        <v>35</v>
      </c>
      <c r="S736" s="22" t="s">
        <v>34</v>
      </c>
      <c r="T736" s="22"/>
      <c r="U736" s="22"/>
      <c r="V736" s="22"/>
      <c r="W736" s="22"/>
      <c r="X736" s="22"/>
      <c r="Y736" s="22"/>
      <c r="Z736" s="22"/>
      <c r="AA736" s="22"/>
      <c r="AB736" s="22"/>
      <c r="AC736" s="22" t="s">
        <v>1918</v>
      </c>
      <c r="AD736" s="22">
        <v>20170413</v>
      </c>
      <c r="AE736" s="22">
        <v>735</v>
      </c>
      <c r="AF736" s="22"/>
      <c r="AG736" s="22" t="str">
        <f>IFERROR(VLOOKUP(TblFeedFile[[#This Row],[Leave Type ]],LkupPayType[],2,FALSE),"TBD")</f>
        <v>Unpaid</v>
      </c>
      <c r="AH736" s="30" t="str">
        <f>IFERROR(VLOOKUP(TblFeedFile[[#This Row],[ Report Number ]],LkupPayrollCycle[],2,FALSE),"TBD")</f>
        <v>Bi-Weekly</v>
      </c>
      <c r="AI736" s="25"/>
      <c r="AJ736" s="25"/>
      <c r="AK736" s="26"/>
    </row>
    <row r="737" spans="1:37" x14ac:dyDescent="0.25">
      <c r="A737" s="21" t="s">
        <v>29</v>
      </c>
      <c r="B737" s="22">
        <v>314304</v>
      </c>
      <c r="C737" s="22">
        <v>28538556</v>
      </c>
      <c r="D737" s="23" t="s">
        <v>2651</v>
      </c>
      <c r="E737" s="22" t="s">
        <v>1959</v>
      </c>
      <c r="F737" s="22" t="s">
        <v>2652</v>
      </c>
      <c r="G737" s="22">
        <v>20170324</v>
      </c>
      <c r="H737" s="22">
        <v>20170505</v>
      </c>
      <c r="I737" s="22" t="s">
        <v>78</v>
      </c>
      <c r="J737" s="22"/>
      <c r="K737" s="22" t="s">
        <v>79</v>
      </c>
      <c r="L737" s="22" t="s">
        <v>34</v>
      </c>
      <c r="M737" s="22" t="s">
        <v>34</v>
      </c>
      <c r="N737" s="22" t="s">
        <v>35</v>
      </c>
      <c r="O737" s="22" t="s">
        <v>35</v>
      </c>
      <c r="P737" s="22" t="s">
        <v>35</v>
      </c>
      <c r="Q737" s="22" t="s">
        <v>35</v>
      </c>
      <c r="R737" s="22" t="s">
        <v>35</v>
      </c>
      <c r="S737" s="22" t="s">
        <v>34</v>
      </c>
      <c r="T737" s="22"/>
      <c r="U737" s="22"/>
      <c r="V737" s="22"/>
      <c r="W737" s="22"/>
      <c r="X737" s="22"/>
      <c r="Y737" s="22"/>
      <c r="Z737" s="22"/>
      <c r="AA737" s="22"/>
      <c r="AB737" s="22"/>
      <c r="AC737" s="22" t="s">
        <v>1951</v>
      </c>
      <c r="AD737" s="22">
        <v>20170413</v>
      </c>
      <c r="AE737" s="22">
        <v>736</v>
      </c>
      <c r="AF737" s="22"/>
      <c r="AG737" s="22" t="str">
        <f>IFERROR(VLOOKUP(TblFeedFile[[#This Row],[Leave Type ]],LkupPayType[],2,FALSE),"TBD")</f>
        <v>Unpaid</v>
      </c>
      <c r="AH737" s="30" t="str">
        <f>IFERROR(VLOOKUP(TblFeedFile[[#This Row],[ Report Number ]],LkupPayrollCycle[],2,FALSE),"TBD")</f>
        <v>Bi-Weekly</v>
      </c>
      <c r="AI737" s="25"/>
      <c r="AJ737" s="25"/>
      <c r="AK737" s="26"/>
    </row>
    <row r="738" spans="1:37" x14ac:dyDescent="0.25">
      <c r="A738" s="21" t="s">
        <v>37</v>
      </c>
      <c r="B738" s="22">
        <v>314304</v>
      </c>
      <c r="C738" s="22">
        <v>28538556</v>
      </c>
      <c r="D738" s="23" t="s">
        <v>2651</v>
      </c>
      <c r="E738" s="22" t="s">
        <v>1959</v>
      </c>
      <c r="F738" s="22" t="s">
        <v>2652</v>
      </c>
      <c r="G738" s="22">
        <v>20170413</v>
      </c>
      <c r="H738" s="22">
        <v>20170413</v>
      </c>
      <c r="I738" s="22" t="s">
        <v>33</v>
      </c>
      <c r="J738" s="22"/>
      <c r="K738" s="22"/>
      <c r="L738" s="22" t="s">
        <v>34</v>
      </c>
      <c r="M738" s="22" t="s">
        <v>34</v>
      </c>
      <c r="N738" s="22" t="s">
        <v>35</v>
      </c>
      <c r="O738" s="22" t="s">
        <v>35</v>
      </c>
      <c r="P738" s="22" t="s">
        <v>35</v>
      </c>
      <c r="Q738" s="22" t="s">
        <v>35</v>
      </c>
      <c r="R738" s="22" t="s">
        <v>35</v>
      </c>
      <c r="S738" s="22" t="s">
        <v>34</v>
      </c>
      <c r="T738" s="22"/>
      <c r="U738" s="22"/>
      <c r="V738" s="22"/>
      <c r="W738" s="22"/>
      <c r="X738" s="22"/>
      <c r="Y738" s="22"/>
      <c r="Z738" s="22"/>
      <c r="AA738" s="22"/>
      <c r="AB738" s="22"/>
      <c r="AC738" s="22" t="s">
        <v>1907</v>
      </c>
      <c r="AD738" s="22">
        <v>20170413</v>
      </c>
      <c r="AE738" s="22">
        <v>737</v>
      </c>
      <c r="AF738" s="22"/>
      <c r="AG738" s="22" t="str">
        <f>IFERROR(VLOOKUP(TblFeedFile[[#This Row],[Leave Type ]],LkupPayType[],2,FALSE),"TBD")</f>
        <v>Closed</v>
      </c>
      <c r="AH738" s="30" t="str">
        <f>IFERROR(VLOOKUP(TblFeedFile[[#This Row],[ Report Number ]],LkupPayrollCycle[],2,FALSE),"TBD")</f>
        <v>Bi-Weekly</v>
      </c>
      <c r="AI738" s="25"/>
      <c r="AJ738" s="25"/>
      <c r="AK738" s="26"/>
    </row>
    <row r="739" spans="1:37" x14ac:dyDescent="0.25">
      <c r="A739" s="21" t="s">
        <v>29</v>
      </c>
      <c r="B739" s="22">
        <v>314304</v>
      </c>
      <c r="C739" s="22">
        <v>28547001</v>
      </c>
      <c r="D739" s="23" t="s">
        <v>2653</v>
      </c>
      <c r="E739" s="22" t="s">
        <v>2654</v>
      </c>
      <c r="F739" s="22" t="s">
        <v>2655</v>
      </c>
      <c r="G739" s="22">
        <v>20170408</v>
      </c>
      <c r="H739" s="22">
        <v>20170408</v>
      </c>
      <c r="I739" s="22" t="s">
        <v>33</v>
      </c>
      <c r="J739" s="22"/>
      <c r="K739" s="22"/>
      <c r="L739" s="22" t="s">
        <v>34</v>
      </c>
      <c r="M739" s="22" t="s">
        <v>35</v>
      </c>
      <c r="N739" s="22" t="s">
        <v>35</v>
      </c>
      <c r="O739" s="22" t="s">
        <v>35</v>
      </c>
      <c r="P739" s="22" t="s">
        <v>35</v>
      </c>
      <c r="Q739" s="22" t="s">
        <v>35</v>
      </c>
      <c r="R739" s="22" t="s">
        <v>35</v>
      </c>
      <c r="S739" s="22" t="s">
        <v>34</v>
      </c>
      <c r="T739" s="22"/>
      <c r="U739" s="22"/>
      <c r="V739" s="22"/>
      <c r="W739" s="22"/>
      <c r="X739" s="22"/>
      <c r="Y739" s="22"/>
      <c r="Z739" s="22"/>
      <c r="AA739" s="22"/>
      <c r="AB739" s="22"/>
      <c r="AC739" s="22" t="s">
        <v>1901</v>
      </c>
      <c r="AD739" s="22">
        <v>20170413</v>
      </c>
      <c r="AE739" s="22">
        <v>738</v>
      </c>
      <c r="AF739" s="22"/>
      <c r="AG739" s="22" t="str">
        <f>IFERROR(VLOOKUP(TblFeedFile[[#This Row],[Leave Type ]],LkupPayType[],2,FALSE),"TBD")</f>
        <v>Closed</v>
      </c>
      <c r="AH739" s="30" t="str">
        <f>IFERROR(VLOOKUP(TblFeedFile[[#This Row],[ Report Number ]],LkupPayrollCycle[],2,FALSE),"TBD")</f>
        <v>Bi-Weekly</v>
      </c>
      <c r="AI739" s="25"/>
      <c r="AJ739" s="25"/>
      <c r="AK739" s="26"/>
    </row>
    <row r="740" spans="1:37" x14ac:dyDescent="0.25">
      <c r="A740" s="21" t="s">
        <v>29</v>
      </c>
      <c r="B740" s="22">
        <v>314304</v>
      </c>
      <c r="C740" s="22">
        <v>28547001</v>
      </c>
      <c r="D740" s="23" t="s">
        <v>2653</v>
      </c>
      <c r="E740" s="22" t="s">
        <v>2654</v>
      </c>
      <c r="F740" s="22" t="s">
        <v>2655</v>
      </c>
      <c r="G740" s="22">
        <v>20170331</v>
      </c>
      <c r="H740" s="22">
        <v>20170407</v>
      </c>
      <c r="I740" s="22" t="s">
        <v>127</v>
      </c>
      <c r="J740" s="22"/>
      <c r="K740" s="22"/>
      <c r="L740" s="22" t="s">
        <v>34</v>
      </c>
      <c r="M740" s="22" t="s">
        <v>35</v>
      </c>
      <c r="N740" s="22" t="s">
        <v>35</v>
      </c>
      <c r="O740" s="22" t="s">
        <v>35</v>
      </c>
      <c r="P740" s="22" t="s">
        <v>35</v>
      </c>
      <c r="Q740" s="22" t="s">
        <v>35</v>
      </c>
      <c r="R740" s="22" t="s">
        <v>35</v>
      </c>
      <c r="S740" s="22" t="s">
        <v>34</v>
      </c>
      <c r="T740" s="22"/>
      <c r="U740" s="22"/>
      <c r="V740" s="22"/>
      <c r="W740" s="22"/>
      <c r="X740" s="22"/>
      <c r="Y740" s="22"/>
      <c r="Z740" s="22"/>
      <c r="AA740" s="22"/>
      <c r="AB740" s="22"/>
      <c r="AC740" s="22" t="s">
        <v>1922</v>
      </c>
      <c r="AD740" s="22">
        <v>20170413</v>
      </c>
      <c r="AE740" s="22">
        <v>739</v>
      </c>
      <c r="AF740" s="22"/>
      <c r="AG740" s="22" t="str">
        <f>IFERROR(VLOOKUP(TblFeedFile[[#This Row],[Leave Type ]],LkupPayType[],2,FALSE),"TBD")</f>
        <v>Unpaid</v>
      </c>
      <c r="AH740" s="30" t="str">
        <f>IFERROR(VLOOKUP(TblFeedFile[[#This Row],[ Report Number ]],LkupPayrollCycle[],2,FALSE),"TBD")</f>
        <v>Bi-Weekly</v>
      </c>
      <c r="AI740" s="25"/>
      <c r="AJ740" s="25"/>
      <c r="AK740" s="26"/>
    </row>
    <row r="741" spans="1:37" x14ac:dyDescent="0.25">
      <c r="A741" s="21" t="s">
        <v>37</v>
      </c>
      <c r="B741" s="22">
        <v>314304</v>
      </c>
      <c r="C741" s="22">
        <v>28547001</v>
      </c>
      <c r="D741" s="23" t="s">
        <v>2653</v>
      </c>
      <c r="E741" s="22" t="s">
        <v>2654</v>
      </c>
      <c r="F741" s="22" t="s">
        <v>2655</v>
      </c>
      <c r="G741" s="22">
        <v>20170331</v>
      </c>
      <c r="H741" s="22">
        <v>20170331</v>
      </c>
      <c r="I741" s="22" t="s">
        <v>43</v>
      </c>
      <c r="J741" s="22"/>
      <c r="K741" s="22"/>
      <c r="L741" s="22" t="s">
        <v>34</v>
      </c>
      <c r="M741" s="22" t="s">
        <v>35</v>
      </c>
      <c r="N741" s="22" t="s">
        <v>35</v>
      </c>
      <c r="O741" s="22" t="s">
        <v>35</v>
      </c>
      <c r="P741" s="22" t="s">
        <v>35</v>
      </c>
      <c r="Q741" s="22" t="s">
        <v>35</v>
      </c>
      <c r="R741" s="22" t="s">
        <v>35</v>
      </c>
      <c r="S741" s="22" t="s">
        <v>34</v>
      </c>
      <c r="T741" s="22"/>
      <c r="U741" s="22"/>
      <c r="V741" s="22"/>
      <c r="W741" s="22"/>
      <c r="X741" s="22"/>
      <c r="Y741" s="22"/>
      <c r="Z741" s="22"/>
      <c r="AA741" s="22"/>
      <c r="AB741" s="22"/>
      <c r="AC741" s="22" t="s">
        <v>1901</v>
      </c>
      <c r="AD741" s="22">
        <v>20170413</v>
      </c>
      <c r="AE741" s="22">
        <v>740</v>
      </c>
      <c r="AF741" s="22"/>
      <c r="AG741" s="22" t="str">
        <f>IFERROR(VLOOKUP(TblFeedFile[[#This Row],[Leave Type ]],LkupPayType[],2,FALSE),"TBD")</f>
        <v>Denied</v>
      </c>
      <c r="AH741" s="30" t="str">
        <f>IFERROR(VLOOKUP(TblFeedFile[[#This Row],[ Report Number ]],LkupPayrollCycle[],2,FALSE),"TBD")</f>
        <v>Bi-Weekly</v>
      </c>
      <c r="AI741" s="25" t="s">
        <v>35</v>
      </c>
      <c r="AJ741" s="25"/>
      <c r="AK741" s="26"/>
    </row>
    <row r="742" spans="1:37" x14ac:dyDescent="0.25">
      <c r="A742" s="21" t="s">
        <v>37</v>
      </c>
      <c r="B742" s="22">
        <v>314304</v>
      </c>
      <c r="C742" s="22">
        <v>28549784</v>
      </c>
      <c r="D742" s="23">
        <v>511704128631</v>
      </c>
      <c r="E742" s="22" t="s">
        <v>2057</v>
      </c>
      <c r="F742" s="22" t="s">
        <v>2058</v>
      </c>
      <c r="G742" s="22">
        <v>20170409</v>
      </c>
      <c r="H742" s="22">
        <v>20170512</v>
      </c>
      <c r="I742" s="22" t="s">
        <v>53</v>
      </c>
      <c r="J742" s="22"/>
      <c r="K742" s="22"/>
      <c r="L742" s="22" t="s">
        <v>34</v>
      </c>
      <c r="M742" s="22" t="s">
        <v>34</v>
      </c>
      <c r="N742" s="22" t="s">
        <v>35</v>
      </c>
      <c r="O742" s="22" t="s">
        <v>35</v>
      </c>
      <c r="P742" s="22" t="s">
        <v>35</v>
      </c>
      <c r="Q742" s="22" t="s">
        <v>35</v>
      </c>
      <c r="R742" s="22" t="s">
        <v>35</v>
      </c>
      <c r="S742" s="22" t="s">
        <v>34</v>
      </c>
      <c r="T742" s="22"/>
      <c r="U742" s="22"/>
      <c r="V742" s="22"/>
      <c r="W742" s="22"/>
      <c r="X742" s="22"/>
      <c r="Y742" s="22"/>
      <c r="Z742" s="22"/>
      <c r="AA742" s="22"/>
      <c r="AB742" s="22"/>
      <c r="AC742" s="22" t="s">
        <v>1922</v>
      </c>
      <c r="AD742" s="22">
        <v>20170413</v>
      </c>
      <c r="AE742" s="22">
        <v>741</v>
      </c>
      <c r="AF742" s="22"/>
      <c r="AG742" s="22" t="str">
        <f>IFERROR(VLOOKUP(TblFeedFile[[#This Row],[Leave Type ]],LkupPayType[],2,FALSE),"TBD")</f>
        <v>Paid</v>
      </c>
      <c r="AH742" s="30" t="str">
        <f>IFERROR(VLOOKUP(TblFeedFile[[#This Row],[ Report Number ]],LkupPayrollCycle[],2,FALSE),"TBD")</f>
        <v>Bi-Weekly</v>
      </c>
      <c r="AI742" s="25"/>
      <c r="AJ742" s="25"/>
      <c r="AK742" s="26"/>
    </row>
    <row r="743" spans="1:37" x14ac:dyDescent="0.25">
      <c r="A743" s="21" t="s">
        <v>37</v>
      </c>
      <c r="B743" s="22">
        <v>314304</v>
      </c>
      <c r="C743" s="22">
        <v>28556266</v>
      </c>
      <c r="D743" s="23" t="s">
        <v>2656</v>
      </c>
      <c r="E743" s="22" t="s">
        <v>2657</v>
      </c>
      <c r="F743" s="22" t="s">
        <v>2658</v>
      </c>
      <c r="G743" s="22">
        <v>20170319</v>
      </c>
      <c r="H743" s="22">
        <v>20170319</v>
      </c>
      <c r="I743" s="22" t="s">
        <v>33</v>
      </c>
      <c r="J743" s="22"/>
      <c r="K743" s="22"/>
      <c r="L743" s="22" t="s">
        <v>34</v>
      </c>
      <c r="M743" s="22" t="s">
        <v>34</v>
      </c>
      <c r="N743" s="22" t="s">
        <v>35</v>
      </c>
      <c r="O743" s="22" t="s">
        <v>35</v>
      </c>
      <c r="P743" s="22" t="s">
        <v>35</v>
      </c>
      <c r="Q743" s="22" t="s">
        <v>35</v>
      </c>
      <c r="R743" s="22" t="s">
        <v>35</v>
      </c>
      <c r="S743" s="22" t="s">
        <v>34</v>
      </c>
      <c r="T743" s="22">
        <v>20170331</v>
      </c>
      <c r="U743" s="22"/>
      <c r="V743" s="22"/>
      <c r="W743" s="22"/>
      <c r="X743" s="22"/>
      <c r="Y743" s="22"/>
      <c r="Z743" s="22"/>
      <c r="AA743" s="22"/>
      <c r="AB743" s="22"/>
      <c r="AC743" s="22" t="s">
        <v>2173</v>
      </c>
      <c r="AD743" s="22">
        <v>20170413</v>
      </c>
      <c r="AE743" s="22">
        <v>742</v>
      </c>
      <c r="AF743" s="22"/>
      <c r="AG743" s="22" t="str">
        <f>IFERROR(VLOOKUP(TblFeedFile[[#This Row],[Leave Type ]],LkupPayType[],2,FALSE),"TBD")</f>
        <v>Closed</v>
      </c>
      <c r="AH743" s="30" t="str">
        <f>IFERROR(VLOOKUP(TblFeedFile[[#This Row],[ Report Number ]],LkupPayrollCycle[],2,FALSE),"TBD")</f>
        <v>Bi-Weekly</v>
      </c>
      <c r="AI743" s="25"/>
      <c r="AJ743" s="25"/>
      <c r="AK743" s="26" t="s">
        <v>35</v>
      </c>
    </row>
    <row r="744" spans="1:37" x14ac:dyDescent="0.25">
      <c r="A744" s="21" t="s">
        <v>29</v>
      </c>
      <c r="B744" s="22">
        <v>314304</v>
      </c>
      <c r="C744" s="22">
        <v>28574416</v>
      </c>
      <c r="D744" s="23">
        <v>511703178019</v>
      </c>
      <c r="E744" s="22" t="s">
        <v>2059</v>
      </c>
      <c r="F744" s="22" t="s">
        <v>2060</v>
      </c>
      <c r="G744" s="22">
        <v>20170410</v>
      </c>
      <c r="H744" s="22">
        <v>20170522</v>
      </c>
      <c r="I744" s="22" t="s">
        <v>53</v>
      </c>
      <c r="J744" s="22"/>
      <c r="K744" s="22"/>
      <c r="L744" s="22" t="s">
        <v>34</v>
      </c>
      <c r="M744" s="22" t="s">
        <v>34</v>
      </c>
      <c r="N744" s="22" t="s">
        <v>35</v>
      </c>
      <c r="O744" s="22" t="s">
        <v>35</v>
      </c>
      <c r="P744" s="22" t="s">
        <v>35</v>
      </c>
      <c r="Q744" s="22" t="s">
        <v>35</v>
      </c>
      <c r="R744" s="22" t="s">
        <v>35</v>
      </c>
      <c r="S744" s="22" t="s">
        <v>34</v>
      </c>
      <c r="T744" s="22"/>
      <c r="U744" s="22"/>
      <c r="V744" s="22"/>
      <c r="W744" s="22"/>
      <c r="X744" s="22"/>
      <c r="Y744" s="22"/>
      <c r="Z744" s="22"/>
      <c r="AA744" s="22"/>
      <c r="AB744" s="22"/>
      <c r="AC744" s="22" t="s">
        <v>1921</v>
      </c>
      <c r="AD744" s="22">
        <v>20170413</v>
      </c>
      <c r="AE744" s="22">
        <v>743</v>
      </c>
      <c r="AF744" s="22"/>
      <c r="AG744" s="22" t="str">
        <f>IFERROR(VLOOKUP(TblFeedFile[[#This Row],[Leave Type ]],LkupPayType[],2,FALSE),"TBD")</f>
        <v>Paid</v>
      </c>
      <c r="AH744" s="30" t="str">
        <f>IFERROR(VLOOKUP(TblFeedFile[[#This Row],[ Report Number ]],LkupPayrollCycle[],2,FALSE),"TBD")</f>
        <v>Bi-Weekly</v>
      </c>
      <c r="AI744" s="25"/>
      <c r="AJ744" s="25"/>
      <c r="AK744" s="26"/>
    </row>
    <row r="745" spans="1:37" x14ac:dyDescent="0.25">
      <c r="A745" s="21" t="s">
        <v>37</v>
      </c>
      <c r="B745" s="22">
        <v>314304</v>
      </c>
      <c r="C745" s="22">
        <v>28574416</v>
      </c>
      <c r="D745" s="23">
        <v>511703178019</v>
      </c>
      <c r="E745" s="22" t="s">
        <v>2059</v>
      </c>
      <c r="F745" s="22" t="s">
        <v>2060</v>
      </c>
      <c r="G745" s="22">
        <v>20170410</v>
      </c>
      <c r="H745" s="22">
        <v>20170521</v>
      </c>
      <c r="I745" s="22" t="s">
        <v>53</v>
      </c>
      <c r="J745" s="22"/>
      <c r="K745" s="22"/>
      <c r="L745" s="22" t="s">
        <v>34</v>
      </c>
      <c r="M745" s="22" t="s">
        <v>34</v>
      </c>
      <c r="N745" s="22" t="s">
        <v>35</v>
      </c>
      <c r="O745" s="22" t="s">
        <v>35</v>
      </c>
      <c r="P745" s="22" t="s">
        <v>35</v>
      </c>
      <c r="Q745" s="22" t="s">
        <v>35</v>
      </c>
      <c r="R745" s="22" t="s">
        <v>35</v>
      </c>
      <c r="S745" s="22" t="s">
        <v>34</v>
      </c>
      <c r="T745" s="22"/>
      <c r="U745" s="22"/>
      <c r="V745" s="22"/>
      <c r="W745" s="22"/>
      <c r="X745" s="22"/>
      <c r="Y745" s="22"/>
      <c r="Z745" s="22"/>
      <c r="AA745" s="22"/>
      <c r="AB745" s="22"/>
      <c r="AC745" s="22" t="s">
        <v>1921</v>
      </c>
      <c r="AD745" s="22">
        <v>20170413</v>
      </c>
      <c r="AE745" s="22">
        <v>744</v>
      </c>
      <c r="AF745" s="22"/>
      <c r="AG745" s="22" t="str">
        <f>IFERROR(VLOOKUP(TblFeedFile[[#This Row],[Leave Type ]],LkupPayType[],2,FALSE),"TBD")</f>
        <v>Paid</v>
      </c>
      <c r="AH745" s="30" t="str">
        <f>IFERROR(VLOOKUP(TblFeedFile[[#This Row],[ Report Number ]],LkupPayrollCycle[],2,FALSE),"TBD")</f>
        <v>Bi-Weekly</v>
      </c>
      <c r="AI745" s="25"/>
      <c r="AJ745" s="25"/>
      <c r="AK745" s="26"/>
    </row>
    <row r="746" spans="1:37" x14ac:dyDescent="0.25">
      <c r="A746" s="21" t="s">
        <v>37</v>
      </c>
      <c r="B746" s="22">
        <v>314301</v>
      </c>
      <c r="C746" s="22">
        <v>28614699</v>
      </c>
      <c r="D746" s="23">
        <v>551703308265</v>
      </c>
      <c r="E746" s="22" t="s">
        <v>1338</v>
      </c>
      <c r="F746" s="22" t="s">
        <v>2659</v>
      </c>
      <c r="G746" s="22">
        <v>20170405</v>
      </c>
      <c r="H746" s="22">
        <v>20170604</v>
      </c>
      <c r="I746" s="22" t="s">
        <v>53</v>
      </c>
      <c r="J746" s="22"/>
      <c r="K746" s="22"/>
      <c r="L746" s="22" t="s">
        <v>34</v>
      </c>
      <c r="M746" s="22" t="s">
        <v>34</v>
      </c>
      <c r="N746" s="22" t="s">
        <v>35</v>
      </c>
      <c r="O746" s="22" t="s">
        <v>35</v>
      </c>
      <c r="P746" s="22" t="s">
        <v>35</v>
      </c>
      <c r="Q746" s="22" t="s">
        <v>35</v>
      </c>
      <c r="R746" s="22" t="s">
        <v>35</v>
      </c>
      <c r="S746" s="22" t="s">
        <v>34</v>
      </c>
      <c r="T746" s="22"/>
      <c r="U746" s="22"/>
      <c r="V746" s="22"/>
      <c r="W746" s="22"/>
      <c r="X746" s="22"/>
      <c r="Y746" s="22"/>
      <c r="Z746" s="22"/>
      <c r="AA746" s="22"/>
      <c r="AB746" s="22"/>
      <c r="AC746" s="22" t="s">
        <v>1923</v>
      </c>
      <c r="AD746" s="22">
        <v>20170413</v>
      </c>
      <c r="AE746" s="22">
        <v>745</v>
      </c>
      <c r="AF746" s="22"/>
      <c r="AG746" s="22" t="str">
        <f>IFERROR(VLOOKUP(TblFeedFile[[#This Row],[Leave Type ]],LkupPayType[],2,FALSE),"TBD")</f>
        <v>Paid</v>
      </c>
      <c r="AH746" s="30" t="str">
        <f>IFERROR(VLOOKUP(TblFeedFile[[#This Row],[ Report Number ]],LkupPayrollCycle[],2,FALSE),"TBD")</f>
        <v>Semi-Monthly</v>
      </c>
      <c r="AI746" s="25"/>
      <c r="AJ746" s="25"/>
      <c r="AK746" s="26"/>
    </row>
    <row r="747" spans="1:37" x14ac:dyDescent="0.25">
      <c r="A747" s="21" t="s">
        <v>37</v>
      </c>
      <c r="B747" s="22">
        <v>314301</v>
      </c>
      <c r="C747" s="22">
        <v>28614699</v>
      </c>
      <c r="D747" s="23">
        <v>551703308265</v>
      </c>
      <c r="E747" s="22" t="s">
        <v>1338</v>
      </c>
      <c r="F747" s="22" t="s">
        <v>2659</v>
      </c>
      <c r="G747" s="22">
        <v>20170412</v>
      </c>
      <c r="H747" s="22">
        <v>20170604</v>
      </c>
      <c r="I747" s="22" t="s">
        <v>40</v>
      </c>
      <c r="J747" s="22"/>
      <c r="K747" s="22"/>
      <c r="L747" s="22" t="s">
        <v>34</v>
      </c>
      <c r="M747" s="22" t="s">
        <v>34</v>
      </c>
      <c r="N747" s="22" t="s">
        <v>35</v>
      </c>
      <c r="O747" s="22" t="s">
        <v>35</v>
      </c>
      <c r="P747" s="22" t="s">
        <v>35</v>
      </c>
      <c r="Q747" s="22" t="s">
        <v>35</v>
      </c>
      <c r="R747" s="22" t="s">
        <v>35</v>
      </c>
      <c r="S747" s="22" t="s">
        <v>34</v>
      </c>
      <c r="T747" s="22"/>
      <c r="U747" s="22"/>
      <c r="V747" s="22"/>
      <c r="W747" s="22"/>
      <c r="X747" s="22"/>
      <c r="Y747" s="22"/>
      <c r="Z747" s="22"/>
      <c r="AA747" s="22"/>
      <c r="AB747" s="22"/>
      <c r="AC747" s="22" t="s">
        <v>1922</v>
      </c>
      <c r="AD747" s="22">
        <v>20170413</v>
      </c>
      <c r="AE747" s="22">
        <v>746</v>
      </c>
      <c r="AF747" s="22"/>
      <c r="AG747" s="22" t="str">
        <f>IFERROR(VLOOKUP(TblFeedFile[[#This Row],[Leave Type ]],LkupPayType[],2,FALSE),"TBD")</f>
        <v>Paid</v>
      </c>
      <c r="AH747" s="30" t="str">
        <f>IFERROR(VLOOKUP(TblFeedFile[[#This Row],[ Report Number ]],LkupPayrollCycle[],2,FALSE),"TBD")</f>
        <v>Semi-Monthly</v>
      </c>
      <c r="AI747" s="25"/>
      <c r="AJ747" s="25"/>
      <c r="AK747" s="26"/>
    </row>
    <row r="748" spans="1:37" x14ac:dyDescent="0.25">
      <c r="A748" s="21" t="s">
        <v>29</v>
      </c>
      <c r="B748" s="22">
        <v>314304</v>
      </c>
      <c r="C748" s="22">
        <v>28682495</v>
      </c>
      <c r="D748" s="23" t="s">
        <v>2660</v>
      </c>
      <c r="E748" s="22" t="s">
        <v>2661</v>
      </c>
      <c r="F748" s="22" t="s">
        <v>2662</v>
      </c>
      <c r="G748" s="22">
        <v>20170308</v>
      </c>
      <c r="H748" s="22">
        <v>20170308</v>
      </c>
      <c r="I748" s="22" t="s">
        <v>33</v>
      </c>
      <c r="J748" s="22"/>
      <c r="K748" s="22"/>
      <c r="L748" s="22" t="s">
        <v>34</v>
      </c>
      <c r="M748" s="22" t="s">
        <v>34</v>
      </c>
      <c r="N748" s="22" t="s">
        <v>35</v>
      </c>
      <c r="O748" s="22" t="s">
        <v>35</v>
      </c>
      <c r="P748" s="22" t="s">
        <v>35</v>
      </c>
      <c r="Q748" s="22" t="s">
        <v>35</v>
      </c>
      <c r="R748" s="22" t="s">
        <v>35</v>
      </c>
      <c r="S748" s="22" t="s">
        <v>34</v>
      </c>
      <c r="T748" s="22"/>
      <c r="U748" s="22"/>
      <c r="V748" s="22"/>
      <c r="W748" s="22"/>
      <c r="X748" s="22"/>
      <c r="Y748" s="22"/>
      <c r="Z748" s="22"/>
      <c r="AA748" s="22"/>
      <c r="AB748" s="22"/>
      <c r="AC748" s="22" t="s">
        <v>1956</v>
      </c>
      <c r="AD748" s="22">
        <v>20170413</v>
      </c>
      <c r="AE748" s="22">
        <v>747</v>
      </c>
      <c r="AF748" s="22"/>
      <c r="AG748" s="22" t="str">
        <f>IFERROR(VLOOKUP(TblFeedFile[[#This Row],[Leave Type ]],LkupPayType[],2,FALSE),"TBD")</f>
        <v>Closed</v>
      </c>
      <c r="AH748" s="30" t="str">
        <f>IFERROR(VLOOKUP(TblFeedFile[[#This Row],[ Report Number ]],LkupPayrollCycle[],2,FALSE),"TBD")</f>
        <v>Bi-Weekly</v>
      </c>
      <c r="AI748" s="25"/>
      <c r="AJ748" s="25"/>
      <c r="AK748" s="26"/>
    </row>
    <row r="749" spans="1:37" x14ac:dyDescent="0.25">
      <c r="A749" s="21" t="s">
        <v>37</v>
      </c>
      <c r="B749" s="22">
        <v>314304</v>
      </c>
      <c r="C749" s="22">
        <v>28682495</v>
      </c>
      <c r="D749" s="23" t="s">
        <v>2660</v>
      </c>
      <c r="E749" s="22" t="s">
        <v>2661</v>
      </c>
      <c r="F749" s="22" t="s">
        <v>2662</v>
      </c>
      <c r="G749" s="22">
        <v>20170308</v>
      </c>
      <c r="H749" s="22">
        <v>20170405</v>
      </c>
      <c r="I749" s="22" t="s">
        <v>36</v>
      </c>
      <c r="J749" s="22"/>
      <c r="K749" s="22"/>
      <c r="L749" s="22" t="s">
        <v>34</v>
      </c>
      <c r="M749" s="22" t="s">
        <v>34</v>
      </c>
      <c r="N749" s="22" t="s">
        <v>35</v>
      </c>
      <c r="O749" s="22" t="s">
        <v>35</v>
      </c>
      <c r="P749" s="22" t="s">
        <v>35</v>
      </c>
      <c r="Q749" s="22" t="s">
        <v>35</v>
      </c>
      <c r="R749" s="22" t="s">
        <v>35</v>
      </c>
      <c r="S749" s="22" t="s">
        <v>34</v>
      </c>
      <c r="T749" s="22"/>
      <c r="U749" s="22"/>
      <c r="V749" s="22"/>
      <c r="W749" s="22"/>
      <c r="X749" s="22"/>
      <c r="Y749" s="22"/>
      <c r="Z749" s="22"/>
      <c r="AA749" s="22"/>
      <c r="AB749" s="22"/>
      <c r="AC749" s="22" t="s">
        <v>2173</v>
      </c>
      <c r="AD749" s="22">
        <v>20170413</v>
      </c>
      <c r="AE749" s="22">
        <v>748</v>
      </c>
      <c r="AF749" s="22"/>
      <c r="AG749" s="22" t="str">
        <f>IFERROR(VLOOKUP(TblFeedFile[[#This Row],[Leave Type ]],LkupPayType[],2,FALSE),"TBD")</f>
        <v>Unpaid</v>
      </c>
      <c r="AH749" s="30" t="str">
        <f>IFERROR(VLOOKUP(TblFeedFile[[#This Row],[ Report Number ]],LkupPayrollCycle[],2,FALSE),"TBD")</f>
        <v>Bi-Weekly</v>
      </c>
      <c r="AI749" s="25" t="s">
        <v>35</v>
      </c>
      <c r="AJ749" s="25"/>
      <c r="AK749" s="26"/>
    </row>
    <row r="750" spans="1:37" x14ac:dyDescent="0.25">
      <c r="A750" s="21" t="s">
        <v>37</v>
      </c>
      <c r="B750" s="22">
        <v>314304</v>
      </c>
      <c r="C750" s="22">
        <v>28682495</v>
      </c>
      <c r="D750" s="23" t="s">
        <v>2660</v>
      </c>
      <c r="E750" s="22" t="s">
        <v>2661</v>
      </c>
      <c r="F750" s="22" t="s">
        <v>2662</v>
      </c>
      <c r="G750" s="22">
        <v>20170406</v>
      </c>
      <c r="H750" s="22">
        <v>20170406</v>
      </c>
      <c r="I750" s="22" t="s">
        <v>33</v>
      </c>
      <c r="J750" s="22"/>
      <c r="K750" s="22"/>
      <c r="L750" s="22" t="s">
        <v>34</v>
      </c>
      <c r="M750" s="22" t="s">
        <v>34</v>
      </c>
      <c r="N750" s="22" t="s">
        <v>35</v>
      </c>
      <c r="O750" s="22" t="s">
        <v>35</v>
      </c>
      <c r="P750" s="22" t="s">
        <v>35</v>
      </c>
      <c r="Q750" s="22" t="s">
        <v>35</v>
      </c>
      <c r="R750" s="22" t="s">
        <v>35</v>
      </c>
      <c r="S750" s="22" t="s">
        <v>34</v>
      </c>
      <c r="T750" s="22"/>
      <c r="U750" s="22"/>
      <c r="V750" s="22"/>
      <c r="W750" s="22"/>
      <c r="X750" s="22"/>
      <c r="Y750" s="22"/>
      <c r="Z750" s="22"/>
      <c r="AA750" s="22"/>
      <c r="AB750" s="22"/>
      <c r="AC750" s="22" t="s">
        <v>1956</v>
      </c>
      <c r="AD750" s="22">
        <v>20170413</v>
      </c>
      <c r="AE750" s="22">
        <v>749</v>
      </c>
      <c r="AF750" s="22"/>
      <c r="AG750" s="22" t="str">
        <f>IFERROR(VLOOKUP(TblFeedFile[[#This Row],[Leave Type ]],LkupPayType[],2,FALSE),"TBD")</f>
        <v>Closed</v>
      </c>
      <c r="AH750" s="30" t="str">
        <f>IFERROR(VLOOKUP(TblFeedFile[[#This Row],[ Report Number ]],LkupPayrollCycle[],2,FALSE),"TBD")</f>
        <v>Bi-Weekly</v>
      </c>
      <c r="AI750" s="25"/>
      <c r="AJ750" s="25"/>
      <c r="AK750" s="26"/>
    </row>
    <row r="751" spans="1:37" x14ac:dyDescent="0.25">
      <c r="A751" s="21" t="s">
        <v>29</v>
      </c>
      <c r="B751" s="22">
        <v>314304</v>
      </c>
      <c r="C751" s="22">
        <v>28683196</v>
      </c>
      <c r="D751" s="23" t="s">
        <v>2663</v>
      </c>
      <c r="E751" s="22" t="s">
        <v>1112</v>
      </c>
      <c r="F751" s="22" t="s">
        <v>1636</v>
      </c>
      <c r="G751" s="22">
        <v>20170111</v>
      </c>
      <c r="H751" s="22">
        <v>20170111</v>
      </c>
      <c r="I751" s="22" t="s">
        <v>33</v>
      </c>
      <c r="J751" s="22"/>
      <c r="K751" s="22"/>
      <c r="L751" s="22" t="s">
        <v>34</v>
      </c>
      <c r="M751" s="22" t="s">
        <v>34</v>
      </c>
      <c r="N751" s="22" t="s">
        <v>35</v>
      </c>
      <c r="O751" s="22" t="s">
        <v>35</v>
      </c>
      <c r="P751" s="22" t="s">
        <v>35</v>
      </c>
      <c r="Q751" s="22" t="s">
        <v>35</v>
      </c>
      <c r="R751" s="22" t="s">
        <v>35</v>
      </c>
      <c r="S751" s="22" t="s">
        <v>34</v>
      </c>
      <c r="T751" s="22"/>
      <c r="U751" s="22"/>
      <c r="V751" s="22"/>
      <c r="W751" s="22"/>
      <c r="X751" s="22"/>
      <c r="Y751" s="22"/>
      <c r="Z751" s="22"/>
      <c r="AA751" s="22"/>
      <c r="AB751" s="22"/>
      <c r="AC751" s="22" t="s">
        <v>1964</v>
      </c>
      <c r="AD751" s="22">
        <v>20170413</v>
      </c>
      <c r="AE751" s="22">
        <v>750</v>
      </c>
      <c r="AF751" s="22"/>
      <c r="AG751" s="22" t="str">
        <f>IFERROR(VLOOKUP(TblFeedFile[[#This Row],[Leave Type ]],LkupPayType[],2,FALSE),"TBD")</f>
        <v>Closed</v>
      </c>
      <c r="AH751" s="30" t="str">
        <f>IFERROR(VLOOKUP(TblFeedFile[[#This Row],[ Report Number ]],LkupPayrollCycle[],2,FALSE),"TBD")</f>
        <v>Bi-Weekly</v>
      </c>
      <c r="AI751" s="25"/>
      <c r="AJ751" s="25"/>
      <c r="AK751" s="26"/>
    </row>
    <row r="752" spans="1:37" x14ac:dyDescent="0.25">
      <c r="A752" s="21" t="s">
        <v>29</v>
      </c>
      <c r="B752" s="22">
        <v>314304</v>
      </c>
      <c r="C752" s="22">
        <v>28683196</v>
      </c>
      <c r="D752" s="23" t="s">
        <v>2663</v>
      </c>
      <c r="E752" s="22" t="s">
        <v>1112</v>
      </c>
      <c r="F752" s="22" t="s">
        <v>1636</v>
      </c>
      <c r="G752" s="22">
        <v>20170106</v>
      </c>
      <c r="H752" s="22">
        <v>20170110</v>
      </c>
      <c r="I752" s="22" t="s">
        <v>36</v>
      </c>
      <c r="J752" s="22"/>
      <c r="K752" s="22"/>
      <c r="L752" s="22" t="s">
        <v>34</v>
      </c>
      <c r="M752" s="22" t="s">
        <v>34</v>
      </c>
      <c r="N752" s="22" t="s">
        <v>35</v>
      </c>
      <c r="O752" s="22" t="s">
        <v>35</v>
      </c>
      <c r="P752" s="22" t="s">
        <v>35</v>
      </c>
      <c r="Q752" s="22" t="s">
        <v>35</v>
      </c>
      <c r="R752" s="22" t="s">
        <v>35</v>
      </c>
      <c r="S752" s="22" t="s">
        <v>34</v>
      </c>
      <c r="T752" s="22"/>
      <c r="U752" s="22"/>
      <c r="V752" s="22"/>
      <c r="W752" s="22"/>
      <c r="X752" s="22"/>
      <c r="Y752" s="22"/>
      <c r="Z752" s="22"/>
      <c r="AA752" s="22"/>
      <c r="AB752" s="22"/>
      <c r="AC752" s="22" t="s">
        <v>1965</v>
      </c>
      <c r="AD752" s="22">
        <v>20170413</v>
      </c>
      <c r="AE752" s="22">
        <v>751</v>
      </c>
      <c r="AF752" s="22"/>
      <c r="AG752" s="22" t="str">
        <f>IFERROR(VLOOKUP(TblFeedFile[[#This Row],[Leave Type ]],LkupPayType[],2,FALSE),"TBD")</f>
        <v>Unpaid</v>
      </c>
      <c r="AH752" s="30" t="str">
        <f>IFERROR(VLOOKUP(TblFeedFile[[#This Row],[ Report Number ]],LkupPayrollCycle[],2,FALSE),"TBD")</f>
        <v>Bi-Weekly</v>
      </c>
      <c r="AI752" s="25"/>
      <c r="AJ752" s="25"/>
      <c r="AK752" s="26"/>
    </row>
    <row r="753" spans="1:37" x14ac:dyDescent="0.25">
      <c r="A753" s="21" t="s">
        <v>37</v>
      </c>
      <c r="B753" s="22">
        <v>314304</v>
      </c>
      <c r="C753" s="22">
        <v>28683196</v>
      </c>
      <c r="D753" s="23" t="s">
        <v>2663</v>
      </c>
      <c r="E753" s="22" t="s">
        <v>1112</v>
      </c>
      <c r="F753" s="22" t="s">
        <v>1636</v>
      </c>
      <c r="G753" s="22">
        <v>20170106</v>
      </c>
      <c r="H753" s="22">
        <v>20170106</v>
      </c>
      <c r="I753" s="22" t="s">
        <v>43</v>
      </c>
      <c r="J753" s="22"/>
      <c r="K753" s="22"/>
      <c r="L753" s="22" t="s">
        <v>34</v>
      </c>
      <c r="M753" s="22" t="s">
        <v>34</v>
      </c>
      <c r="N753" s="22" t="s">
        <v>35</v>
      </c>
      <c r="O753" s="22" t="s">
        <v>35</v>
      </c>
      <c r="P753" s="22" t="s">
        <v>35</v>
      </c>
      <c r="Q753" s="22" t="s">
        <v>35</v>
      </c>
      <c r="R753" s="22" t="s">
        <v>35</v>
      </c>
      <c r="S753" s="22" t="s">
        <v>34</v>
      </c>
      <c r="T753" s="22"/>
      <c r="U753" s="22"/>
      <c r="V753" s="22"/>
      <c r="W753" s="22"/>
      <c r="X753" s="22"/>
      <c r="Y753" s="22"/>
      <c r="Z753" s="22"/>
      <c r="AA753" s="22"/>
      <c r="AB753" s="22"/>
      <c r="AC753" s="22" t="s">
        <v>1964</v>
      </c>
      <c r="AD753" s="22">
        <v>20170413</v>
      </c>
      <c r="AE753" s="22">
        <v>752</v>
      </c>
      <c r="AF753" s="22"/>
      <c r="AG753" s="22" t="str">
        <f>IFERROR(VLOOKUP(TblFeedFile[[#This Row],[Leave Type ]],LkupPayType[],2,FALSE),"TBD")</f>
        <v>Denied</v>
      </c>
      <c r="AH753" s="30" t="str">
        <f>IFERROR(VLOOKUP(TblFeedFile[[#This Row],[ Report Number ]],LkupPayrollCycle[],2,FALSE),"TBD")</f>
        <v>Bi-Weekly</v>
      </c>
      <c r="AI753" s="25" t="s">
        <v>35</v>
      </c>
      <c r="AJ753" s="25"/>
      <c r="AK753" s="26"/>
    </row>
    <row r="754" spans="1:37" x14ac:dyDescent="0.25">
      <c r="A754" s="21" t="s">
        <v>29</v>
      </c>
      <c r="B754" s="22">
        <v>314304</v>
      </c>
      <c r="C754" s="22">
        <v>28760691</v>
      </c>
      <c r="D754" s="23" t="s">
        <v>2664</v>
      </c>
      <c r="E754" s="22" t="s">
        <v>2665</v>
      </c>
      <c r="F754" s="22" t="s">
        <v>2666</v>
      </c>
      <c r="G754" s="22">
        <v>20170320</v>
      </c>
      <c r="H754" s="22">
        <v>20170727</v>
      </c>
      <c r="I754" s="22" t="s">
        <v>78</v>
      </c>
      <c r="J754" s="22"/>
      <c r="K754" s="22" t="s">
        <v>79</v>
      </c>
      <c r="L754" s="22" t="s">
        <v>34</v>
      </c>
      <c r="M754" s="22" t="s">
        <v>34</v>
      </c>
      <c r="N754" s="22" t="s">
        <v>35</v>
      </c>
      <c r="O754" s="22" t="s">
        <v>35</v>
      </c>
      <c r="P754" s="22" t="s">
        <v>35</v>
      </c>
      <c r="Q754" s="22" t="s">
        <v>35</v>
      </c>
      <c r="R754" s="22" t="s">
        <v>35</v>
      </c>
      <c r="S754" s="22" t="s">
        <v>34</v>
      </c>
      <c r="T754" s="22"/>
      <c r="U754" s="22"/>
      <c r="V754" s="22"/>
      <c r="W754" s="22"/>
      <c r="X754" s="22"/>
      <c r="Y754" s="22"/>
      <c r="Z754" s="22"/>
      <c r="AA754" s="22"/>
      <c r="AB754" s="22"/>
      <c r="AC754" s="22" t="s">
        <v>1915</v>
      </c>
      <c r="AD754" s="22">
        <v>20170413</v>
      </c>
      <c r="AE754" s="22">
        <v>753</v>
      </c>
      <c r="AF754" s="22"/>
      <c r="AG754" s="22" t="str">
        <f>IFERROR(VLOOKUP(TblFeedFile[[#This Row],[Leave Type ]],LkupPayType[],2,FALSE),"TBD")</f>
        <v>Unpaid</v>
      </c>
      <c r="AH754" s="30" t="str">
        <f>IFERROR(VLOOKUP(TblFeedFile[[#This Row],[ Report Number ]],LkupPayrollCycle[],2,FALSE),"TBD")</f>
        <v>Bi-Weekly</v>
      </c>
      <c r="AI754" s="25"/>
      <c r="AJ754" s="25"/>
      <c r="AK754" s="26"/>
    </row>
    <row r="755" spans="1:37" x14ac:dyDescent="0.25">
      <c r="A755" s="21" t="s">
        <v>37</v>
      </c>
      <c r="B755" s="22">
        <v>314304</v>
      </c>
      <c r="C755" s="22">
        <v>28760691</v>
      </c>
      <c r="D755" s="23" t="s">
        <v>2664</v>
      </c>
      <c r="E755" s="22" t="s">
        <v>2665</v>
      </c>
      <c r="F755" s="22" t="s">
        <v>2666</v>
      </c>
      <c r="G755" s="22">
        <v>20170413</v>
      </c>
      <c r="H755" s="22">
        <v>20170727</v>
      </c>
      <c r="I755" s="22" t="s">
        <v>78</v>
      </c>
      <c r="J755" s="22"/>
      <c r="K755" s="22" t="s">
        <v>79</v>
      </c>
      <c r="L755" s="22" t="s">
        <v>34</v>
      </c>
      <c r="M755" s="22" t="s">
        <v>34</v>
      </c>
      <c r="N755" s="22" t="s">
        <v>35</v>
      </c>
      <c r="O755" s="22" t="s">
        <v>35</v>
      </c>
      <c r="P755" s="22" t="s">
        <v>35</v>
      </c>
      <c r="Q755" s="22" t="s">
        <v>35</v>
      </c>
      <c r="R755" s="22" t="s">
        <v>35</v>
      </c>
      <c r="S755" s="22" t="s">
        <v>34</v>
      </c>
      <c r="T755" s="22"/>
      <c r="U755" s="22"/>
      <c r="V755" s="22"/>
      <c r="W755" s="22"/>
      <c r="X755" s="22"/>
      <c r="Y755" s="22"/>
      <c r="Z755" s="22"/>
      <c r="AA755" s="22"/>
      <c r="AB755" s="22"/>
      <c r="AC755" s="22" t="s">
        <v>1915</v>
      </c>
      <c r="AD755" s="22">
        <v>20170413</v>
      </c>
      <c r="AE755" s="22">
        <v>754</v>
      </c>
      <c r="AF755" s="22"/>
      <c r="AG755" s="22" t="str">
        <f>IFERROR(VLOOKUP(TblFeedFile[[#This Row],[Leave Type ]],LkupPayType[],2,FALSE),"TBD")</f>
        <v>Unpaid</v>
      </c>
      <c r="AH755" s="30" t="str">
        <f>IFERROR(VLOOKUP(TblFeedFile[[#This Row],[ Report Number ]],LkupPayrollCycle[],2,FALSE),"TBD")</f>
        <v>Bi-Weekly</v>
      </c>
      <c r="AI755" s="25"/>
      <c r="AJ755" s="25"/>
      <c r="AK755" s="26"/>
    </row>
    <row r="756" spans="1:37" x14ac:dyDescent="0.25">
      <c r="A756" s="21" t="s">
        <v>37</v>
      </c>
      <c r="B756" s="22">
        <v>314304</v>
      </c>
      <c r="C756" s="22">
        <v>28770327</v>
      </c>
      <c r="D756" s="23" t="s">
        <v>2667</v>
      </c>
      <c r="E756" s="22" t="s">
        <v>2668</v>
      </c>
      <c r="F756" s="22" t="s">
        <v>1426</v>
      </c>
      <c r="G756" s="22">
        <v>20170413</v>
      </c>
      <c r="H756" s="22">
        <v>20170413</v>
      </c>
      <c r="I756" s="22" t="s">
        <v>33</v>
      </c>
      <c r="J756" s="22"/>
      <c r="K756" s="22"/>
      <c r="L756" s="22" t="s">
        <v>35</v>
      </c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 t="s">
        <v>1946</v>
      </c>
      <c r="AD756" s="22">
        <v>20170413</v>
      </c>
      <c r="AE756" s="22">
        <v>755</v>
      </c>
      <c r="AF756" s="22"/>
      <c r="AG756" s="22" t="str">
        <f>IFERROR(VLOOKUP(TblFeedFile[[#This Row],[Leave Type ]],LkupPayType[],2,FALSE),"TBD")</f>
        <v>Closed</v>
      </c>
      <c r="AH756" s="30" t="str">
        <f>IFERROR(VLOOKUP(TblFeedFile[[#This Row],[ Report Number ]],LkupPayrollCycle[],2,FALSE),"TBD")</f>
        <v>Bi-Weekly</v>
      </c>
      <c r="AI756" s="25"/>
      <c r="AJ756" s="25"/>
      <c r="AK756" s="26"/>
    </row>
    <row r="757" spans="1:37" x14ac:dyDescent="0.25">
      <c r="A757" s="21" t="s">
        <v>29</v>
      </c>
      <c r="B757" s="22">
        <v>314304</v>
      </c>
      <c r="C757" s="22">
        <v>28947821</v>
      </c>
      <c r="D757" s="23" t="s">
        <v>2669</v>
      </c>
      <c r="E757" s="22" t="s">
        <v>51</v>
      </c>
      <c r="F757" s="22" t="s">
        <v>2670</v>
      </c>
      <c r="G757" s="22">
        <v>20170317</v>
      </c>
      <c r="H757" s="22">
        <v>20170918</v>
      </c>
      <c r="I757" s="22" t="s">
        <v>36</v>
      </c>
      <c r="J757" s="22"/>
      <c r="K757" s="22"/>
      <c r="L757" s="22" t="s">
        <v>34</v>
      </c>
      <c r="M757" s="22" t="s">
        <v>34</v>
      </c>
      <c r="N757" s="22" t="s">
        <v>35</v>
      </c>
      <c r="O757" s="22" t="s">
        <v>35</v>
      </c>
      <c r="P757" s="22" t="s">
        <v>35</v>
      </c>
      <c r="Q757" s="22" t="s">
        <v>35</v>
      </c>
      <c r="R757" s="22" t="s">
        <v>35</v>
      </c>
      <c r="S757" s="22" t="s">
        <v>34</v>
      </c>
      <c r="T757" s="22"/>
      <c r="U757" s="22"/>
      <c r="V757" s="22"/>
      <c r="W757" s="22"/>
      <c r="X757" s="22"/>
      <c r="Y757" s="22"/>
      <c r="Z757" s="22"/>
      <c r="AA757" s="22"/>
      <c r="AB757" s="22"/>
      <c r="AC757" s="22" t="s">
        <v>1911</v>
      </c>
      <c r="AD757" s="22">
        <v>20170413</v>
      </c>
      <c r="AE757" s="22">
        <v>756</v>
      </c>
      <c r="AF757" s="22"/>
      <c r="AG757" s="22" t="str">
        <f>IFERROR(VLOOKUP(TblFeedFile[[#This Row],[Leave Type ]],LkupPayType[],2,FALSE),"TBD")</f>
        <v>Unpaid</v>
      </c>
      <c r="AH757" s="30" t="str">
        <f>IFERROR(VLOOKUP(TblFeedFile[[#This Row],[ Report Number ]],LkupPayrollCycle[],2,FALSE),"TBD")</f>
        <v>Bi-Weekly</v>
      </c>
      <c r="AI757" s="25"/>
      <c r="AJ757" s="25"/>
      <c r="AK757" s="26"/>
    </row>
    <row r="758" spans="1:37" x14ac:dyDescent="0.25">
      <c r="A758" s="21" t="s">
        <v>37</v>
      </c>
      <c r="B758" s="22">
        <v>314304</v>
      </c>
      <c r="C758" s="22">
        <v>28947821</v>
      </c>
      <c r="D758" s="23" t="s">
        <v>2669</v>
      </c>
      <c r="E758" s="22" t="s">
        <v>51</v>
      </c>
      <c r="F758" s="22" t="s">
        <v>2670</v>
      </c>
      <c r="G758" s="22">
        <v>20170413</v>
      </c>
      <c r="H758" s="22">
        <v>20170918</v>
      </c>
      <c r="I758" s="22" t="s">
        <v>36</v>
      </c>
      <c r="J758" s="22"/>
      <c r="K758" s="22"/>
      <c r="L758" s="22" t="s">
        <v>34</v>
      </c>
      <c r="M758" s="22" t="s">
        <v>34</v>
      </c>
      <c r="N758" s="22" t="s">
        <v>35</v>
      </c>
      <c r="O758" s="22" t="s">
        <v>35</v>
      </c>
      <c r="P758" s="22" t="s">
        <v>35</v>
      </c>
      <c r="Q758" s="22" t="s">
        <v>35</v>
      </c>
      <c r="R758" s="22" t="s">
        <v>35</v>
      </c>
      <c r="S758" s="22" t="s">
        <v>34</v>
      </c>
      <c r="T758" s="22"/>
      <c r="U758" s="22"/>
      <c r="V758" s="22"/>
      <c r="W758" s="22"/>
      <c r="X758" s="22"/>
      <c r="Y758" s="22"/>
      <c r="Z758" s="22"/>
      <c r="AA758" s="22"/>
      <c r="AB758" s="22"/>
      <c r="AC758" s="22" t="s">
        <v>1911</v>
      </c>
      <c r="AD758" s="22">
        <v>20170413</v>
      </c>
      <c r="AE758" s="22">
        <v>757</v>
      </c>
      <c r="AF758" s="22"/>
      <c r="AG758" s="22" t="str">
        <f>IFERROR(VLOOKUP(TblFeedFile[[#This Row],[Leave Type ]],LkupPayType[],2,FALSE),"TBD")</f>
        <v>Unpaid</v>
      </c>
      <c r="AH758" s="30" t="str">
        <f>IFERROR(VLOOKUP(TblFeedFile[[#This Row],[ Report Number ]],LkupPayrollCycle[],2,FALSE),"TBD")</f>
        <v>Bi-Weekly</v>
      </c>
      <c r="AI758" s="25"/>
      <c r="AJ758" s="25"/>
      <c r="AK758" s="26"/>
    </row>
    <row r="759" spans="1:37" x14ac:dyDescent="0.25">
      <c r="A759" s="21" t="s">
        <v>37</v>
      </c>
      <c r="B759" s="22">
        <v>314301</v>
      </c>
      <c r="C759" s="22">
        <v>28982222</v>
      </c>
      <c r="D759" s="23">
        <v>501703288788</v>
      </c>
      <c r="E759" s="22" t="s">
        <v>1997</v>
      </c>
      <c r="F759" s="22" t="s">
        <v>2671</v>
      </c>
      <c r="G759" s="22">
        <v>20170411</v>
      </c>
      <c r="H759" s="22">
        <v>20170606</v>
      </c>
      <c r="I759" s="22" t="s">
        <v>53</v>
      </c>
      <c r="J759" s="22"/>
      <c r="K759" s="22"/>
      <c r="L759" s="22" t="s">
        <v>35</v>
      </c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 t="s">
        <v>1943</v>
      </c>
      <c r="AD759" s="22">
        <v>20170413</v>
      </c>
      <c r="AE759" s="22">
        <v>758</v>
      </c>
      <c r="AF759" s="22"/>
      <c r="AG759" s="22" t="str">
        <f>IFERROR(VLOOKUP(TblFeedFile[[#This Row],[Leave Type ]],LkupPayType[],2,FALSE),"TBD")</f>
        <v>Paid</v>
      </c>
      <c r="AH759" s="30" t="str">
        <f>IFERROR(VLOOKUP(TblFeedFile[[#This Row],[ Report Number ]],LkupPayrollCycle[],2,FALSE),"TBD")</f>
        <v>Semi-Monthly</v>
      </c>
      <c r="AI759" s="25"/>
      <c r="AJ759" s="25"/>
      <c r="AK759" s="26"/>
    </row>
    <row r="760" spans="1:37" x14ac:dyDescent="0.25">
      <c r="A760" s="21" t="s">
        <v>37</v>
      </c>
      <c r="B760" s="22">
        <v>314304</v>
      </c>
      <c r="C760" s="22">
        <v>28993855</v>
      </c>
      <c r="D760" s="23" t="s">
        <v>2672</v>
      </c>
      <c r="E760" s="22" t="s">
        <v>533</v>
      </c>
      <c r="F760" s="22" t="s">
        <v>2673</v>
      </c>
      <c r="G760" s="22">
        <v>20170413</v>
      </c>
      <c r="H760" s="22">
        <v>20170501</v>
      </c>
      <c r="I760" s="22" t="s">
        <v>36</v>
      </c>
      <c r="J760" s="22"/>
      <c r="K760" s="22"/>
      <c r="L760" s="22" t="s">
        <v>34</v>
      </c>
      <c r="M760" s="22" t="s">
        <v>34</v>
      </c>
      <c r="N760" s="22" t="s">
        <v>35</v>
      </c>
      <c r="O760" s="22" t="s">
        <v>35</v>
      </c>
      <c r="P760" s="22" t="s">
        <v>35</v>
      </c>
      <c r="Q760" s="22" t="s">
        <v>35</v>
      </c>
      <c r="R760" s="22" t="s">
        <v>35</v>
      </c>
      <c r="S760" s="22" t="s">
        <v>34</v>
      </c>
      <c r="T760" s="22"/>
      <c r="U760" s="22"/>
      <c r="V760" s="22"/>
      <c r="W760" s="22"/>
      <c r="X760" s="22"/>
      <c r="Y760" s="22"/>
      <c r="Z760" s="22"/>
      <c r="AA760" s="22"/>
      <c r="AB760" s="22"/>
      <c r="AC760" s="22" t="s">
        <v>1901</v>
      </c>
      <c r="AD760" s="22">
        <v>20170413</v>
      </c>
      <c r="AE760" s="22">
        <v>759</v>
      </c>
      <c r="AF760" s="22"/>
      <c r="AG760" s="22" t="str">
        <f>IFERROR(VLOOKUP(TblFeedFile[[#This Row],[Leave Type ]],LkupPayType[],2,FALSE),"TBD")</f>
        <v>Unpaid</v>
      </c>
      <c r="AH760" s="30" t="str">
        <f>IFERROR(VLOOKUP(TblFeedFile[[#This Row],[ Report Number ]],LkupPayrollCycle[],2,FALSE),"TBD")</f>
        <v>Bi-Weekly</v>
      </c>
      <c r="AI760" s="25"/>
      <c r="AJ760" s="25"/>
      <c r="AK760" s="26"/>
    </row>
    <row r="761" spans="1:37" x14ac:dyDescent="0.25">
      <c r="A761" s="21" t="s">
        <v>29</v>
      </c>
      <c r="B761" s="22">
        <v>314301</v>
      </c>
      <c r="C761" s="22">
        <v>29070004</v>
      </c>
      <c r="D761" s="23" t="s">
        <v>2674</v>
      </c>
      <c r="E761" s="22" t="s">
        <v>138</v>
      </c>
      <c r="F761" s="22" t="s">
        <v>2675</v>
      </c>
      <c r="G761" s="22">
        <v>20170326</v>
      </c>
      <c r="H761" s="22">
        <v>20170326</v>
      </c>
      <c r="I761" s="22" t="s">
        <v>33</v>
      </c>
      <c r="J761" s="22"/>
      <c r="K761" s="22"/>
      <c r="L761" s="22" t="s">
        <v>34</v>
      </c>
      <c r="M761" s="22" t="s">
        <v>34</v>
      </c>
      <c r="N761" s="22" t="s">
        <v>35</v>
      </c>
      <c r="O761" s="22" t="s">
        <v>35</v>
      </c>
      <c r="P761" s="22" t="s">
        <v>35</v>
      </c>
      <c r="Q761" s="22" t="s">
        <v>35</v>
      </c>
      <c r="R761" s="22" t="s">
        <v>35</v>
      </c>
      <c r="S761" s="22" t="s">
        <v>34</v>
      </c>
      <c r="T761" s="22"/>
      <c r="U761" s="22"/>
      <c r="V761" s="22"/>
      <c r="W761" s="22"/>
      <c r="X761" s="22"/>
      <c r="Y761" s="22"/>
      <c r="Z761" s="22"/>
      <c r="AA761" s="22"/>
      <c r="AB761" s="22"/>
      <c r="AC761" s="22" t="s">
        <v>1907</v>
      </c>
      <c r="AD761" s="22">
        <v>20170413</v>
      </c>
      <c r="AE761" s="22">
        <v>760</v>
      </c>
      <c r="AF761" s="22"/>
      <c r="AG761" s="22" t="str">
        <f>IFERROR(VLOOKUP(TblFeedFile[[#This Row],[Leave Type ]],LkupPayType[],2,FALSE),"TBD")</f>
        <v>Closed</v>
      </c>
      <c r="AH761" s="30" t="str">
        <f>IFERROR(VLOOKUP(TblFeedFile[[#This Row],[ Report Number ]],LkupPayrollCycle[],2,FALSE),"TBD")</f>
        <v>Semi-Monthly</v>
      </c>
      <c r="AI761" s="25"/>
      <c r="AJ761" s="25"/>
      <c r="AK761" s="26"/>
    </row>
    <row r="762" spans="1:37" x14ac:dyDescent="0.25">
      <c r="A762" s="21" t="s">
        <v>29</v>
      </c>
      <c r="B762" s="22">
        <v>314301</v>
      </c>
      <c r="C762" s="22">
        <v>29070004</v>
      </c>
      <c r="D762" s="23" t="s">
        <v>2674</v>
      </c>
      <c r="E762" s="22" t="s">
        <v>138</v>
      </c>
      <c r="F762" s="22" t="s">
        <v>2675</v>
      </c>
      <c r="G762" s="22">
        <v>20161219</v>
      </c>
      <c r="H762" s="22">
        <v>20170325</v>
      </c>
      <c r="I762" s="22" t="s">
        <v>36</v>
      </c>
      <c r="J762" s="22"/>
      <c r="K762" s="22"/>
      <c r="L762" s="22" t="s">
        <v>34</v>
      </c>
      <c r="M762" s="22" t="s">
        <v>34</v>
      </c>
      <c r="N762" s="22" t="s">
        <v>35</v>
      </c>
      <c r="O762" s="22" t="s">
        <v>35</v>
      </c>
      <c r="P762" s="22" t="s">
        <v>35</v>
      </c>
      <c r="Q762" s="22" t="s">
        <v>35</v>
      </c>
      <c r="R762" s="22" t="s">
        <v>35</v>
      </c>
      <c r="S762" s="22" t="s">
        <v>34</v>
      </c>
      <c r="T762" s="22"/>
      <c r="U762" s="22"/>
      <c r="V762" s="22"/>
      <c r="W762" s="22"/>
      <c r="X762" s="22"/>
      <c r="Y762" s="22"/>
      <c r="Z762" s="22"/>
      <c r="AA762" s="22"/>
      <c r="AB762" s="22"/>
      <c r="AC762" s="22" t="s">
        <v>1943</v>
      </c>
      <c r="AD762" s="22">
        <v>20170413</v>
      </c>
      <c r="AE762" s="22">
        <v>761</v>
      </c>
      <c r="AF762" s="22"/>
      <c r="AG762" s="22" t="str">
        <f>IFERROR(VLOOKUP(TblFeedFile[[#This Row],[Leave Type ]],LkupPayType[],2,FALSE),"TBD")</f>
        <v>Unpaid</v>
      </c>
      <c r="AH762" s="30" t="str">
        <f>IFERROR(VLOOKUP(TblFeedFile[[#This Row],[ Report Number ]],LkupPayrollCycle[],2,FALSE),"TBD")</f>
        <v>Semi-Monthly</v>
      </c>
      <c r="AI762" s="25"/>
      <c r="AJ762" s="25"/>
      <c r="AK762" s="26"/>
    </row>
    <row r="763" spans="1:37" x14ac:dyDescent="0.25">
      <c r="A763" s="21" t="s">
        <v>37</v>
      </c>
      <c r="B763" s="22">
        <v>314301</v>
      </c>
      <c r="C763" s="22">
        <v>29070004</v>
      </c>
      <c r="D763" s="23" t="s">
        <v>2674</v>
      </c>
      <c r="E763" s="22" t="s">
        <v>138</v>
      </c>
      <c r="F763" s="22" t="s">
        <v>2675</v>
      </c>
      <c r="G763" s="22">
        <v>20161219</v>
      </c>
      <c r="H763" s="22">
        <v>20170324</v>
      </c>
      <c r="I763" s="22" t="s">
        <v>36</v>
      </c>
      <c r="J763" s="22"/>
      <c r="K763" s="22"/>
      <c r="L763" s="22" t="s">
        <v>34</v>
      </c>
      <c r="M763" s="22" t="s">
        <v>34</v>
      </c>
      <c r="N763" s="22" t="s">
        <v>35</v>
      </c>
      <c r="O763" s="22" t="s">
        <v>35</v>
      </c>
      <c r="P763" s="22" t="s">
        <v>35</v>
      </c>
      <c r="Q763" s="22" t="s">
        <v>35</v>
      </c>
      <c r="R763" s="22" t="s">
        <v>35</v>
      </c>
      <c r="S763" s="22" t="s">
        <v>34</v>
      </c>
      <c r="T763" s="22"/>
      <c r="U763" s="22"/>
      <c r="V763" s="22"/>
      <c r="W763" s="22"/>
      <c r="X763" s="22"/>
      <c r="Y763" s="22"/>
      <c r="Z763" s="22"/>
      <c r="AA763" s="22"/>
      <c r="AB763" s="22"/>
      <c r="AC763" s="22" t="s">
        <v>1943</v>
      </c>
      <c r="AD763" s="22">
        <v>20170413</v>
      </c>
      <c r="AE763" s="22">
        <v>762</v>
      </c>
      <c r="AF763" s="22"/>
      <c r="AG763" s="22" t="str">
        <f>IFERROR(VLOOKUP(TblFeedFile[[#This Row],[Leave Type ]],LkupPayType[],2,FALSE),"TBD")</f>
        <v>Unpaid</v>
      </c>
      <c r="AH763" s="30" t="str">
        <f>IFERROR(VLOOKUP(TblFeedFile[[#This Row],[ Report Number ]],LkupPayrollCycle[],2,FALSE),"TBD")</f>
        <v>Semi-Monthly</v>
      </c>
      <c r="AI763" s="25" t="s">
        <v>35</v>
      </c>
      <c r="AJ763" s="25"/>
      <c r="AK763" s="26"/>
    </row>
    <row r="764" spans="1:37" x14ac:dyDescent="0.25">
      <c r="A764" s="21" t="s">
        <v>37</v>
      </c>
      <c r="B764" s="22">
        <v>314301</v>
      </c>
      <c r="C764" s="22">
        <v>29070004</v>
      </c>
      <c r="D764" s="23" t="s">
        <v>2674</v>
      </c>
      <c r="E764" s="22" t="s">
        <v>138</v>
      </c>
      <c r="F764" s="22" t="s">
        <v>2675</v>
      </c>
      <c r="G764" s="22">
        <v>20170325</v>
      </c>
      <c r="H764" s="22">
        <v>20170325</v>
      </c>
      <c r="I764" s="22" t="s">
        <v>33</v>
      </c>
      <c r="J764" s="22"/>
      <c r="K764" s="22"/>
      <c r="L764" s="22" t="s">
        <v>34</v>
      </c>
      <c r="M764" s="22" t="s">
        <v>34</v>
      </c>
      <c r="N764" s="22" t="s">
        <v>35</v>
      </c>
      <c r="O764" s="22" t="s">
        <v>35</v>
      </c>
      <c r="P764" s="22" t="s">
        <v>35</v>
      </c>
      <c r="Q764" s="22" t="s">
        <v>35</v>
      </c>
      <c r="R764" s="22" t="s">
        <v>35</v>
      </c>
      <c r="S764" s="22" t="s">
        <v>34</v>
      </c>
      <c r="T764" s="22"/>
      <c r="U764" s="22"/>
      <c r="V764" s="22"/>
      <c r="W764" s="22"/>
      <c r="X764" s="22"/>
      <c r="Y764" s="22"/>
      <c r="Z764" s="22"/>
      <c r="AA764" s="22"/>
      <c r="AB764" s="22"/>
      <c r="AC764" s="22" t="s">
        <v>1907</v>
      </c>
      <c r="AD764" s="22">
        <v>20170413</v>
      </c>
      <c r="AE764" s="22">
        <v>763</v>
      </c>
      <c r="AF764" s="22"/>
      <c r="AG764" s="22" t="str">
        <f>IFERROR(VLOOKUP(TblFeedFile[[#This Row],[Leave Type ]],LkupPayType[],2,FALSE),"TBD")</f>
        <v>Closed</v>
      </c>
      <c r="AH764" s="30" t="str">
        <f>IFERROR(VLOOKUP(TblFeedFile[[#This Row],[ Report Number ]],LkupPayrollCycle[],2,FALSE),"TBD")</f>
        <v>Semi-Monthly</v>
      </c>
      <c r="AI764" s="25"/>
      <c r="AJ764" s="25"/>
      <c r="AK764" s="26"/>
    </row>
    <row r="765" spans="1:37" x14ac:dyDescent="0.25">
      <c r="A765" s="21" t="s">
        <v>29</v>
      </c>
      <c r="B765" s="22">
        <v>314304</v>
      </c>
      <c r="C765" s="22">
        <v>29070763</v>
      </c>
      <c r="D765" s="23" t="s">
        <v>2676</v>
      </c>
      <c r="E765" s="22" t="s">
        <v>2424</v>
      </c>
      <c r="F765" s="22" t="s">
        <v>2677</v>
      </c>
      <c r="G765" s="22">
        <v>20170317</v>
      </c>
      <c r="H765" s="22">
        <v>20170413</v>
      </c>
      <c r="I765" s="22" t="s">
        <v>36</v>
      </c>
      <c r="J765" s="22"/>
      <c r="K765" s="22"/>
      <c r="L765" s="22" t="s">
        <v>34</v>
      </c>
      <c r="M765" s="22" t="s">
        <v>34</v>
      </c>
      <c r="N765" s="22" t="s">
        <v>35</v>
      </c>
      <c r="O765" s="22" t="s">
        <v>35</v>
      </c>
      <c r="P765" s="22" t="s">
        <v>35</v>
      </c>
      <c r="Q765" s="22" t="s">
        <v>35</v>
      </c>
      <c r="R765" s="22" t="s">
        <v>35</v>
      </c>
      <c r="S765" s="22" t="s">
        <v>34</v>
      </c>
      <c r="T765" s="22"/>
      <c r="U765" s="22"/>
      <c r="V765" s="22"/>
      <c r="W765" s="22"/>
      <c r="X765" s="22"/>
      <c r="Y765" s="22"/>
      <c r="Z765" s="22"/>
      <c r="AA765" s="22"/>
      <c r="AB765" s="22"/>
      <c r="AC765" s="22" t="s">
        <v>1905</v>
      </c>
      <c r="AD765" s="22">
        <v>20170413</v>
      </c>
      <c r="AE765" s="22">
        <v>764</v>
      </c>
      <c r="AF765" s="22"/>
      <c r="AG765" s="22" t="str">
        <f>IFERROR(VLOOKUP(TblFeedFile[[#This Row],[Leave Type ]],LkupPayType[],2,FALSE),"TBD")</f>
        <v>Unpaid</v>
      </c>
      <c r="AH765" s="30" t="str">
        <f>IFERROR(VLOOKUP(TblFeedFile[[#This Row],[ Report Number ]],LkupPayrollCycle[],2,FALSE),"TBD")</f>
        <v>Bi-Weekly</v>
      </c>
      <c r="AI765" s="25"/>
      <c r="AJ765" s="25"/>
      <c r="AK765" s="26"/>
    </row>
    <row r="766" spans="1:37" x14ac:dyDescent="0.25">
      <c r="A766" s="21" t="s">
        <v>37</v>
      </c>
      <c r="B766" s="22">
        <v>314304</v>
      </c>
      <c r="C766" s="22">
        <v>29070763</v>
      </c>
      <c r="D766" s="23" t="s">
        <v>2676</v>
      </c>
      <c r="E766" s="22" t="s">
        <v>2424</v>
      </c>
      <c r="F766" s="22" t="s">
        <v>2677</v>
      </c>
      <c r="G766" s="22">
        <v>20170317</v>
      </c>
      <c r="H766" s="22">
        <v>20170516</v>
      </c>
      <c r="I766" s="22" t="s">
        <v>36</v>
      </c>
      <c r="J766" s="22"/>
      <c r="K766" s="22"/>
      <c r="L766" s="22" t="s">
        <v>34</v>
      </c>
      <c r="M766" s="22" t="s">
        <v>34</v>
      </c>
      <c r="N766" s="22" t="s">
        <v>35</v>
      </c>
      <c r="O766" s="22" t="s">
        <v>35</v>
      </c>
      <c r="P766" s="22" t="s">
        <v>35</v>
      </c>
      <c r="Q766" s="22" t="s">
        <v>35</v>
      </c>
      <c r="R766" s="22" t="s">
        <v>35</v>
      </c>
      <c r="S766" s="22" t="s">
        <v>34</v>
      </c>
      <c r="T766" s="22"/>
      <c r="U766" s="22"/>
      <c r="V766" s="22"/>
      <c r="W766" s="22"/>
      <c r="X766" s="22"/>
      <c r="Y766" s="22"/>
      <c r="Z766" s="22"/>
      <c r="AA766" s="22"/>
      <c r="AB766" s="22"/>
      <c r="AC766" s="22" t="s">
        <v>1905</v>
      </c>
      <c r="AD766" s="22">
        <v>20170413</v>
      </c>
      <c r="AE766" s="22">
        <v>765</v>
      </c>
      <c r="AF766" s="22"/>
      <c r="AG766" s="22" t="str">
        <f>IFERROR(VLOOKUP(TblFeedFile[[#This Row],[Leave Type ]],LkupPayType[],2,FALSE),"TBD")</f>
        <v>Unpaid</v>
      </c>
      <c r="AH766" s="30" t="str">
        <f>IFERROR(VLOOKUP(TblFeedFile[[#This Row],[ Report Number ]],LkupPayrollCycle[],2,FALSE),"TBD")</f>
        <v>Bi-Weekly</v>
      </c>
      <c r="AI766" s="25"/>
      <c r="AJ766" s="25"/>
      <c r="AK766" s="26"/>
    </row>
    <row r="767" spans="1:37" x14ac:dyDescent="0.25">
      <c r="A767" s="21" t="s">
        <v>29</v>
      </c>
      <c r="B767" s="22">
        <v>314304</v>
      </c>
      <c r="C767" s="22">
        <v>29073181</v>
      </c>
      <c r="D767" s="23">
        <v>501703308128</v>
      </c>
      <c r="E767" s="22" t="s">
        <v>2678</v>
      </c>
      <c r="F767" s="22" t="s">
        <v>2679</v>
      </c>
      <c r="G767" s="22">
        <v>20170404</v>
      </c>
      <c r="H767" s="22">
        <v>20170429</v>
      </c>
      <c r="I767" s="22" t="s">
        <v>40</v>
      </c>
      <c r="J767" s="22"/>
      <c r="K767" s="22"/>
      <c r="L767" s="22" t="s">
        <v>35</v>
      </c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 t="s">
        <v>1927</v>
      </c>
      <c r="AD767" s="22">
        <v>20170413</v>
      </c>
      <c r="AE767" s="22">
        <v>766</v>
      </c>
      <c r="AF767" s="22"/>
      <c r="AG767" s="22" t="str">
        <f>IFERROR(VLOOKUP(TblFeedFile[[#This Row],[Leave Type ]],LkupPayType[],2,FALSE),"TBD")</f>
        <v>Paid</v>
      </c>
      <c r="AH767" s="30" t="str">
        <f>IFERROR(VLOOKUP(TblFeedFile[[#This Row],[ Report Number ]],LkupPayrollCycle[],2,FALSE),"TBD")</f>
        <v>Bi-Weekly</v>
      </c>
      <c r="AI767" s="25"/>
      <c r="AJ767" s="25"/>
      <c r="AK767" s="26"/>
    </row>
    <row r="768" spans="1:37" x14ac:dyDescent="0.25">
      <c r="A768" s="21" t="s">
        <v>37</v>
      </c>
      <c r="B768" s="22">
        <v>314304</v>
      </c>
      <c r="C768" s="22">
        <v>29073181</v>
      </c>
      <c r="D768" s="23">
        <v>501703308128</v>
      </c>
      <c r="E768" s="22" t="s">
        <v>2678</v>
      </c>
      <c r="F768" s="22" t="s">
        <v>2679</v>
      </c>
      <c r="G768" s="22">
        <v>20170404</v>
      </c>
      <c r="H768" s="22">
        <v>20170430</v>
      </c>
      <c r="I768" s="22" t="s">
        <v>40</v>
      </c>
      <c r="J768" s="22"/>
      <c r="K768" s="22"/>
      <c r="L768" s="22" t="s">
        <v>35</v>
      </c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 t="s">
        <v>1927</v>
      </c>
      <c r="AD768" s="22">
        <v>20170413</v>
      </c>
      <c r="AE768" s="22">
        <v>767</v>
      </c>
      <c r="AF768" s="22"/>
      <c r="AG768" s="22" t="str">
        <f>IFERROR(VLOOKUP(TblFeedFile[[#This Row],[Leave Type ]],LkupPayType[],2,FALSE),"TBD")</f>
        <v>Paid</v>
      </c>
      <c r="AH768" s="30" t="str">
        <f>IFERROR(VLOOKUP(TblFeedFile[[#This Row],[ Report Number ]],LkupPayrollCycle[],2,FALSE),"TBD")</f>
        <v>Bi-Weekly</v>
      </c>
      <c r="AI768" s="25"/>
      <c r="AJ768" s="25"/>
      <c r="AK768" s="26"/>
    </row>
    <row r="769" spans="1:37" x14ac:dyDescent="0.25">
      <c r="A769" s="21" t="s">
        <v>37</v>
      </c>
      <c r="B769" s="22">
        <v>314304</v>
      </c>
      <c r="C769" s="22">
        <v>29095255</v>
      </c>
      <c r="D769" s="23" t="s">
        <v>2680</v>
      </c>
      <c r="E769" s="22" t="s">
        <v>112</v>
      </c>
      <c r="F769" s="22" t="s">
        <v>896</v>
      </c>
      <c r="G769" s="22">
        <v>20170413</v>
      </c>
      <c r="H769" s="22">
        <v>20170413</v>
      </c>
      <c r="I769" s="22" t="s">
        <v>33</v>
      </c>
      <c r="J769" s="22"/>
      <c r="K769" s="22"/>
      <c r="L769" s="22" t="s">
        <v>34</v>
      </c>
      <c r="M769" s="22" t="s">
        <v>34</v>
      </c>
      <c r="N769" s="22" t="s">
        <v>35</v>
      </c>
      <c r="O769" s="22" t="s">
        <v>35</v>
      </c>
      <c r="P769" s="22" t="s">
        <v>35</v>
      </c>
      <c r="Q769" s="22" t="s">
        <v>35</v>
      </c>
      <c r="R769" s="22" t="s">
        <v>35</v>
      </c>
      <c r="S769" s="22" t="s">
        <v>34</v>
      </c>
      <c r="T769" s="22"/>
      <c r="U769" s="22"/>
      <c r="V769" s="22"/>
      <c r="W769" s="22"/>
      <c r="X769" s="22"/>
      <c r="Y769" s="22"/>
      <c r="Z769" s="22"/>
      <c r="AA769" s="22"/>
      <c r="AB769" s="22"/>
      <c r="AC769" s="22" t="s">
        <v>2189</v>
      </c>
      <c r="AD769" s="22">
        <v>20170413</v>
      </c>
      <c r="AE769" s="22">
        <v>768</v>
      </c>
      <c r="AF769" s="22"/>
      <c r="AG769" s="22" t="str">
        <f>IFERROR(VLOOKUP(TblFeedFile[[#This Row],[Leave Type ]],LkupPayType[],2,FALSE),"TBD")</f>
        <v>Closed</v>
      </c>
      <c r="AH769" s="30" t="str">
        <f>IFERROR(VLOOKUP(TblFeedFile[[#This Row],[ Report Number ]],LkupPayrollCycle[],2,FALSE),"TBD")</f>
        <v>Bi-Weekly</v>
      </c>
      <c r="AI769" s="25"/>
      <c r="AJ769" s="25"/>
      <c r="AK769" s="26"/>
    </row>
    <row r="770" spans="1:37" x14ac:dyDescent="0.25">
      <c r="A770" s="21" t="s">
        <v>37</v>
      </c>
      <c r="B770" s="22">
        <v>314304</v>
      </c>
      <c r="C770" s="22">
        <v>29100933</v>
      </c>
      <c r="D770" s="23">
        <v>501703158438</v>
      </c>
      <c r="E770" s="22" t="s">
        <v>2681</v>
      </c>
      <c r="F770" s="22" t="s">
        <v>2682</v>
      </c>
      <c r="G770" s="22">
        <v>20170410</v>
      </c>
      <c r="H770" s="22">
        <v>20170513</v>
      </c>
      <c r="I770" s="22" t="s">
        <v>53</v>
      </c>
      <c r="J770" s="22"/>
      <c r="K770" s="22"/>
      <c r="L770" s="22" t="s">
        <v>35</v>
      </c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 t="s">
        <v>1936</v>
      </c>
      <c r="AD770" s="22">
        <v>20170413</v>
      </c>
      <c r="AE770" s="22">
        <v>769</v>
      </c>
      <c r="AF770" s="22"/>
      <c r="AG770" s="22" t="str">
        <f>IFERROR(VLOOKUP(TblFeedFile[[#This Row],[Leave Type ]],LkupPayType[],2,FALSE),"TBD")</f>
        <v>Paid</v>
      </c>
      <c r="AH770" s="30" t="str">
        <f>IFERROR(VLOOKUP(TblFeedFile[[#This Row],[ Report Number ]],LkupPayrollCycle[],2,FALSE),"TBD")</f>
        <v>Bi-Weekly</v>
      </c>
      <c r="AI770" s="25"/>
      <c r="AJ770" s="25"/>
      <c r="AK770" s="26"/>
    </row>
    <row r="771" spans="1:37" x14ac:dyDescent="0.25">
      <c r="A771" s="21" t="s">
        <v>37</v>
      </c>
      <c r="B771" s="22">
        <v>314305</v>
      </c>
      <c r="C771" s="22">
        <v>29152729</v>
      </c>
      <c r="D771" s="23">
        <v>511702168741</v>
      </c>
      <c r="E771" s="22" t="s">
        <v>2683</v>
      </c>
      <c r="F771" s="22" t="s">
        <v>1065</v>
      </c>
      <c r="G771" s="22">
        <v>20170413</v>
      </c>
      <c r="H771" s="22">
        <v>20170509</v>
      </c>
      <c r="I771" s="22" t="s">
        <v>1892</v>
      </c>
      <c r="J771" s="22"/>
      <c r="K771" s="22"/>
      <c r="L771" s="22" t="s">
        <v>35</v>
      </c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 t="s">
        <v>1900</v>
      </c>
      <c r="AD771" s="22">
        <v>20170413</v>
      </c>
      <c r="AE771" s="22">
        <v>770</v>
      </c>
      <c r="AF771" s="22"/>
      <c r="AG771" s="22" t="str">
        <f>IFERROR(VLOOKUP(TblFeedFile[[#This Row],[Leave Type ]],LkupPayType[],2,FALSE),"TBD")</f>
        <v>Paid</v>
      </c>
      <c r="AH771" s="30" t="str">
        <f>IFERROR(VLOOKUP(TblFeedFile[[#This Row],[ Report Number ]],LkupPayrollCycle[],2,FALSE),"TBD")</f>
        <v>Bi-Weekly</v>
      </c>
      <c r="AI771" s="25"/>
      <c r="AJ771" s="25"/>
      <c r="AK771" s="26"/>
    </row>
    <row r="772" spans="1:37" x14ac:dyDescent="0.25">
      <c r="A772" s="21" t="s">
        <v>37</v>
      </c>
      <c r="B772" s="22">
        <v>314304</v>
      </c>
      <c r="C772" s="22">
        <v>29154556</v>
      </c>
      <c r="D772" s="23" t="s">
        <v>2684</v>
      </c>
      <c r="E772" s="22" t="s">
        <v>2685</v>
      </c>
      <c r="F772" s="22" t="s">
        <v>1036</v>
      </c>
      <c r="G772" s="22">
        <v>20170413</v>
      </c>
      <c r="H772" s="22">
        <v>20170413</v>
      </c>
      <c r="I772" s="22" t="s">
        <v>33</v>
      </c>
      <c r="J772" s="22"/>
      <c r="K772" s="22"/>
      <c r="L772" s="22" t="s">
        <v>34</v>
      </c>
      <c r="M772" s="22" t="s">
        <v>34</v>
      </c>
      <c r="N772" s="22" t="s">
        <v>34</v>
      </c>
      <c r="O772" s="22" t="s">
        <v>34</v>
      </c>
      <c r="P772" s="22" t="s">
        <v>35</v>
      </c>
      <c r="Q772" s="22" t="s">
        <v>35</v>
      </c>
      <c r="R772" s="22" t="s">
        <v>35</v>
      </c>
      <c r="S772" s="22" t="s">
        <v>35</v>
      </c>
      <c r="T772" s="22"/>
      <c r="U772" s="22"/>
      <c r="V772" s="22"/>
      <c r="W772" s="22"/>
      <c r="X772" s="22"/>
      <c r="Y772" s="22"/>
      <c r="Z772" s="22"/>
      <c r="AA772" s="22"/>
      <c r="AB772" s="22"/>
      <c r="AC772" s="22" t="s">
        <v>1907</v>
      </c>
      <c r="AD772" s="22">
        <v>20170413</v>
      </c>
      <c r="AE772" s="22">
        <v>771</v>
      </c>
      <c r="AF772" s="22"/>
      <c r="AG772" s="22" t="str">
        <f>IFERROR(VLOOKUP(TblFeedFile[[#This Row],[Leave Type ]],LkupPayType[],2,FALSE),"TBD")</f>
        <v>Closed</v>
      </c>
      <c r="AH772" s="30" t="str">
        <f>IFERROR(VLOOKUP(TblFeedFile[[#This Row],[ Report Number ]],LkupPayrollCycle[],2,FALSE),"TBD")</f>
        <v>Bi-Weekly</v>
      </c>
      <c r="AI772" s="25"/>
      <c r="AJ772" s="25"/>
      <c r="AK772" s="26"/>
    </row>
    <row r="773" spans="1:37" x14ac:dyDescent="0.25">
      <c r="A773" s="21" t="s">
        <v>37</v>
      </c>
      <c r="B773" s="22">
        <v>314304</v>
      </c>
      <c r="C773" s="22">
        <v>29202101</v>
      </c>
      <c r="D773" s="23" t="s">
        <v>2686</v>
      </c>
      <c r="E773" s="22" t="s">
        <v>2687</v>
      </c>
      <c r="F773" s="22" t="s">
        <v>2688</v>
      </c>
      <c r="G773" s="22">
        <v>20170320</v>
      </c>
      <c r="H773" s="22">
        <v>20170416</v>
      </c>
      <c r="I773" s="22" t="s">
        <v>223</v>
      </c>
      <c r="J773" s="22"/>
      <c r="K773" s="22"/>
      <c r="L773" s="22" t="s">
        <v>34</v>
      </c>
      <c r="M773" s="22" t="s">
        <v>34</v>
      </c>
      <c r="N773" s="22" t="s">
        <v>35</v>
      </c>
      <c r="O773" s="22" t="s">
        <v>35</v>
      </c>
      <c r="P773" s="22" t="s">
        <v>35</v>
      </c>
      <c r="Q773" s="22" t="s">
        <v>35</v>
      </c>
      <c r="R773" s="22" t="s">
        <v>35</v>
      </c>
      <c r="S773" s="22" t="s">
        <v>34</v>
      </c>
      <c r="T773" s="22">
        <v>20170417</v>
      </c>
      <c r="U773" s="22"/>
      <c r="V773" s="22"/>
      <c r="W773" s="22"/>
      <c r="X773" s="22"/>
      <c r="Y773" s="22"/>
      <c r="Z773" s="22"/>
      <c r="AA773" s="22"/>
      <c r="AB773" s="22"/>
      <c r="AC773" s="22" t="s">
        <v>1897</v>
      </c>
      <c r="AD773" s="22">
        <v>20170413</v>
      </c>
      <c r="AE773" s="22">
        <v>772</v>
      </c>
      <c r="AF773" s="22"/>
      <c r="AG773" s="22" t="str">
        <f>IFERROR(VLOOKUP(TblFeedFile[[#This Row],[Leave Type ]],LkupPayType[],2,FALSE),"TBD")</f>
        <v>Paid</v>
      </c>
      <c r="AH773" s="30" t="str">
        <f>IFERROR(VLOOKUP(TblFeedFile[[#This Row],[ Report Number ]],LkupPayrollCycle[],2,FALSE),"TBD")</f>
        <v>Bi-Weekly</v>
      </c>
      <c r="AI773" s="25"/>
      <c r="AJ773" s="25"/>
      <c r="AK773" s="26" t="s">
        <v>35</v>
      </c>
    </row>
    <row r="774" spans="1:37" x14ac:dyDescent="0.25">
      <c r="A774" s="21" t="s">
        <v>29</v>
      </c>
      <c r="B774" s="22">
        <v>314304</v>
      </c>
      <c r="C774" s="22">
        <v>29240436</v>
      </c>
      <c r="D774" s="23">
        <v>571701118247</v>
      </c>
      <c r="E774" s="22" t="s">
        <v>2689</v>
      </c>
      <c r="F774" s="22" t="s">
        <v>2690</v>
      </c>
      <c r="G774" s="22">
        <v>20170318</v>
      </c>
      <c r="H774" s="22">
        <v>20170505</v>
      </c>
      <c r="I774" s="22" t="s">
        <v>459</v>
      </c>
      <c r="J774" s="22"/>
      <c r="K774" s="22"/>
      <c r="L774" s="22" t="s">
        <v>35</v>
      </c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 t="s">
        <v>1895</v>
      </c>
      <c r="AD774" s="22">
        <v>20170413</v>
      </c>
      <c r="AE774" s="22">
        <v>773</v>
      </c>
      <c r="AF774" s="22"/>
      <c r="AG774" s="22" t="str">
        <f>IFERROR(VLOOKUP(TblFeedFile[[#This Row],[Leave Type ]],LkupPayType[],2,FALSE),"TBD")</f>
        <v>Paid</v>
      </c>
      <c r="AH774" s="30" t="str">
        <f>IFERROR(VLOOKUP(TblFeedFile[[#This Row],[ Report Number ]],LkupPayrollCycle[],2,FALSE),"TBD")</f>
        <v>Bi-Weekly</v>
      </c>
      <c r="AI774" s="25"/>
      <c r="AJ774" s="25"/>
      <c r="AK774" s="26"/>
    </row>
    <row r="775" spans="1:37" x14ac:dyDescent="0.25">
      <c r="A775" s="21" t="s">
        <v>37</v>
      </c>
      <c r="B775" s="22">
        <v>314304</v>
      </c>
      <c r="C775" s="22">
        <v>29240436</v>
      </c>
      <c r="D775" s="23">
        <v>571701118247</v>
      </c>
      <c r="E775" s="22" t="s">
        <v>2689</v>
      </c>
      <c r="F775" s="22" t="s">
        <v>2690</v>
      </c>
      <c r="G775" s="22">
        <v>20170318</v>
      </c>
      <c r="H775" s="22">
        <v>20170630</v>
      </c>
      <c r="I775" s="22" t="s">
        <v>459</v>
      </c>
      <c r="J775" s="22"/>
      <c r="K775" s="22"/>
      <c r="L775" s="22" t="s">
        <v>34</v>
      </c>
      <c r="M775" s="22" t="s">
        <v>34</v>
      </c>
      <c r="N775" s="22" t="s">
        <v>35</v>
      </c>
      <c r="O775" s="22" t="s">
        <v>35</v>
      </c>
      <c r="P775" s="22" t="s">
        <v>35</v>
      </c>
      <c r="Q775" s="22" t="s">
        <v>35</v>
      </c>
      <c r="R775" s="22" t="s">
        <v>35</v>
      </c>
      <c r="S775" s="22" t="s">
        <v>34</v>
      </c>
      <c r="T775" s="22"/>
      <c r="U775" s="22"/>
      <c r="V775" s="22"/>
      <c r="W775" s="22"/>
      <c r="X775" s="22"/>
      <c r="Y775" s="22"/>
      <c r="Z775" s="22"/>
      <c r="AA775" s="22"/>
      <c r="AB775" s="22"/>
      <c r="AC775" s="22" t="s">
        <v>1924</v>
      </c>
      <c r="AD775" s="22">
        <v>20170413</v>
      </c>
      <c r="AE775" s="22">
        <v>774</v>
      </c>
      <c r="AF775" s="22"/>
      <c r="AG775" s="22" t="str">
        <f>IFERROR(VLOOKUP(TblFeedFile[[#This Row],[Leave Type ]],LkupPayType[],2,FALSE),"TBD")</f>
        <v>Paid</v>
      </c>
      <c r="AH775" s="30" t="str">
        <f>IFERROR(VLOOKUP(TblFeedFile[[#This Row],[ Report Number ]],LkupPayrollCycle[],2,FALSE),"TBD")</f>
        <v>Bi-Weekly</v>
      </c>
      <c r="AI775" s="25"/>
      <c r="AJ775" s="25"/>
      <c r="AK775" s="26"/>
    </row>
    <row r="776" spans="1:37" x14ac:dyDescent="0.25">
      <c r="A776" s="21" t="s">
        <v>37</v>
      </c>
      <c r="B776" s="22">
        <v>314304</v>
      </c>
      <c r="C776" s="22">
        <v>29295710</v>
      </c>
      <c r="D776" s="23">
        <v>531704138803</v>
      </c>
      <c r="E776" s="22" t="s">
        <v>1091</v>
      </c>
      <c r="F776" s="22" t="s">
        <v>2691</v>
      </c>
      <c r="G776" s="22">
        <v>20170408</v>
      </c>
      <c r="H776" s="22">
        <v>20170508</v>
      </c>
      <c r="I776" s="22" t="s">
        <v>53</v>
      </c>
      <c r="J776" s="22"/>
      <c r="K776" s="22"/>
      <c r="L776" s="22" t="s">
        <v>34</v>
      </c>
      <c r="M776" s="22" t="s">
        <v>34</v>
      </c>
      <c r="N776" s="22" t="s">
        <v>35</v>
      </c>
      <c r="O776" s="22" t="s">
        <v>35</v>
      </c>
      <c r="P776" s="22" t="s">
        <v>35</v>
      </c>
      <c r="Q776" s="22" t="s">
        <v>35</v>
      </c>
      <c r="R776" s="22" t="s">
        <v>35</v>
      </c>
      <c r="S776" s="22" t="s">
        <v>34</v>
      </c>
      <c r="T776" s="22"/>
      <c r="U776" s="22"/>
      <c r="V776" s="22"/>
      <c r="W776" s="22"/>
      <c r="X776" s="22"/>
      <c r="Y776" s="22"/>
      <c r="Z776" s="22"/>
      <c r="AA776" s="22"/>
      <c r="AB776" s="22"/>
      <c r="AC776" s="22" t="s">
        <v>1897</v>
      </c>
      <c r="AD776" s="22">
        <v>20170413</v>
      </c>
      <c r="AE776" s="22">
        <v>775</v>
      </c>
      <c r="AF776" s="22"/>
      <c r="AG776" s="22" t="str">
        <f>IFERROR(VLOOKUP(TblFeedFile[[#This Row],[Leave Type ]],LkupPayType[],2,FALSE),"TBD")</f>
        <v>Paid</v>
      </c>
      <c r="AH776" s="30" t="str">
        <f>IFERROR(VLOOKUP(TblFeedFile[[#This Row],[ Report Number ]],LkupPayrollCycle[],2,FALSE),"TBD")</f>
        <v>Bi-Weekly</v>
      </c>
      <c r="AI776" s="25"/>
      <c r="AJ776" s="25"/>
      <c r="AK776" s="26"/>
    </row>
    <row r="777" spans="1:37" x14ac:dyDescent="0.25">
      <c r="A777" s="21" t="s">
        <v>29</v>
      </c>
      <c r="B777" s="22">
        <v>314304</v>
      </c>
      <c r="C777" s="22">
        <v>29362266</v>
      </c>
      <c r="D777" s="23" t="s">
        <v>2063</v>
      </c>
      <c r="E777" s="22" t="s">
        <v>957</v>
      </c>
      <c r="F777" s="22" t="s">
        <v>66</v>
      </c>
      <c r="G777" s="22">
        <v>20170206</v>
      </c>
      <c r="H777" s="22">
        <v>20170324</v>
      </c>
      <c r="I777" s="22" t="s">
        <v>78</v>
      </c>
      <c r="J777" s="22"/>
      <c r="K777" s="22" t="s">
        <v>79</v>
      </c>
      <c r="L777" s="22" t="s">
        <v>34</v>
      </c>
      <c r="M777" s="22" t="s">
        <v>34</v>
      </c>
      <c r="N777" s="22" t="s">
        <v>35</v>
      </c>
      <c r="O777" s="22" t="s">
        <v>35</v>
      </c>
      <c r="P777" s="22" t="s">
        <v>35</v>
      </c>
      <c r="Q777" s="22" t="s">
        <v>35</v>
      </c>
      <c r="R777" s="22" t="s">
        <v>35</v>
      </c>
      <c r="S777" s="22" t="s">
        <v>34</v>
      </c>
      <c r="T777" s="22"/>
      <c r="U777" s="22"/>
      <c r="V777" s="22"/>
      <c r="W777" s="22"/>
      <c r="X777" s="22"/>
      <c r="Y777" s="22"/>
      <c r="Z777" s="22"/>
      <c r="AA777" s="22"/>
      <c r="AB777" s="22"/>
      <c r="AC777" s="22" t="s">
        <v>1916</v>
      </c>
      <c r="AD777" s="22">
        <v>20170413</v>
      </c>
      <c r="AE777" s="22">
        <v>776</v>
      </c>
      <c r="AF777" s="22"/>
      <c r="AG777" s="22" t="str">
        <f>IFERROR(VLOOKUP(TblFeedFile[[#This Row],[Leave Type ]],LkupPayType[],2,FALSE),"TBD")</f>
        <v>Unpaid</v>
      </c>
      <c r="AH777" s="30" t="str">
        <f>IFERROR(VLOOKUP(TblFeedFile[[#This Row],[ Report Number ]],LkupPayrollCycle[],2,FALSE),"TBD")</f>
        <v>Bi-Weekly</v>
      </c>
      <c r="AI777" s="25"/>
      <c r="AJ777" s="25"/>
      <c r="AK777" s="26"/>
    </row>
    <row r="778" spans="1:37" x14ac:dyDescent="0.25">
      <c r="A778" s="21" t="s">
        <v>37</v>
      </c>
      <c r="B778" s="22">
        <v>314301</v>
      </c>
      <c r="C778" s="22">
        <v>29365063</v>
      </c>
      <c r="D778" s="23" t="s">
        <v>2692</v>
      </c>
      <c r="E778" s="22" t="s">
        <v>2693</v>
      </c>
      <c r="F778" s="22" t="s">
        <v>2694</v>
      </c>
      <c r="G778" s="22">
        <v>20161227</v>
      </c>
      <c r="H778" s="22">
        <v>20170417</v>
      </c>
      <c r="I778" s="22" t="s">
        <v>223</v>
      </c>
      <c r="J778" s="22"/>
      <c r="K778" s="22"/>
      <c r="L778" s="22" t="s">
        <v>34</v>
      </c>
      <c r="M778" s="22" t="s">
        <v>34</v>
      </c>
      <c r="N778" s="22" t="s">
        <v>35</v>
      </c>
      <c r="O778" s="22" t="s">
        <v>35</v>
      </c>
      <c r="P778" s="22" t="s">
        <v>35</v>
      </c>
      <c r="Q778" s="22" t="s">
        <v>35</v>
      </c>
      <c r="R778" s="22" t="s">
        <v>35</v>
      </c>
      <c r="S778" s="22" t="s">
        <v>34</v>
      </c>
      <c r="T778" s="22">
        <v>20170417</v>
      </c>
      <c r="U778" s="22"/>
      <c r="V778" s="22"/>
      <c r="W778" s="22"/>
      <c r="X778" s="22"/>
      <c r="Y778" s="22"/>
      <c r="Z778" s="22"/>
      <c r="AA778" s="22"/>
      <c r="AB778" s="22"/>
      <c r="AC778" s="22" t="s">
        <v>1971</v>
      </c>
      <c r="AD778" s="22">
        <v>20170413</v>
      </c>
      <c r="AE778" s="22">
        <v>777</v>
      </c>
      <c r="AF778" s="22"/>
      <c r="AG778" s="22" t="str">
        <f>IFERROR(VLOOKUP(TblFeedFile[[#This Row],[Leave Type ]],LkupPayType[],2,FALSE),"TBD")</f>
        <v>Paid</v>
      </c>
      <c r="AH778" s="30" t="str">
        <f>IFERROR(VLOOKUP(TblFeedFile[[#This Row],[ Report Number ]],LkupPayrollCycle[],2,FALSE),"TBD")</f>
        <v>Semi-Monthly</v>
      </c>
      <c r="AI778" s="25"/>
      <c r="AJ778" s="25"/>
      <c r="AK778" s="26" t="s">
        <v>35</v>
      </c>
    </row>
    <row r="779" spans="1:37" x14ac:dyDescent="0.25">
      <c r="A779" s="21" t="s">
        <v>37</v>
      </c>
      <c r="B779" s="22">
        <v>314301</v>
      </c>
      <c r="C779" s="22">
        <v>29366590</v>
      </c>
      <c r="D779" s="23" t="s">
        <v>1743</v>
      </c>
      <c r="E779" s="22" t="s">
        <v>687</v>
      </c>
      <c r="F779" s="22" t="s">
        <v>623</v>
      </c>
      <c r="G779" s="22">
        <v>20170123</v>
      </c>
      <c r="H779" s="22">
        <v>20170409</v>
      </c>
      <c r="I779" s="22" t="s">
        <v>223</v>
      </c>
      <c r="J779" s="22"/>
      <c r="K779" s="22"/>
      <c r="L779" s="22" t="s">
        <v>34</v>
      </c>
      <c r="M779" s="22" t="s">
        <v>34</v>
      </c>
      <c r="N779" s="22" t="s">
        <v>35</v>
      </c>
      <c r="O779" s="22" t="s">
        <v>35</v>
      </c>
      <c r="P779" s="22" t="s">
        <v>35</v>
      </c>
      <c r="Q779" s="22" t="s">
        <v>35</v>
      </c>
      <c r="R779" s="22" t="s">
        <v>35</v>
      </c>
      <c r="S779" s="22" t="s">
        <v>34</v>
      </c>
      <c r="T779" s="22">
        <v>20170410</v>
      </c>
      <c r="U779" s="22"/>
      <c r="V779" s="22"/>
      <c r="W779" s="22"/>
      <c r="X779" s="22"/>
      <c r="Y779" s="22"/>
      <c r="Z779" s="22"/>
      <c r="AA779" s="22"/>
      <c r="AB779" s="22"/>
      <c r="AC779" s="22" t="s">
        <v>1936</v>
      </c>
      <c r="AD779" s="22">
        <v>20170413</v>
      </c>
      <c r="AE779" s="22">
        <v>778</v>
      </c>
      <c r="AF779" s="22"/>
      <c r="AG779" s="22" t="str">
        <f>IFERROR(VLOOKUP(TblFeedFile[[#This Row],[Leave Type ]],LkupPayType[],2,FALSE),"TBD")</f>
        <v>Paid</v>
      </c>
      <c r="AH779" s="30" t="str">
        <f>IFERROR(VLOOKUP(TblFeedFile[[#This Row],[ Report Number ]],LkupPayrollCycle[],2,FALSE),"TBD")</f>
        <v>Semi-Monthly</v>
      </c>
      <c r="AI779" s="25"/>
      <c r="AJ779" s="25"/>
      <c r="AK779" s="26" t="s">
        <v>35</v>
      </c>
    </row>
    <row r="780" spans="1:37" x14ac:dyDescent="0.25">
      <c r="A780" s="21" t="s">
        <v>29</v>
      </c>
      <c r="B780" s="22">
        <v>314301</v>
      </c>
      <c r="C780" s="22">
        <v>29380784</v>
      </c>
      <c r="D780" s="23">
        <v>531704058203</v>
      </c>
      <c r="E780" s="22" t="s">
        <v>2064</v>
      </c>
      <c r="F780" s="22" t="s">
        <v>808</v>
      </c>
      <c r="G780" s="22">
        <v>20170325</v>
      </c>
      <c r="H780" s="22">
        <v>20170424</v>
      </c>
      <c r="I780" s="22" t="s">
        <v>53</v>
      </c>
      <c r="J780" s="22"/>
      <c r="K780" s="22"/>
      <c r="L780" s="22" t="s">
        <v>34</v>
      </c>
      <c r="M780" s="22" t="s">
        <v>34</v>
      </c>
      <c r="N780" s="22" t="s">
        <v>35</v>
      </c>
      <c r="O780" s="22" t="s">
        <v>35</v>
      </c>
      <c r="P780" s="22" t="s">
        <v>35</v>
      </c>
      <c r="Q780" s="22" t="s">
        <v>35</v>
      </c>
      <c r="R780" s="22" t="s">
        <v>35</v>
      </c>
      <c r="S780" s="22" t="s">
        <v>34</v>
      </c>
      <c r="T780" s="22">
        <v>20170410</v>
      </c>
      <c r="U780" s="22"/>
      <c r="V780" s="22"/>
      <c r="W780" s="22"/>
      <c r="X780" s="22"/>
      <c r="Y780" s="22"/>
      <c r="Z780" s="22"/>
      <c r="AA780" s="22"/>
      <c r="AB780" s="22"/>
      <c r="AC780" s="22" t="s">
        <v>1913</v>
      </c>
      <c r="AD780" s="22">
        <v>20170413</v>
      </c>
      <c r="AE780" s="22">
        <v>779</v>
      </c>
      <c r="AF780" s="22"/>
      <c r="AG780" s="22" t="str">
        <f>IFERROR(VLOOKUP(TblFeedFile[[#This Row],[Leave Type ]],LkupPayType[],2,FALSE),"TBD")</f>
        <v>Paid</v>
      </c>
      <c r="AH780" s="30" t="str">
        <f>IFERROR(VLOOKUP(TblFeedFile[[#This Row],[ Report Number ]],LkupPayrollCycle[],2,FALSE),"TBD")</f>
        <v>Semi-Monthly</v>
      </c>
      <c r="AI780" s="25"/>
      <c r="AJ780" s="25"/>
      <c r="AK780" s="26"/>
    </row>
    <row r="781" spans="1:37" x14ac:dyDescent="0.25">
      <c r="A781" s="21" t="s">
        <v>37</v>
      </c>
      <c r="B781" s="22">
        <v>314301</v>
      </c>
      <c r="C781" s="22">
        <v>29380784</v>
      </c>
      <c r="D781" s="23">
        <v>531704058203</v>
      </c>
      <c r="E781" s="22" t="s">
        <v>2064</v>
      </c>
      <c r="F781" s="22" t="s">
        <v>808</v>
      </c>
      <c r="G781" s="22">
        <v>20170327</v>
      </c>
      <c r="H781" s="22">
        <v>20170505</v>
      </c>
      <c r="I781" s="22" t="s">
        <v>53</v>
      </c>
      <c r="J781" s="22"/>
      <c r="K781" s="22"/>
      <c r="L781" s="22" t="s">
        <v>34</v>
      </c>
      <c r="M781" s="22" t="s">
        <v>34</v>
      </c>
      <c r="N781" s="22" t="s">
        <v>35</v>
      </c>
      <c r="O781" s="22" t="s">
        <v>35</v>
      </c>
      <c r="P781" s="22" t="s">
        <v>35</v>
      </c>
      <c r="Q781" s="22" t="s">
        <v>35</v>
      </c>
      <c r="R781" s="22" t="s">
        <v>35</v>
      </c>
      <c r="S781" s="22" t="s">
        <v>34</v>
      </c>
      <c r="T781" s="22"/>
      <c r="U781" s="22"/>
      <c r="V781" s="22"/>
      <c r="W781" s="22"/>
      <c r="X781" s="22"/>
      <c r="Y781" s="22"/>
      <c r="Z781" s="22"/>
      <c r="AA781" s="22"/>
      <c r="AB781" s="22"/>
      <c r="AC781" s="22" t="s">
        <v>1912</v>
      </c>
      <c r="AD781" s="22">
        <v>20170413</v>
      </c>
      <c r="AE781" s="22">
        <v>780</v>
      </c>
      <c r="AF781" s="22"/>
      <c r="AG781" s="22" t="str">
        <f>IFERROR(VLOOKUP(TblFeedFile[[#This Row],[Leave Type ]],LkupPayType[],2,FALSE),"TBD")</f>
        <v>Paid</v>
      </c>
      <c r="AH781" s="30" t="str">
        <f>IFERROR(VLOOKUP(TblFeedFile[[#This Row],[ Report Number ]],LkupPayrollCycle[],2,FALSE),"TBD")</f>
        <v>Semi-Monthly</v>
      </c>
      <c r="AI781" s="25"/>
      <c r="AJ781" s="25"/>
      <c r="AK781" s="26"/>
    </row>
    <row r="782" spans="1:37" x14ac:dyDescent="0.25">
      <c r="A782" s="21" t="s">
        <v>37</v>
      </c>
      <c r="B782" s="22">
        <v>314301</v>
      </c>
      <c r="C782" s="22">
        <v>29380784</v>
      </c>
      <c r="D782" s="23">
        <v>531704058203</v>
      </c>
      <c r="E782" s="22" t="s">
        <v>2064</v>
      </c>
      <c r="F782" s="22" t="s">
        <v>808</v>
      </c>
      <c r="G782" s="22">
        <v>20170403</v>
      </c>
      <c r="H782" s="22">
        <v>20170505</v>
      </c>
      <c r="I782" s="22" t="s">
        <v>40</v>
      </c>
      <c r="J782" s="22"/>
      <c r="K782" s="22"/>
      <c r="L782" s="22" t="s">
        <v>34</v>
      </c>
      <c r="M782" s="22" t="s">
        <v>34</v>
      </c>
      <c r="N782" s="22" t="s">
        <v>35</v>
      </c>
      <c r="O782" s="22" t="s">
        <v>35</v>
      </c>
      <c r="P782" s="22" t="s">
        <v>35</v>
      </c>
      <c r="Q782" s="22" t="s">
        <v>35</v>
      </c>
      <c r="R782" s="22" t="s">
        <v>35</v>
      </c>
      <c r="S782" s="22" t="s">
        <v>34</v>
      </c>
      <c r="T782" s="22">
        <v>20170410</v>
      </c>
      <c r="U782" s="22"/>
      <c r="V782" s="22"/>
      <c r="W782" s="22"/>
      <c r="X782" s="22"/>
      <c r="Y782" s="22"/>
      <c r="Z782" s="22"/>
      <c r="AA782" s="22"/>
      <c r="AB782" s="22"/>
      <c r="AC782" s="22" t="s">
        <v>1915</v>
      </c>
      <c r="AD782" s="22">
        <v>20170413</v>
      </c>
      <c r="AE782" s="22">
        <v>781</v>
      </c>
      <c r="AF782" s="22"/>
      <c r="AG782" s="22" t="str">
        <f>IFERROR(VLOOKUP(TblFeedFile[[#This Row],[Leave Type ]],LkupPayType[],2,FALSE),"TBD")</f>
        <v>Paid</v>
      </c>
      <c r="AH782" s="30" t="str">
        <f>IFERROR(VLOOKUP(TblFeedFile[[#This Row],[ Report Number ]],LkupPayrollCycle[],2,FALSE),"TBD")</f>
        <v>Semi-Monthly</v>
      </c>
      <c r="AI782" s="25"/>
      <c r="AJ782" s="25"/>
      <c r="AK782" s="26" t="s">
        <v>35</v>
      </c>
    </row>
    <row r="783" spans="1:37" x14ac:dyDescent="0.25">
      <c r="A783" s="21" t="s">
        <v>29</v>
      </c>
      <c r="B783" s="22">
        <v>314304</v>
      </c>
      <c r="C783" s="22">
        <v>29383754</v>
      </c>
      <c r="D783" s="23" t="s">
        <v>2695</v>
      </c>
      <c r="E783" s="22" t="s">
        <v>2696</v>
      </c>
      <c r="F783" s="22" t="s">
        <v>1046</v>
      </c>
      <c r="G783" s="22">
        <v>20170411</v>
      </c>
      <c r="H783" s="22">
        <v>20170411</v>
      </c>
      <c r="I783" s="22" t="s">
        <v>33</v>
      </c>
      <c r="J783" s="22"/>
      <c r="K783" s="22"/>
      <c r="L783" s="22" t="s">
        <v>34</v>
      </c>
      <c r="M783" s="22" t="s">
        <v>34</v>
      </c>
      <c r="N783" s="22" t="s">
        <v>35</v>
      </c>
      <c r="O783" s="22" t="s">
        <v>35</v>
      </c>
      <c r="P783" s="22" t="s">
        <v>35</v>
      </c>
      <c r="Q783" s="22" t="s">
        <v>35</v>
      </c>
      <c r="R783" s="22" t="s">
        <v>35</v>
      </c>
      <c r="S783" s="22" t="s">
        <v>34</v>
      </c>
      <c r="T783" s="22"/>
      <c r="U783" s="22"/>
      <c r="V783" s="22"/>
      <c r="W783" s="22"/>
      <c r="X783" s="22"/>
      <c r="Y783" s="22"/>
      <c r="Z783" s="22"/>
      <c r="AA783" s="22"/>
      <c r="AB783" s="22"/>
      <c r="AC783" s="22" t="s">
        <v>1929</v>
      </c>
      <c r="AD783" s="22">
        <v>20170413</v>
      </c>
      <c r="AE783" s="22">
        <v>782</v>
      </c>
      <c r="AF783" s="22"/>
      <c r="AG783" s="22" t="str">
        <f>IFERROR(VLOOKUP(TblFeedFile[[#This Row],[Leave Type ]],LkupPayType[],2,FALSE),"TBD")</f>
        <v>Closed</v>
      </c>
      <c r="AH783" s="30" t="str">
        <f>IFERROR(VLOOKUP(TblFeedFile[[#This Row],[ Report Number ]],LkupPayrollCycle[],2,FALSE),"TBD")</f>
        <v>Bi-Weekly</v>
      </c>
      <c r="AI783" s="25"/>
      <c r="AJ783" s="25"/>
      <c r="AK783" s="26"/>
    </row>
    <row r="784" spans="1:37" x14ac:dyDescent="0.25">
      <c r="A784" s="21" t="s">
        <v>29</v>
      </c>
      <c r="B784" s="22">
        <v>314304</v>
      </c>
      <c r="C784" s="22">
        <v>29383754</v>
      </c>
      <c r="D784" s="23" t="s">
        <v>2695</v>
      </c>
      <c r="E784" s="22" t="s">
        <v>2696</v>
      </c>
      <c r="F784" s="22" t="s">
        <v>1046</v>
      </c>
      <c r="G784" s="22">
        <v>20170324</v>
      </c>
      <c r="H784" s="22">
        <v>20170410</v>
      </c>
      <c r="I784" s="22" t="s">
        <v>36</v>
      </c>
      <c r="J784" s="22"/>
      <c r="K784" s="22"/>
      <c r="L784" s="22" t="s">
        <v>34</v>
      </c>
      <c r="M784" s="22" t="s">
        <v>34</v>
      </c>
      <c r="N784" s="22" t="s">
        <v>35</v>
      </c>
      <c r="O784" s="22" t="s">
        <v>35</v>
      </c>
      <c r="P784" s="22" t="s">
        <v>35</v>
      </c>
      <c r="Q784" s="22" t="s">
        <v>35</v>
      </c>
      <c r="R784" s="22" t="s">
        <v>35</v>
      </c>
      <c r="S784" s="22" t="s">
        <v>34</v>
      </c>
      <c r="T784" s="22"/>
      <c r="U784" s="22"/>
      <c r="V784" s="22"/>
      <c r="W784" s="22"/>
      <c r="X784" s="22"/>
      <c r="Y784" s="22"/>
      <c r="Z784" s="22"/>
      <c r="AA784" s="22"/>
      <c r="AB784" s="22"/>
      <c r="AC784" s="22" t="s">
        <v>1911</v>
      </c>
      <c r="AD784" s="22">
        <v>20170413</v>
      </c>
      <c r="AE784" s="22">
        <v>783</v>
      </c>
      <c r="AF784" s="22"/>
      <c r="AG784" s="22" t="str">
        <f>IFERROR(VLOOKUP(TblFeedFile[[#This Row],[Leave Type ]],LkupPayType[],2,FALSE),"TBD")</f>
        <v>Unpaid</v>
      </c>
      <c r="AH784" s="30" t="str">
        <f>IFERROR(VLOOKUP(TblFeedFile[[#This Row],[ Report Number ]],LkupPayrollCycle[],2,FALSE),"TBD")</f>
        <v>Bi-Weekly</v>
      </c>
      <c r="AI784" s="25"/>
      <c r="AJ784" s="25"/>
      <c r="AK784" s="26"/>
    </row>
    <row r="785" spans="1:37" x14ac:dyDescent="0.25">
      <c r="A785" s="21" t="s">
        <v>29</v>
      </c>
      <c r="B785" s="22">
        <v>314304</v>
      </c>
      <c r="C785" s="22">
        <v>29383754</v>
      </c>
      <c r="D785" s="23" t="s">
        <v>2697</v>
      </c>
      <c r="E785" s="22" t="s">
        <v>2696</v>
      </c>
      <c r="F785" s="22" t="s">
        <v>1046</v>
      </c>
      <c r="G785" s="22">
        <v>20170210</v>
      </c>
      <c r="H785" s="22">
        <v>20170323</v>
      </c>
      <c r="I785" s="22" t="s">
        <v>36</v>
      </c>
      <c r="J785" s="22"/>
      <c r="K785" s="22"/>
      <c r="L785" s="22" t="s">
        <v>34</v>
      </c>
      <c r="M785" s="22" t="s">
        <v>34</v>
      </c>
      <c r="N785" s="22" t="s">
        <v>35</v>
      </c>
      <c r="O785" s="22" t="s">
        <v>35</v>
      </c>
      <c r="P785" s="22" t="s">
        <v>35</v>
      </c>
      <c r="Q785" s="22" t="s">
        <v>35</v>
      </c>
      <c r="R785" s="22" t="s">
        <v>35</v>
      </c>
      <c r="S785" s="22" t="s">
        <v>34</v>
      </c>
      <c r="T785" s="22">
        <v>20170324</v>
      </c>
      <c r="U785" s="22"/>
      <c r="V785" s="22"/>
      <c r="W785" s="22"/>
      <c r="X785" s="22"/>
      <c r="Y785" s="22"/>
      <c r="Z785" s="22"/>
      <c r="AA785" s="22"/>
      <c r="AB785" s="22"/>
      <c r="AC785" s="22" t="s">
        <v>1897</v>
      </c>
      <c r="AD785" s="22">
        <v>20170413</v>
      </c>
      <c r="AE785" s="22">
        <v>784</v>
      </c>
      <c r="AF785" s="22"/>
      <c r="AG785" s="22" t="str">
        <f>IFERROR(VLOOKUP(TblFeedFile[[#This Row],[Leave Type ]],LkupPayType[],2,FALSE),"TBD")</f>
        <v>Unpaid</v>
      </c>
      <c r="AH785" s="30" t="str">
        <f>IFERROR(VLOOKUP(TblFeedFile[[#This Row],[ Report Number ]],LkupPayrollCycle[],2,FALSE),"TBD")</f>
        <v>Bi-Weekly</v>
      </c>
      <c r="AI785" s="25"/>
      <c r="AJ785" s="25"/>
      <c r="AK785" s="26"/>
    </row>
    <row r="786" spans="1:37" x14ac:dyDescent="0.25">
      <c r="A786" s="21" t="s">
        <v>37</v>
      </c>
      <c r="B786" s="22">
        <v>314304</v>
      </c>
      <c r="C786" s="22">
        <v>29383754</v>
      </c>
      <c r="D786" s="23" t="s">
        <v>2697</v>
      </c>
      <c r="E786" s="22" t="s">
        <v>2696</v>
      </c>
      <c r="F786" s="22" t="s">
        <v>1046</v>
      </c>
      <c r="G786" s="22">
        <v>20170210</v>
      </c>
      <c r="H786" s="22">
        <v>20170412</v>
      </c>
      <c r="I786" s="22" t="s">
        <v>36</v>
      </c>
      <c r="J786" s="22"/>
      <c r="K786" s="22"/>
      <c r="L786" s="22" t="s">
        <v>34</v>
      </c>
      <c r="M786" s="22" t="s">
        <v>34</v>
      </c>
      <c r="N786" s="22" t="s">
        <v>35</v>
      </c>
      <c r="O786" s="22" t="s">
        <v>35</v>
      </c>
      <c r="P786" s="22" t="s">
        <v>35</v>
      </c>
      <c r="Q786" s="22" t="s">
        <v>35</v>
      </c>
      <c r="R786" s="22" t="s">
        <v>35</v>
      </c>
      <c r="S786" s="22" t="s">
        <v>34</v>
      </c>
      <c r="T786" s="22">
        <v>20170413</v>
      </c>
      <c r="U786" s="22"/>
      <c r="V786" s="22"/>
      <c r="W786" s="22"/>
      <c r="X786" s="22"/>
      <c r="Y786" s="22"/>
      <c r="Z786" s="22"/>
      <c r="AA786" s="22"/>
      <c r="AB786" s="22"/>
      <c r="AC786" s="22" t="s">
        <v>1897</v>
      </c>
      <c r="AD786" s="22">
        <v>20170413</v>
      </c>
      <c r="AE786" s="22">
        <v>785</v>
      </c>
      <c r="AF786" s="22"/>
      <c r="AG786" s="22" t="str">
        <f>IFERROR(VLOOKUP(TblFeedFile[[#This Row],[Leave Type ]],LkupPayType[],2,FALSE),"TBD")</f>
        <v>Unpaid</v>
      </c>
      <c r="AH786" s="30" t="str">
        <f>IFERROR(VLOOKUP(TblFeedFile[[#This Row],[ Report Number ]],LkupPayrollCycle[],2,FALSE),"TBD")</f>
        <v>Bi-Weekly</v>
      </c>
      <c r="AI786" s="25" t="s">
        <v>35</v>
      </c>
      <c r="AJ786" s="25"/>
      <c r="AK786" s="26" t="s">
        <v>35</v>
      </c>
    </row>
    <row r="787" spans="1:37" x14ac:dyDescent="0.25">
      <c r="A787" s="21" t="s">
        <v>37</v>
      </c>
      <c r="B787" s="22">
        <v>314304</v>
      </c>
      <c r="C787" s="22">
        <v>29383754</v>
      </c>
      <c r="D787" s="23" t="s">
        <v>2695</v>
      </c>
      <c r="E787" s="22" t="s">
        <v>2696</v>
      </c>
      <c r="F787" s="22" t="s">
        <v>1046</v>
      </c>
      <c r="G787" s="22">
        <v>20170324</v>
      </c>
      <c r="H787" s="22">
        <v>20170324</v>
      </c>
      <c r="I787" s="22" t="s">
        <v>43</v>
      </c>
      <c r="J787" s="22"/>
      <c r="K787" s="22"/>
      <c r="L787" s="22" t="s">
        <v>34</v>
      </c>
      <c r="M787" s="22" t="s">
        <v>34</v>
      </c>
      <c r="N787" s="22" t="s">
        <v>35</v>
      </c>
      <c r="O787" s="22" t="s">
        <v>35</v>
      </c>
      <c r="P787" s="22" t="s">
        <v>35</v>
      </c>
      <c r="Q787" s="22" t="s">
        <v>35</v>
      </c>
      <c r="R787" s="22" t="s">
        <v>35</v>
      </c>
      <c r="S787" s="22" t="s">
        <v>34</v>
      </c>
      <c r="T787" s="22"/>
      <c r="U787" s="22"/>
      <c r="V787" s="22"/>
      <c r="W787" s="22"/>
      <c r="X787" s="22"/>
      <c r="Y787" s="22"/>
      <c r="Z787" s="22"/>
      <c r="AA787" s="22"/>
      <c r="AB787" s="22"/>
      <c r="AC787" s="22" t="s">
        <v>1929</v>
      </c>
      <c r="AD787" s="22">
        <v>20170413</v>
      </c>
      <c r="AE787" s="22">
        <v>786</v>
      </c>
      <c r="AF787" s="22"/>
      <c r="AG787" s="22" t="str">
        <f>IFERROR(VLOOKUP(TblFeedFile[[#This Row],[Leave Type ]],LkupPayType[],2,FALSE),"TBD")</f>
        <v>Denied</v>
      </c>
      <c r="AH787" s="30" t="str">
        <f>IFERROR(VLOOKUP(TblFeedFile[[#This Row],[ Report Number ]],LkupPayrollCycle[],2,FALSE),"TBD")</f>
        <v>Bi-Weekly</v>
      </c>
      <c r="AI787" s="25" t="s">
        <v>35</v>
      </c>
      <c r="AJ787" s="25"/>
      <c r="AK787" s="26"/>
    </row>
    <row r="788" spans="1:37" x14ac:dyDescent="0.25">
      <c r="A788" s="21" t="s">
        <v>29</v>
      </c>
      <c r="B788" s="22">
        <v>314305</v>
      </c>
      <c r="C788" s="22">
        <v>29458573</v>
      </c>
      <c r="D788" s="23" t="s">
        <v>2065</v>
      </c>
      <c r="E788" s="22" t="s">
        <v>2066</v>
      </c>
      <c r="F788" s="22" t="s">
        <v>1756</v>
      </c>
      <c r="G788" s="22">
        <v>20170412</v>
      </c>
      <c r="H788" s="22">
        <v>20170412</v>
      </c>
      <c r="I788" s="22" t="s">
        <v>33</v>
      </c>
      <c r="J788" s="22"/>
      <c r="K788" s="22"/>
      <c r="L788" s="22" t="s">
        <v>34</v>
      </c>
      <c r="M788" s="22" t="s">
        <v>34</v>
      </c>
      <c r="N788" s="22" t="s">
        <v>35</v>
      </c>
      <c r="O788" s="22" t="s">
        <v>35</v>
      </c>
      <c r="P788" s="22" t="s">
        <v>35</v>
      </c>
      <c r="Q788" s="22" t="s">
        <v>35</v>
      </c>
      <c r="R788" s="22" t="s">
        <v>35</v>
      </c>
      <c r="S788" s="22" t="s">
        <v>34</v>
      </c>
      <c r="T788" s="22"/>
      <c r="U788" s="22"/>
      <c r="V788" s="22"/>
      <c r="W788" s="22"/>
      <c r="X788" s="22"/>
      <c r="Y788" s="22"/>
      <c r="Z788" s="22"/>
      <c r="AA788" s="22"/>
      <c r="AB788" s="22"/>
      <c r="AC788" s="22" t="s">
        <v>1917</v>
      </c>
      <c r="AD788" s="22">
        <v>20170413</v>
      </c>
      <c r="AE788" s="22">
        <v>787</v>
      </c>
      <c r="AF788" s="22"/>
      <c r="AG788" s="22" t="str">
        <f>IFERROR(VLOOKUP(TblFeedFile[[#This Row],[Leave Type ]],LkupPayType[],2,FALSE),"TBD")</f>
        <v>Closed</v>
      </c>
      <c r="AH788" s="30" t="str">
        <f>IFERROR(VLOOKUP(TblFeedFile[[#This Row],[ Report Number ]],LkupPayrollCycle[],2,FALSE),"TBD")</f>
        <v>Bi-Weekly</v>
      </c>
      <c r="AI788" s="25"/>
      <c r="AJ788" s="25"/>
      <c r="AK788" s="26"/>
    </row>
    <row r="789" spans="1:37" x14ac:dyDescent="0.25">
      <c r="A789" s="21" t="s">
        <v>37</v>
      </c>
      <c r="B789" s="22">
        <v>314305</v>
      </c>
      <c r="C789" s="22">
        <v>29458573</v>
      </c>
      <c r="D789" s="23" t="s">
        <v>2065</v>
      </c>
      <c r="E789" s="22" t="s">
        <v>2066</v>
      </c>
      <c r="F789" s="22" t="s">
        <v>1756</v>
      </c>
      <c r="G789" s="22">
        <v>20170309</v>
      </c>
      <c r="H789" s="22">
        <v>20170411</v>
      </c>
      <c r="I789" s="22" t="s">
        <v>36</v>
      </c>
      <c r="J789" s="22"/>
      <c r="K789" s="22"/>
      <c r="L789" s="22" t="s">
        <v>34</v>
      </c>
      <c r="M789" s="22" t="s">
        <v>34</v>
      </c>
      <c r="N789" s="22" t="s">
        <v>35</v>
      </c>
      <c r="O789" s="22" t="s">
        <v>35</v>
      </c>
      <c r="P789" s="22" t="s">
        <v>35</v>
      </c>
      <c r="Q789" s="22" t="s">
        <v>35</v>
      </c>
      <c r="R789" s="22" t="s">
        <v>35</v>
      </c>
      <c r="S789" s="22" t="s">
        <v>34</v>
      </c>
      <c r="T789" s="22">
        <v>20170412</v>
      </c>
      <c r="U789" s="22"/>
      <c r="V789" s="22"/>
      <c r="W789" s="22"/>
      <c r="X789" s="22"/>
      <c r="Y789" s="22"/>
      <c r="Z789" s="22"/>
      <c r="AA789" s="22"/>
      <c r="AB789" s="22"/>
      <c r="AC789" s="22" t="s">
        <v>1921</v>
      </c>
      <c r="AD789" s="22">
        <v>20170413</v>
      </c>
      <c r="AE789" s="22">
        <v>788</v>
      </c>
      <c r="AF789" s="22"/>
      <c r="AG789" s="22" t="str">
        <f>IFERROR(VLOOKUP(TblFeedFile[[#This Row],[Leave Type ]],LkupPayType[],2,FALSE),"TBD")</f>
        <v>Unpaid</v>
      </c>
      <c r="AH789" s="30" t="str">
        <f>IFERROR(VLOOKUP(TblFeedFile[[#This Row],[ Report Number ]],LkupPayrollCycle[],2,FALSE),"TBD")</f>
        <v>Bi-Weekly</v>
      </c>
      <c r="AI789" s="25" t="s">
        <v>35</v>
      </c>
      <c r="AJ789" s="25"/>
      <c r="AK789" s="26" t="s">
        <v>35</v>
      </c>
    </row>
    <row r="790" spans="1:37" x14ac:dyDescent="0.25">
      <c r="A790" s="21" t="s">
        <v>29</v>
      </c>
      <c r="B790" s="22">
        <v>314301</v>
      </c>
      <c r="C790" s="22">
        <v>29487364</v>
      </c>
      <c r="D790" s="23" t="s">
        <v>2698</v>
      </c>
      <c r="E790" s="22" t="s">
        <v>142</v>
      </c>
      <c r="F790" s="22" t="s">
        <v>2699</v>
      </c>
      <c r="G790" s="22">
        <v>20170320</v>
      </c>
      <c r="H790" s="22">
        <v>20170414</v>
      </c>
      <c r="I790" s="22" t="s">
        <v>49</v>
      </c>
      <c r="J790" s="22"/>
      <c r="K790" s="22"/>
      <c r="L790" s="22" t="s">
        <v>34</v>
      </c>
      <c r="M790" s="22" t="s">
        <v>34</v>
      </c>
      <c r="N790" s="22" t="s">
        <v>35</v>
      </c>
      <c r="O790" s="22" t="s">
        <v>35</v>
      </c>
      <c r="P790" s="22" t="s">
        <v>35</v>
      </c>
      <c r="Q790" s="22" t="s">
        <v>35</v>
      </c>
      <c r="R790" s="22" t="s">
        <v>35</v>
      </c>
      <c r="S790" s="22" t="s">
        <v>34</v>
      </c>
      <c r="T790" s="22"/>
      <c r="U790" s="22"/>
      <c r="V790" s="22"/>
      <c r="W790" s="22"/>
      <c r="X790" s="22"/>
      <c r="Y790" s="22"/>
      <c r="Z790" s="22"/>
      <c r="AA790" s="22"/>
      <c r="AB790" s="22"/>
      <c r="AC790" s="22" t="s">
        <v>1936</v>
      </c>
      <c r="AD790" s="22">
        <v>20170413</v>
      </c>
      <c r="AE790" s="22">
        <v>789</v>
      </c>
      <c r="AF790" s="22"/>
      <c r="AG790" s="22" t="str">
        <f>IFERROR(VLOOKUP(TblFeedFile[[#This Row],[Leave Type ]],LkupPayType[],2,FALSE),"TBD")</f>
        <v>Unpaid</v>
      </c>
      <c r="AH790" s="30" t="str">
        <f>IFERROR(VLOOKUP(TblFeedFile[[#This Row],[ Report Number ]],LkupPayrollCycle[],2,FALSE),"TBD")</f>
        <v>Semi-Monthly</v>
      </c>
      <c r="AI790" s="25"/>
      <c r="AJ790" s="25"/>
      <c r="AK790" s="26"/>
    </row>
    <row r="791" spans="1:37" x14ac:dyDescent="0.25">
      <c r="A791" s="21" t="s">
        <v>37</v>
      </c>
      <c r="B791" s="22">
        <v>314301</v>
      </c>
      <c r="C791" s="22">
        <v>29487364</v>
      </c>
      <c r="D791" s="23" t="s">
        <v>2698</v>
      </c>
      <c r="E791" s="22" t="s">
        <v>142</v>
      </c>
      <c r="F791" s="22" t="s">
        <v>2699</v>
      </c>
      <c r="G791" s="22">
        <v>20170320</v>
      </c>
      <c r="H791" s="22">
        <v>20170417</v>
      </c>
      <c r="I791" s="22" t="s">
        <v>49</v>
      </c>
      <c r="J791" s="22"/>
      <c r="K791" s="22"/>
      <c r="L791" s="22" t="s">
        <v>34</v>
      </c>
      <c r="M791" s="22" t="s">
        <v>34</v>
      </c>
      <c r="N791" s="22" t="s">
        <v>35</v>
      </c>
      <c r="O791" s="22" t="s">
        <v>35</v>
      </c>
      <c r="P791" s="22" t="s">
        <v>35</v>
      </c>
      <c r="Q791" s="22" t="s">
        <v>35</v>
      </c>
      <c r="R791" s="22" t="s">
        <v>35</v>
      </c>
      <c r="S791" s="22" t="s">
        <v>34</v>
      </c>
      <c r="T791" s="22"/>
      <c r="U791" s="22"/>
      <c r="V791" s="22"/>
      <c r="W791" s="22"/>
      <c r="X791" s="22"/>
      <c r="Y791" s="22"/>
      <c r="Z791" s="22"/>
      <c r="AA791" s="22"/>
      <c r="AB791" s="22"/>
      <c r="AC791" s="22" t="s">
        <v>1936</v>
      </c>
      <c r="AD791" s="22">
        <v>20170413</v>
      </c>
      <c r="AE791" s="22">
        <v>790</v>
      </c>
      <c r="AF791" s="22"/>
      <c r="AG791" s="22" t="str">
        <f>IFERROR(VLOOKUP(TblFeedFile[[#This Row],[Leave Type ]],LkupPayType[],2,FALSE),"TBD")</f>
        <v>Unpaid</v>
      </c>
      <c r="AH791" s="30" t="str">
        <f>IFERROR(VLOOKUP(TblFeedFile[[#This Row],[ Report Number ]],LkupPayrollCycle[],2,FALSE),"TBD")</f>
        <v>Semi-Monthly</v>
      </c>
      <c r="AI791" s="25"/>
      <c r="AJ791" s="25"/>
      <c r="AK791" s="26"/>
    </row>
    <row r="792" spans="1:37" x14ac:dyDescent="0.25">
      <c r="A792" s="21" t="s">
        <v>29</v>
      </c>
      <c r="B792" s="22">
        <v>314304</v>
      </c>
      <c r="C792" s="22">
        <v>29505129</v>
      </c>
      <c r="D792" s="23">
        <v>551703248195</v>
      </c>
      <c r="E792" s="22" t="s">
        <v>75</v>
      </c>
      <c r="F792" s="22" t="s">
        <v>2700</v>
      </c>
      <c r="G792" s="22">
        <v>20170331</v>
      </c>
      <c r="H792" s="22">
        <v>20170409</v>
      </c>
      <c r="I792" s="22" t="s">
        <v>40</v>
      </c>
      <c r="J792" s="22"/>
      <c r="K792" s="22"/>
      <c r="L792" s="22" t="s">
        <v>34</v>
      </c>
      <c r="M792" s="22" t="s">
        <v>34</v>
      </c>
      <c r="N792" s="22" t="s">
        <v>35</v>
      </c>
      <c r="O792" s="22" t="s">
        <v>35</v>
      </c>
      <c r="P792" s="22" t="s">
        <v>35</v>
      </c>
      <c r="Q792" s="22" t="s">
        <v>35</v>
      </c>
      <c r="R792" s="22" t="s">
        <v>35</v>
      </c>
      <c r="S792" s="22" t="s">
        <v>34</v>
      </c>
      <c r="T792" s="22">
        <v>20170410</v>
      </c>
      <c r="U792" s="22"/>
      <c r="V792" s="22"/>
      <c r="W792" s="22"/>
      <c r="X792" s="22"/>
      <c r="Y792" s="22"/>
      <c r="Z792" s="22"/>
      <c r="AA792" s="22"/>
      <c r="AB792" s="22"/>
      <c r="AC792" s="22" t="s">
        <v>1951</v>
      </c>
      <c r="AD792" s="22">
        <v>20170413</v>
      </c>
      <c r="AE792" s="22">
        <v>791</v>
      </c>
      <c r="AF792" s="22"/>
      <c r="AG792" s="22" t="str">
        <f>IFERROR(VLOOKUP(TblFeedFile[[#This Row],[Leave Type ]],LkupPayType[],2,FALSE),"TBD")</f>
        <v>Paid</v>
      </c>
      <c r="AH792" s="30" t="str">
        <f>IFERROR(VLOOKUP(TblFeedFile[[#This Row],[ Report Number ]],LkupPayrollCycle[],2,FALSE),"TBD")</f>
        <v>Bi-Weekly</v>
      </c>
      <c r="AI792" s="25"/>
      <c r="AJ792" s="25"/>
      <c r="AK792" s="26"/>
    </row>
    <row r="793" spans="1:37" x14ac:dyDescent="0.25">
      <c r="A793" s="21" t="s">
        <v>37</v>
      </c>
      <c r="B793" s="22">
        <v>314304</v>
      </c>
      <c r="C793" s="22">
        <v>29505129</v>
      </c>
      <c r="D793" s="23">
        <v>551703248195</v>
      </c>
      <c r="E793" s="22" t="s">
        <v>75</v>
      </c>
      <c r="F793" s="22" t="s">
        <v>2700</v>
      </c>
      <c r="G793" s="22">
        <v>20170331</v>
      </c>
      <c r="H793" s="22">
        <v>20170604</v>
      </c>
      <c r="I793" s="22" t="s">
        <v>40</v>
      </c>
      <c r="J793" s="22"/>
      <c r="K793" s="22"/>
      <c r="L793" s="22" t="s">
        <v>34</v>
      </c>
      <c r="M793" s="22" t="s">
        <v>34</v>
      </c>
      <c r="N793" s="22" t="s">
        <v>35</v>
      </c>
      <c r="O793" s="22" t="s">
        <v>35</v>
      </c>
      <c r="P793" s="22" t="s">
        <v>35</v>
      </c>
      <c r="Q793" s="22" t="s">
        <v>35</v>
      </c>
      <c r="R793" s="22" t="s">
        <v>35</v>
      </c>
      <c r="S793" s="22" t="s">
        <v>34</v>
      </c>
      <c r="T793" s="22"/>
      <c r="U793" s="22"/>
      <c r="V793" s="22"/>
      <c r="W793" s="22"/>
      <c r="X793" s="22"/>
      <c r="Y793" s="22"/>
      <c r="Z793" s="22"/>
      <c r="AA793" s="22"/>
      <c r="AB793" s="22"/>
      <c r="AC793" s="22" t="s">
        <v>1900</v>
      </c>
      <c r="AD793" s="22">
        <v>20170413</v>
      </c>
      <c r="AE793" s="22">
        <v>792</v>
      </c>
      <c r="AF793" s="22"/>
      <c r="AG793" s="22" t="str">
        <f>IFERROR(VLOOKUP(TblFeedFile[[#This Row],[Leave Type ]],LkupPayType[],2,FALSE),"TBD")</f>
        <v>Paid</v>
      </c>
      <c r="AH793" s="30" t="str">
        <f>IFERROR(VLOOKUP(TblFeedFile[[#This Row],[ Report Number ]],LkupPayrollCycle[],2,FALSE),"TBD")</f>
        <v>Bi-Weekly</v>
      </c>
      <c r="AI793" s="25"/>
      <c r="AJ793" s="25"/>
      <c r="AK793" s="26"/>
    </row>
    <row r="794" spans="1:37" x14ac:dyDescent="0.25">
      <c r="A794" s="21" t="s">
        <v>29</v>
      </c>
      <c r="B794" s="22">
        <v>314304</v>
      </c>
      <c r="C794" s="22">
        <v>29531777</v>
      </c>
      <c r="D794" s="23">
        <v>561703158456</v>
      </c>
      <c r="E794" s="22" t="s">
        <v>2051</v>
      </c>
      <c r="F794" s="22" t="s">
        <v>841</v>
      </c>
      <c r="G794" s="22">
        <v>20170403</v>
      </c>
      <c r="H794" s="22">
        <v>20170509</v>
      </c>
      <c r="I794" s="22" t="s">
        <v>40</v>
      </c>
      <c r="J794" s="22"/>
      <c r="K794" s="22"/>
      <c r="L794" s="22" t="s">
        <v>34</v>
      </c>
      <c r="M794" s="22" t="s">
        <v>34</v>
      </c>
      <c r="N794" s="22" t="s">
        <v>35</v>
      </c>
      <c r="O794" s="22" t="s">
        <v>35</v>
      </c>
      <c r="P794" s="22" t="s">
        <v>35</v>
      </c>
      <c r="Q794" s="22" t="s">
        <v>35</v>
      </c>
      <c r="R794" s="22" t="s">
        <v>35</v>
      </c>
      <c r="S794" s="22" t="s">
        <v>34</v>
      </c>
      <c r="T794" s="22"/>
      <c r="U794" s="22"/>
      <c r="V794" s="22"/>
      <c r="W794" s="22"/>
      <c r="X794" s="22"/>
      <c r="Y794" s="22"/>
      <c r="Z794" s="22"/>
      <c r="AA794" s="22"/>
      <c r="AB794" s="22"/>
      <c r="AC794" s="22" t="s">
        <v>1922</v>
      </c>
      <c r="AD794" s="22">
        <v>20170413</v>
      </c>
      <c r="AE794" s="22">
        <v>793</v>
      </c>
      <c r="AF794" s="22"/>
      <c r="AG794" s="22" t="str">
        <f>IFERROR(VLOOKUP(TblFeedFile[[#This Row],[Leave Type ]],LkupPayType[],2,FALSE),"TBD")</f>
        <v>Paid</v>
      </c>
      <c r="AH794" s="30" t="str">
        <f>IFERROR(VLOOKUP(TblFeedFile[[#This Row],[ Report Number ]],LkupPayrollCycle[],2,FALSE),"TBD")</f>
        <v>Bi-Weekly</v>
      </c>
      <c r="AI794" s="25"/>
      <c r="AJ794" s="25"/>
      <c r="AK794" s="26"/>
    </row>
    <row r="795" spans="1:37" x14ac:dyDescent="0.25">
      <c r="A795" s="21" t="s">
        <v>37</v>
      </c>
      <c r="B795" s="22">
        <v>314304</v>
      </c>
      <c r="C795" s="22">
        <v>29531777</v>
      </c>
      <c r="D795" s="23">
        <v>561703158456</v>
      </c>
      <c r="E795" s="22" t="s">
        <v>2051</v>
      </c>
      <c r="F795" s="22" t="s">
        <v>841</v>
      </c>
      <c r="G795" s="22">
        <v>20170403</v>
      </c>
      <c r="H795" s="22">
        <v>20170514</v>
      </c>
      <c r="I795" s="22" t="s">
        <v>40</v>
      </c>
      <c r="J795" s="22"/>
      <c r="K795" s="22"/>
      <c r="L795" s="22" t="s">
        <v>34</v>
      </c>
      <c r="M795" s="22" t="s">
        <v>34</v>
      </c>
      <c r="N795" s="22" t="s">
        <v>35</v>
      </c>
      <c r="O795" s="22" t="s">
        <v>35</v>
      </c>
      <c r="P795" s="22" t="s">
        <v>35</v>
      </c>
      <c r="Q795" s="22" t="s">
        <v>35</v>
      </c>
      <c r="R795" s="22" t="s">
        <v>35</v>
      </c>
      <c r="S795" s="22" t="s">
        <v>34</v>
      </c>
      <c r="T795" s="22"/>
      <c r="U795" s="22"/>
      <c r="V795" s="22"/>
      <c r="W795" s="22"/>
      <c r="X795" s="22"/>
      <c r="Y795" s="22"/>
      <c r="Z795" s="22"/>
      <c r="AA795" s="22"/>
      <c r="AB795" s="22"/>
      <c r="AC795" s="22" t="s">
        <v>1922</v>
      </c>
      <c r="AD795" s="22">
        <v>20170413</v>
      </c>
      <c r="AE795" s="22">
        <v>794</v>
      </c>
      <c r="AF795" s="22"/>
      <c r="AG795" s="22" t="str">
        <f>IFERROR(VLOOKUP(TblFeedFile[[#This Row],[Leave Type ]],LkupPayType[],2,FALSE),"TBD")</f>
        <v>Paid</v>
      </c>
      <c r="AH795" s="30" t="str">
        <f>IFERROR(VLOOKUP(TblFeedFile[[#This Row],[ Report Number ]],LkupPayrollCycle[],2,FALSE),"TBD")</f>
        <v>Bi-Weekly</v>
      </c>
      <c r="AI795" s="25"/>
      <c r="AJ795" s="25"/>
      <c r="AK795" s="26"/>
    </row>
    <row r="796" spans="1:37" x14ac:dyDescent="0.25">
      <c r="A796" s="21" t="s">
        <v>29</v>
      </c>
      <c r="B796" s="22">
        <v>314301</v>
      </c>
      <c r="C796" s="22">
        <v>29552179</v>
      </c>
      <c r="D796" s="23">
        <v>531703288773</v>
      </c>
      <c r="E796" s="22" t="s">
        <v>2067</v>
      </c>
      <c r="F796" s="22" t="s">
        <v>2068</v>
      </c>
      <c r="G796" s="22">
        <v>20170324</v>
      </c>
      <c r="H796" s="22">
        <v>20170427</v>
      </c>
      <c r="I796" s="22" t="s">
        <v>40</v>
      </c>
      <c r="J796" s="22"/>
      <c r="K796" s="22"/>
      <c r="L796" s="22" t="s">
        <v>34</v>
      </c>
      <c r="M796" s="22" t="s">
        <v>34</v>
      </c>
      <c r="N796" s="22" t="s">
        <v>35</v>
      </c>
      <c r="O796" s="22" t="s">
        <v>35</v>
      </c>
      <c r="P796" s="22" t="s">
        <v>35</v>
      </c>
      <c r="Q796" s="22" t="s">
        <v>35</v>
      </c>
      <c r="R796" s="22" t="s">
        <v>35</v>
      </c>
      <c r="S796" s="22" t="s">
        <v>34</v>
      </c>
      <c r="T796" s="22"/>
      <c r="U796" s="22"/>
      <c r="V796" s="22"/>
      <c r="W796" s="22"/>
      <c r="X796" s="22"/>
      <c r="Y796" s="22">
        <v>170</v>
      </c>
      <c r="Z796" s="22" t="s">
        <v>341</v>
      </c>
      <c r="AA796" s="22">
        <v>20170324</v>
      </c>
      <c r="AB796" s="22">
        <v>20170914</v>
      </c>
      <c r="AC796" s="22" t="s">
        <v>2069</v>
      </c>
      <c r="AD796" s="22">
        <v>20170413</v>
      </c>
      <c r="AE796" s="22">
        <v>795</v>
      </c>
      <c r="AF796" s="22"/>
      <c r="AG796" s="22" t="str">
        <f>IFERROR(VLOOKUP(TblFeedFile[[#This Row],[Leave Type ]],LkupPayType[],2,FALSE),"TBD")</f>
        <v>Paid</v>
      </c>
      <c r="AH796" s="30" t="str">
        <f>IFERROR(VLOOKUP(TblFeedFile[[#This Row],[ Report Number ]],LkupPayrollCycle[],2,FALSE),"TBD")</f>
        <v>Semi-Monthly</v>
      </c>
      <c r="AI796" s="25"/>
      <c r="AJ796" s="25"/>
      <c r="AK796" s="26"/>
    </row>
    <row r="797" spans="1:37" x14ac:dyDescent="0.25">
      <c r="A797" s="21" t="s">
        <v>37</v>
      </c>
      <c r="B797" s="22">
        <v>314301</v>
      </c>
      <c r="C797" s="22">
        <v>29552179</v>
      </c>
      <c r="D797" s="23">
        <v>531703288773</v>
      </c>
      <c r="E797" s="22" t="s">
        <v>2067</v>
      </c>
      <c r="F797" s="22" t="s">
        <v>2068</v>
      </c>
      <c r="G797" s="22">
        <v>20170324</v>
      </c>
      <c r="H797" s="22">
        <v>20170602</v>
      </c>
      <c r="I797" s="22" t="s">
        <v>40</v>
      </c>
      <c r="J797" s="22"/>
      <c r="K797" s="22"/>
      <c r="L797" s="22" t="s">
        <v>34</v>
      </c>
      <c r="M797" s="22" t="s">
        <v>34</v>
      </c>
      <c r="N797" s="22" t="s">
        <v>35</v>
      </c>
      <c r="O797" s="22" t="s">
        <v>35</v>
      </c>
      <c r="P797" s="22" t="s">
        <v>35</v>
      </c>
      <c r="Q797" s="22" t="s">
        <v>35</v>
      </c>
      <c r="R797" s="22" t="s">
        <v>35</v>
      </c>
      <c r="S797" s="22" t="s">
        <v>34</v>
      </c>
      <c r="T797" s="22"/>
      <c r="U797" s="22"/>
      <c r="V797" s="22"/>
      <c r="W797" s="22"/>
      <c r="X797" s="22"/>
      <c r="Y797" s="22">
        <v>170</v>
      </c>
      <c r="Z797" s="22" t="s">
        <v>341</v>
      </c>
      <c r="AA797" s="22">
        <v>20170324</v>
      </c>
      <c r="AB797" s="22">
        <v>20170914</v>
      </c>
      <c r="AC797" s="22" t="s">
        <v>2069</v>
      </c>
      <c r="AD797" s="22">
        <v>20170413</v>
      </c>
      <c r="AE797" s="22">
        <v>796</v>
      </c>
      <c r="AF797" s="22"/>
      <c r="AG797" s="22" t="str">
        <f>IFERROR(VLOOKUP(TblFeedFile[[#This Row],[Leave Type ]],LkupPayType[],2,FALSE),"TBD")</f>
        <v>Paid</v>
      </c>
      <c r="AH797" s="30" t="str">
        <f>IFERROR(VLOOKUP(TblFeedFile[[#This Row],[ Report Number ]],LkupPayrollCycle[],2,FALSE),"TBD")</f>
        <v>Semi-Monthly</v>
      </c>
      <c r="AI797" s="25"/>
      <c r="AJ797" s="25"/>
      <c r="AK797" s="26"/>
    </row>
    <row r="798" spans="1:37" x14ac:dyDescent="0.25">
      <c r="A798" s="21" t="s">
        <v>29</v>
      </c>
      <c r="B798" s="22">
        <v>314301</v>
      </c>
      <c r="C798" s="22">
        <v>29560225</v>
      </c>
      <c r="D798" s="23" t="s">
        <v>2701</v>
      </c>
      <c r="E798" s="22" t="s">
        <v>356</v>
      </c>
      <c r="F798" s="22" t="s">
        <v>2702</v>
      </c>
      <c r="G798" s="22">
        <v>20170410</v>
      </c>
      <c r="H798" s="22">
        <v>20170730</v>
      </c>
      <c r="I798" s="22" t="s">
        <v>223</v>
      </c>
      <c r="J798" s="22"/>
      <c r="K798" s="22"/>
      <c r="L798" s="22" t="s">
        <v>34</v>
      </c>
      <c r="M798" s="22" t="s">
        <v>34</v>
      </c>
      <c r="N798" s="22" t="s">
        <v>35</v>
      </c>
      <c r="O798" s="22" t="s">
        <v>35</v>
      </c>
      <c r="P798" s="22" t="s">
        <v>35</v>
      </c>
      <c r="Q798" s="22" t="s">
        <v>35</v>
      </c>
      <c r="R798" s="22" t="s">
        <v>35</v>
      </c>
      <c r="S798" s="22" t="s">
        <v>34</v>
      </c>
      <c r="T798" s="22"/>
      <c r="U798" s="22"/>
      <c r="V798" s="22"/>
      <c r="W798" s="22"/>
      <c r="X798" s="22"/>
      <c r="Y798" s="22"/>
      <c r="Z798" s="22"/>
      <c r="AA798" s="22"/>
      <c r="AB798" s="22"/>
      <c r="AC798" s="22" t="s">
        <v>1905</v>
      </c>
      <c r="AD798" s="22">
        <v>20170413</v>
      </c>
      <c r="AE798" s="22">
        <v>797</v>
      </c>
      <c r="AF798" s="22"/>
      <c r="AG798" s="22" t="str">
        <f>IFERROR(VLOOKUP(TblFeedFile[[#This Row],[Leave Type ]],LkupPayType[],2,FALSE),"TBD")</f>
        <v>Paid</v>
      </c>
      <c r="AH798" s="30" t="str">
        <f>IFERROR(VLOOKUP(TblFeedFile[[#This Row],[ Report Number ]],LkupPayrollCycle[],2,FALSE),"TBD")</f>
        <v>Semi-Monthly</v>
      </c>
      <c r="AI798" s="25"/>
      <c r="AJ798" s="25"/>
      <c r="AK798" s="26"/>
    </row>
    <row r="799" spans="1:37" x14ac:dyDescent="0.25">
      <c r="A799" s="21" t="s">
        <v>37</v>
      </c>
      <c r="B799" s="22">
        <v>314301</v>
      </c>
      <c r="C799" s="22">
        <v>29560225</v>
      </c>
      <c r="D799" s="23" t="s">
        <v>2701</v>
      </c>
      <c r="E799" s="22" t="s">
        <v>356</v>
      </c>
      <c r="F799" s="22" t="s">
        <v>2702</v>
      </c>
      <c r="G799" s="22">
        <v>20170413</v>
      </c>
      <c r="H799" s="22">
        <v>20170803</v>
      </c>
      <c r="I799" s="22" t="s">
        <v>223</v>
      </c>
      <c r="J799" s="22"/>
      <c r="K799" s="22"/>
      <c r="L799" s="22" t="s">
        <v>34</v>
      </c>
      <c r="M799" s="22" t="s">
        <v>34</v>
      </c>
      <c r="N799" s="22" t="s">
        <v>35</v>
      </c>
      <c r="O799" s="22" t="s">
        <v>35</v>
      </c>
      <c r="P799" s="22" t="s">
        <v>35</v>
      </c>
      <c r="Q799" s="22" t="s">
        <v>35</v>
      </c>
      <c r="R799" s="22" t="s">
        <v>35</v>
      </c>
      <c r="S799" s="22" t="s">
        <v>34</v>
      </c>
      <c r="T799" s="22"/>
      <c r="U799" s="22"/>
      <c r="V799" s="22"/>
      <c r="W799" s="22"/>
      <c r="X799" s="22"/>
      <c r="Y799" s="22"/>
      <c r="Z799" s="22"/>
      <c r="AA799" s="22"/>
      <c r="AB799" s="22"/>
      <c r="AC799" s="22" t="s">
        <v>1905</v>
      </c>
      <c r="AD799" s="22">
        <v>20170413</v>
      </c>
      <c r="AE799" s="22">
        <v>798</v>
      </c>
      <c r="AF799" s="22"/>
      <c r="AG799" s="22" t="str">
        <f>IFERROR(VLOOKUP(TblFeedFile[[#This Row],[Leave Type ]],LkupPayType[],2,FALSE),"TBD")</f>
        <v>Paid</v>
      </c>
      <c r="AH799" s="30" t="str">
        <f>IFERROR(VLOOKUP(TblFeedFile[[#This Row],[ Report Number ]],LkupPayrollCycle[],2,FALSE),"TBD")</f>
        <v>Semi-Monthly</v>
      </c>
      <c r="AI799" s="25"/>
      <c r="AJ799" s="25"/>
      <c r="AK799" s="26"/>
    </row>
    <row r="800" spans="1:37" x14ac:dyDescent="0.25">
      <c r="A800" s="21" t="s">
        <v>29</v>
      </c>
      <c r="B800" s="22">
        <v>314305</v>
      </c>
      <c r="C800" s="22">
        <v>29570349</v>
      </c>
      <c r="D800" s="23" t="s">
        <v>2703</v>
      </c>
      <c r="E800" s="22" t="s">
        <v>1055</v>
      </c>
      <c r="F800" s="22" t="s">
        <v>2704</v>
      </c>
      <c r="G800" s="22">
        <v>20170331</v>
      </c>
      <c r="H800" s="22">
        <v>20170331</v>
      </c>
      <c r="I800" s="22" t="s">
        <v>43</v>
      </c>
      <c r="J800" s="22"/>
      <c r="K800" s="22"/>
      <c r="L800" s="22" t="s">
        <v>35</v>
      </c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 t="s">
        <v>1976</v>
      </c>
      <c r="AD800" s="22">
        <v>20170413</v>
      </c>
      <c r="AE800" s="22">
        <v>799</v>
      </c>
      <c r="AF800" s="22"/>
      <c r="AG800" s="22" t="str">
        <f>IFERROR(VLOOKUP(TblFeedFile[[#This Row],[Leave Type ]],LkupPayType[],2,FALSE),"TBD")</f>
        <v>Denied</v>
      </c>
      <c r="AH800" s="30" t="str">
        <f>IFERROR(VLOOKUP(TblFeedFile[[#This Row],[ Report Number ]],LkupPayrollCycle[],2,FALSE),"TBD")</f>
        <v>Bi-Weekly</v>
      </c>
      <c r="AI800" s="25"/>
      <c r="AJ800" s="25"/>
      <c r="AK800" s="26"/>
    </row>
    <row r="801" spans="1:37" x14ac:dyDescent="0.25">
      <c r="A801" s="21" t="s">
        <v>37</v>
      </c>
      <c r="B801" s="22">
        <v>314305</v>
      </c>
      <c r="C801" s="22">
        <v>29570349</v>
      </c>
      <c r="D801" s="23" t="s">
        <v>2703</v>
      </c>
      <c r="E801" s="22" t="s">
        <v>1055</v>
      </c>
      <c r="F801" s="22" t="s">
        <v>2704</v>
      </c>
      <c r="G801" s="22">
        <v>20170331</v>
      </c>
      <c r="H801" s="22">
        <v>20170531</v>
      </c>
      <c r="I801" s="22" t="s">
        <v>49</v>
      </c>
      <c r="J801" s="22"/>
      <c r="K801" s="22"/>
      <c r="L801" s="22" t="s">
        <v>35</v>
      </c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 t="s">
        <v>1920</v>
      </c>
      <c r="AD801" s="22">
        <v>20170413</v>
      </c>
      <c r="AE801" s="22">
        <v>800</v>
      </c>
      <c r="AF801" s="22"/>
      <c r="AG801" s="22" t="str">
        <f>IFERROR(VLOOKUP(TblFeedFile[[#This Row],[Leave Type ]],LkupPayType[],2,FALSE),"TBD")</f>
        <v>Unpaid</v>
      </c>
      <c r="AH801" s="30" t="str">
        <f>IFERROR(VLOOKUP(TblFeedFile[[#This Row],[ Report Number ]],LkupPayrollCycle[],2,FALSE),"TBD")</f>
        <v>Bi-Weekly</v>
      </c>
      <c r="AI801" s="25"/>
      <c r="AJ801" s="25"/>
      <c r="AK801" s="26"/>
    </row>
    <row r="802" spans="1:37" x14ac:dyDescent="0.25">
      <c r="A802" s="21" t="s">
        <v>37</v>
      </c>
      <c r="B802" s="22">
        <v>314304</v>
      </c>
      <c r="C802" s="22">
        <v>29592454</v>
      </c>
      <c r="D802" s="23" t="s">
        <v>2705</v>
      </c>
      <c r="E802" s="22" t="s">
        <v>799</v>
      </c>
      <c r="F802" s="22" t="s">
        <v>2706</v>
      </c>
      <c r="G802" s="22">
        <v>20170413</v>
      </c>
      <c r="H802" s="22">
        <v>20170504</v>
      </c>
      <c r="I802" s="22" t="s">
        <v>36</v>
      </c>
      <c r="J802" s="22"/>
      <c r="K802" s="22"/>
      <c r="L802" s="22" t="s">
        <v>34</v>
      </c>
      <c r="M802" s="22" t="s">
        <v>34</v>
      </c>
      <c r="N802" s="22" t="s">
        <v>35</v>
      </c>
      <c r="O802" s="22" t="s">
        <v>35</v>
      </c>
      <c r="P802" s="22" t="s">
        <v>35</v>
      </c>
      <c r="Q802" s="22" t="s">
        <v>35</v>
      </c>
      <c r="R802" s="22" t="s">
        <v>35</v>
      </c>
      <c r="S802" s="22" t="s">
        <v>34</v>
      </c>
      <c r="T802" s="22"/>
      <c r="U802" s="22"/>
      <c r="V802" s="22"/>
      <c r="W802" s="22"/>
      <c r="X802" s="22"/>
      <c r="Y802" s="22"/>
      <c r="Z802" s="22"/>
      <c r="AA802" s="22"/>
      <c r="AB802" s="22"/>
      <c r="AC802" s="22" t="s">
        <v>1895</v>
      </c>
      <c r="AD802" s="22">
        <v>20170413</v>
      </c>
      <c r="AE802" s="22">
        <v>801</v>
      </c>
      <c r="AF802" s="22"/>
      <c r="AG802" s="22" t="str">
        <f>IFERROR(VLOOKUP(TblFeedFile[[#This Row],[Leave Type ]],LkupPayType[],2,FALSE),"TBD")</f>
        <v>Unpaid</v>
      </c>
      <c r="AH802" s="30" t="str">
        <f>IFERROR(VLOOKUP(TblFeedFile[[#This Row],[ Report Number ]],LkupPayrollCycle[],2,FALSE),"TBD")</f>
        <v>Bi-Weekly</v>
      </c>
      <c r="AI802" s="25"/>
      <c r="AJ802" s="25"/>
      <c r="AK802" s="26"/>
    </row>
    <row r="803" spans="1:37" x14ac:dyDescent="0.25">
      <c r="A803" s="21" t="s">
        <v>29</v>
      </c>
      <c r="B803" s="22">
        <v>314304</v>
      </c>
      <c r="C803" s="22">
        <v>29605411</v>
      </c>
      <c r="D803" s="23" t="s">
        <v>2707</v>
      </c>
      <c r="E803" s="22" t="s">
        <v>790</v>
      </c>
      <c r="F803" s="22" t="s">
        <v>2708</v>
      </c>
      <c r="G803" s="22">
        <v>20161213</v>
      </c>
      <c r="H803" s="22">
        <v>20170201</v>
      </c>
      <c r="I803" s="22" t="s">
        <v>36</v>
      </c>
      <c r="J803" s="22"/>
      <c r="K803" s="22"/>
      <c r="L803" s="22" t="s">
        <v>34</v>
      </c>
      <c r="M803" s="22" t="s">
        <v>34</v>
      </c>
      <c r="N803" s="22" t="s">
        <v>35</v>
      </c>
      <c r="O803" s="22" t="s">
        <v>35</v>
      </c>
      <c r="P803" s="22" t="s">
        <v>35</v>
      </c>
      <c r="Q803" s="22" t="s">
        <v>35</v>
      </c>
      <c r="R803" s="22" t="s">
        <v>35</v>
      </c>
      <c r="S803" s="22" t="s">
        <v>34</v>
      </c>
      <c r="T803" s="22">
        <v>20170202</v>
      </c>
      <c r="U803" s="22"/>
      <c r="V803" s="22"/>
      <c r="W803" s="22"/>
      <c r="X803" s="22"/>
      <c r="Y803" s="22"/>
      <c r="Z803" s="22"/>
      <c r="AA803" s="22"/>
      <c r="AB803" s="22"/>
      <c r="AC803" s="22" t="s">
        <v>2013</v>
      </c>
      <c r="AD803" s="22">
        <v>20170413</v>
      </c>
      <c r="AE803" s="22">
        <v>802</v>
      </c>
      <c r="AF803" s="22"/>
      <c r="AG803" s="22" t="str">
        <f>IFERROR(VLOOKUP(TblFeedFile[[#This Row],[Leave Type ]],LkupPayType[],2,FALSE),"TBD")</f>
        <v>Unpaid</v>
      </c>
      <c r="AH803" s="30" t="str">
        <f>IFERROR(VLOOKUP(TblFeedFile[[#This Row],[ Report Number ]],LkupPayrollCycle[],2,FALSE),"TBD")</f>
        <v>Bi-Weekly</v>
      </c>
      <c r="AI803" s="25"/>
      <c r="AJ803" s="25"/>
      <c r="AK803" s="26"/>
    </row>
    <row r="804" spans="1:37" x14ac:dyDescent="0.25">
      <c r="A804" s="21" t="s">
        <v>37</v>
      </c>
      <c r="B804" s="22">
        <v>314304</v>
      </c>
      <c r="C804" s="22">
        <v>29605411</v>
      </c>
      <c r="D804" s="23" t="s">
        <v>2707</v>
      </c>
      <c r="E804" s="22" t="s">
        <v>790</v>
      </c>
      <c r="F804" s="22" t="s">
        <v>2708</v>
      </c>
      <c r="G804" s="22">
        <v>20161213</v>
      </c>
      <c r="H804" s="22">
        <v>20170329</v>
      </c>
      <c r="I804" s="22" t="s">
        <v>36</v>
      </c>
      <c r="J804" s="22"/>
      <c r="K804" s="22"/>
      <c r="L804" s="22" t="s">
        <v>34</v>
      </c>
      <c r="M804" s="22" t="s">
        <v>34</v>
      </c>
      <c r="N804" s="22" t="s">
        <v>35</v>
      </c>
      <c r="O804" s="22" t="s">
        <v>35</v>
      </c>
      <c r="P804" s="22" t="s">
        <v>35</v>
      </c>
      <c r="Q804" s="22" t="s">
        <v>35</v>
      </c>
      <c r="R804" s="22" t="s">
        <v>35</v>
      </c>
      <c r="S804" s="22" t="s">
        <v>34</v>
      </c>
      <c r="T804" s="22"/>
      <c r="U804" s="22"/>
      <c r="V804" s="22"/>
      <c r="W804" s="22"/>
      <c r="X804" s="22"/>
      <c r="Y804" s="22"/>
      <c r="Z804" s="22"/>
      <c r="AA804" s="22"/>
      <c r="AB804" s="22"/>
      <c r="AC804" s="22" t="s">
        <v>1964</v>
      </c>
      <c r="AD804" s="22">
        <v>20170413</v>
      </c>
      <c r="AE804" s="22">
        <v>803</v>
      </c>
      <c r="AF804" s="22"/>
      <c r="AG804" s="22" t="str">
        <f>IFERROR(VLOOKUP(TblFeedFile[[#This Row],[Leave Type ]],LkupPayType[],2,FALSE),"TBD")</f>
        <v>Unpaid</v>
      </c>
      <c r="AH804" s="30" t="str">
        <f>IFERROR(VLOOKUP(TblFeedFile[[#This Row],[ Report Number ]],LkupPayrollCycle[],2,FALSE),"TBD")</f>
        <v>Bi-Weekly</v>
      </c>
      <c r="AI804" s="25"/>
      <c r="AJ804" s="25"/>
      <c r="AK804" s="26"/>
    </row>
    <row r="805" spans="1:37" x14ac:dyDescent="0.25">
      <c r="A805" s="21" t="s">
        <v>37</v>
      </c>
      <c r="B805" s="22">
        <v>314304</v>
      </c>
      <c r="C805" s="22">
        <v>29629582</v>
      </c>
      <c r="D805" s="23">
        <v>561701058236</v>
      </c>
      <c r="E805" s="22" t="s">
        <v>351</v>
      </c>
      <c r="F805" s="22" t="s">
        <v>2070</v>
      </c>
      <c r="G805" s="22">
        <v>20170413</v>
      </c>
      <c r="H805" s="22">
        <v>20171102</v>
      </c>
      <c r="I805" s="22" t="s">
        <v>40</v>
      </c>
      <c r="J805" s="22"/>
      <c r="K805" s="22"/>
      <c r="L805" s="22" t="s">
        <v>34</v>
      </c>
      <c r="M805" s="22" t="s">
        <v>34</v>
      </c>
      <c r="N805" s="22" t="s">
        <v>35</v>
      </c>
      <c r="O805" s="22" t="s">
        <v>35</v>
      </c>
      <c r="P805" s="22" t="s">
        <v>35</v>
      </c>
      <c r="Q805" s="22" t="s">
        <v>35</v>
      </c>
      <c r="R805" s="22" t="s">
        <v>35</v>
      </c>
      <c r="S805" s="22" t="s">
        <v>34</v>
      </c>
      <c r="T805" s="22"/>
      <c r="U805" s="22"/>
      <c r="V805" s="22"/>
      <c r="W805" s="22"/>
      <c r="X805" s="22"/>
      <c r="Y805" s="22"/>
      <c r="Z805" s="22"/>
      <c r="AA805" s="22"/>
      <c r="AB805" s="22"/>
      <c r="AC805" s="22" t="s">
        <v>1896</v>
      </c>
      <c r="AD805" s="22">
        <v>20170413</v>
      </c>
      <c r="AE805" s="22">
        <v>804</v>
      </c>
      <c r="AF805" s="22"/>
      <c r="AG805" s="22" t="str">
        <f>IFERROR(VLOOKUP(TblFeedFile[[#This Row],[Leave Type ]],LkupPayType[],2,FALSE),"TBD")</f>
        <v>Paid</v>
      </c>
      <c r="AH805" s="30" t="str">
        <f>IFERROR(VLOOKUP(TblFeedFile[[#This Row],[ Report Number ]],LkupPayrollCycle[],2,FALSE),"TBD")</f>
        <v>Bi-Weekly</v>
      </c>
      <c r="AI805" s="25"/>
      <c r="AJ805" s="25"/>
      <c r="AK805" s="26"/>
    </row>
    <row r="806" spans="1:37" x14ac:dyDescent="0.25">
      <c r="A806" s="21" t="s">
        <v>37</v>
      </c>
      <c r="B806" s="22">
        <v>314304</v>
      </c>
      <c r="C806" s="22">
        <v>29654278</v>
      </c>
      <c r="D806" s="23">
        <v>521704138842</v>
      </c>
      <c r="E806" s="22" t="s">
        <v>2709</v>
      </c>
      <c r="F806" s="22" t="s">
        <v>2710</v>
      </c>
      <c r="G806" s="22">
        <v>20170407</v>
      </c>
      <c r="H806" s="22">
        <v>20170511</v>
      </c>
      <c r="I806" s="22" t="s">
        <v>53</v>
      </c>
      <c r="J806" s="22"/>
      <c r="K806" s="22"/>
      <c r="L806" s="22" t="s">
        <v>34</v>
      </c>
      <c r="M806" s="22" t="s">
        <v>34</v>
      </c>
      <c r="N806" s="22" t="s">
        <v>35</v>
      </c>
      <c r="O806" s="22" t="s">
        <v>35</v>
      </c>
      <c r="P806" s="22" t="s">
        <v>35</v>
      </c>
      <c r="Q806" s="22" t="s">
        <v>35</v>
      </c>
      <c r="R806" s="22" t="s">
        <v>35</v>
      </c>
      <c r="S806" s="22" t="s">
        <v>34</v>
      </c>
      <c r="T806" s="22"/>
      <c r="U806" s="22"/>
      <c r="V806" s="22"/>
      <c r="W806" s="22"/>
      <c r="X806" s="22"/>
      <c r="Y806" s="22"/>
      <c r="Z806" s="22"/>
      <c r="AA806" s="22"/>
      <c r="AB806" s="22"/>
      <c r="AC806" s="22" t="s">
        <v>1912</v>
      </c>
      <c r="AD806" s="22">
        <v>20170413</v>
      </c>
      <c r="AE806" s="22">
        <v>805</v>
      </c>
      <c r="AF806" s="22"/>
      <c r="AG806" s="22" t="str">
        <f>IFERROR(VLOOKUP(TblFeedFile[[#This Row],[Leave Type ]],LkupPayType[],2,FALSE),"TBD")</f>
        <v>Paid</v>
      </c>
      <c r="AH806" s="30" t="str">
        <f>IFERROR(VLOOKUP(TblFeedFile[[#This Row],[ Report Number ]],LkupPayrollCycle[],2,FALSE),"TBD")</f>
        <v>Bi-Weekly</v>
      </c>
      <c r="AI806" s="25"/>
      <c r="AJ806" s="25"/>
      <c r="AK806" s="26"/>
    </row>
    <row r="807" spans="1:37" x14ac:dyDescent="0.25">
      <c r="A807" s="21" t="s">
        <v>29</v>
      </c>
      <c r="B807" s="22">
        <v>314304</v>
      </c>
      <c r="C807" s="22">
        <v>29669564</v>
      </c>
      <c r="D807" s="23" t="s">
        <v>2711</v>
      </c>
      <c r="E807" s="22" t="s">
        <v>147</v>
      </c>
      <c r="F807" s="22" t="s">
        <v>2712</v>
      </c>
      <c r="G807" s="22">
        <v>20170324</v>
      </c>
      <c r="H807" s="22">
        <v>20170421</v>
      </c>
      <c r="I807" s="22" t="s">
        <v>36</v>
      </c>
      <c r="J807" s="22"/>
      <c r="K807" s="22"/>
      <c r="L807" s="22" t="s">
        <v>34</v>
      </c>
      <c r="M807" s="22" t="s">
        <v>34</v>
      </c>
      <c r="N807" s="22" t="s">
        <v>35</v>
      </c>
      <c r="O807" s="22" t="s">
        <v>35</v>
      </c>
      <c r="P807" s="22" t="s">
        <v>35</v>
      </c>
      <c r="Q807" s="22" t="s">
        <v>35</v>
      </c>
      <c r="R807" s="22" t="s">
        <v>35</v>
      </c>
      <c r="S807" s="22" t="s">
        <v>34</v>
      </c>
      <c r="T807" s="22"/>
      <c r="U807" s="22"/>
      <c r="V807" s="22"/>
      <c r="W807" s="22"/>
      <c r="X807" s="22"/>
      <c r="Y807" s="22"/>
      <c r="Z807" s="22"/>
      <c r="AA807" s="22"/>
      <c r="AB807" s="22"/>
      <c r="AC807" s="22" t="s">
        <v>1924</v>
      </c>
      <c r="AD807" s="22">
        <v>20170413</v>
      </c>
      <c r="AE807" s="22">
        <v>806</v>
      </c>
      <c r="AF807" s="22"/>
      <c r="AG807" s="22" t="str">
        <f>IFERROR(VLOOKUP(TblFeedFile[[#This Row],[Leave Type ]],LkupPayType[],2,FALSE),"TBD")</f>
        <v>Unpaid</v>
      </c>
      <c r="AH807" s="30" t="str">
        <f>IFERROR(VLOOKUP(TblFeedFile[[#This Row],[ Report Number ]],LkupPayrollCycle[],2,FALSE),"TBD")</f>
        <v>Bi-Weekly</v>
      </c>
      <c r="AI807" s="25"/>
      <c r="AJ807" s="25"/>
      <c r="AK807" s="26"/>
    </row>
    <row r="808" spans="1:37" x14ac:dyDescent="0.25">
      <c r="A808" s="21" t="s">
        <v>37</v>
      </c>
      <c r="B808" s="22">
        <v>314304</v>
      </c>
      <c r="C808" s="22">
        <v>29669564</v>
      </c>
      <c r="D808" s="23" t="s">
        <v>2711</v>
      </c>
      <c r="E808" s="22" t="s">
        <v>147</v>
      </c>
      <c r="F808" s="22" t="s">
        <v>2712</v>
      </c>
      <c r="G808" s="22">
        <v>20170324</v>
      </c>
      <c r="H808" s="22">
        <v>20170515</v>
      </c>
      <c r="I808" s="22" t="s">
        <v>78</v>
      </c>
      <c r="J808" s="22"/>
      <c r="K808" s="22" t="s">
        <v>79</v>
      </c>
      <c r="L808" s="22" t="s">
        <v>34</v>
      </c>
      <c r="M808" s="22" t="s">
        <v>34</v>
      </c>
      <c r="N808" s="22" t="s">
        <v>35</v>
      </c>
      <c r="O808" s="22" t="s">
        <v>35</v>
      </c>
      <c r="P808" s="22" t="s">
        <v>35</v>
      </c>
      <c r="Q808" s="22" t="s">
        <v>35</v>
      </c>
      <c r="R808" s="22" t="s">
        <v>35</v>
      </c>
      <c r="S808" s="22" t="s">
        <v>34</v>
      </c>
      <c r="T808" s="22"/>
      <c r="U808" s="22"/>
      <c r="V808" s="22"/>
      <c r="W808" s="22"/>
      <c r="X808" s="22"/>
      <c r="Y808" s="22"/>
      <c r="Z808" s="22"/>
      <c r="AA808" s="22"/>
      <c r="AB808" s="22"/>
      <c r="AC808" s="22" t="s">
        <v>1945</v>
      </c>
      <c r="AD808" s="22">
        <v>20170413</v>
      </c>
      <c r="AE808" s="22">
        <v>807</v>
      </c>
      <c r="AF808" s="22"/>
      <c r="AG808" s="22" t="str">
        <f>IFERROR(VLOOKUP(TblFeedFile[[#This Row],[Leave Type ]],LkupPayType[],2,FALSE),"TBD")</f>
        <v>Unpaid</v>
      </c>
      <c r="AH808" s="30" t="str">
        <f>IFERROR(VLOOKUP(TblFeedFile[[#This Row],[ Report Number ]],LkupPayrollCycle[],2,FALSE),"TBD")</f>
        <v>Bi-Weekly</v>
      </c>
      <c r="AI808" s="25"/>
      <c r="AJ808" s="25"/>
      <c r="AK808" s="26"/>
    </row>
    <row r="809" spans="1:37" x14ac:dyDescent="0.25">
      <c r="A809" s="21" t="s">
        <v>37</v>
      </c>
      <c r="B809" s="22">
        <v>314304</v>
      </c>
      <c r="C809" s="22">
        <v>29669564</v>
      </c>
      <c r="D809" s="23">
        <v>521703088322</v>
      </c>
      <c r="E809" s="22" t="s">
        <v>147</v>
      </c>
      <c r="F809" s="22" t="s">
        <v>2712</v>
      </c>
      <c r="G809" s="22">
        <v>20170327</v>
      </c>
      <c r="H809" s="22">
        <v>20170515</v>
      </c>
      <c r="I809" s="22" t="s">
        <v>53</v>
      </c>
      <c r="J809" s="22"/>
      <c r="K809" s="22"/>
      <c r="L809" s="22" t="s">
        <v>34</v>
      </c>
      <c r="M809" s="22" t="s">
        <v>34</v>
      </c>
      <c r="N809" s="22" t="s">
        <v>35</v>
      </c>
      <c r="O809" s="22" t="s">
        <v>35</v>
      </c>
      <c r="P809" s="22" t="s">
        <v>35</v>
      </c>
      <c r="Q809" s="22" t="s">
        <v>35</v>
      </c>
      <c r="R809" s="22" t="s">
        <v>35</v>
      </c>
      <c r="S809" s="22" t="s">
        <v>34</v>
      </c>
      <c r="T809" s="22"/>
      <c r="U809" s="22"/>
      <c r="V809" s="22"/>
      <c r="W809" s="22"/>
      <c r="X809" s="22"/>
      <c r="Y809" s="22"/>
      <c r="Z809" s="22"/>
      <c r="AA809" s="22"/>
      <c r="AB809" s="22"/>
      <c r="AC809" s="22" t="s">
        <v>1908</v>
      </c>
      <c r="AD809" s="22">
        <v>20170413</v>
      </c>
      <c r="AE809" s="22">
        <v>808</v>
      </c>
      <c r="AF809" s="22"/>
      <c r="AG809" s="22" t="str">
        <f>IFERROR(VLOOKUP(TblFeedFile[[#This Row],[Leave Type ]],LkupPayType[],2,FALSE),"TBD")</f>
        <v>Paid</v>
      </c>
      <c r="AH809" s="30" t="str">
        <f>IFERROR(VLOOKUP(TblFeedFile[[#This Row],[ Report Number ]],LkupPayrollCycle[],2,FALSE),"TBD")</f>
        <v>Bi-Weekly</v>
      </c>
      <c r="AI809" s="25"/>
      <c r="AJ809" s="25"/>
      <c r="AK809" s="26"/>
    </row>
    <row r="810" spans="1:37" x14ac:dyDescent="0.25">
      <c r="A810" s="21" t="s">
        <v>37</v>
      </c>
      <c r="B810" s="22">
        <v>314304</v>
      </c>
      <c r="C810" s="22">
        <v>29669564</v>
      </c>
      <c r="D810" s="23">
        <v>521703088322</v>
      </c>
      <c r="E810" s="22" t="s">
        <v>147</v>
      </c>
      <c r="F810" s="22" t="s">
        <v>2712</v>
      </c>
      <c r="G810" s="22">
        <v>20170403</v>
      </c>
      <c r="H810" s="22">
        <v>20170515</v>
      </c>
      <c r="I810" s="22" t="s">
        <v>40</v>
      </c>
      <c r="J810" s="22"/>
      <c r="K810" s="22"/>
      <c r="L810" s="22" t="s">
        <v>34</v>
      </c>
      <c r="M810" s="22" t="s">
        <v>34</v>
      </c>
      <c r="N810" s="22" t="s">
        <v>35</v>
      </c>
      <c r="O810" s="22" t="s">
        <v>35</v>
      </c>
      <c r="P810" s="22" t="s">
        <v>35</v>
      </c>
      <c r="Q810" s="22" t="s">
        <v>35</v>
      </c>
      <c r="R810" s="22" t="s">
        <v>35</v>
      </c>
      <c r="S810" s="22" t="s">
        <v>34</v>
      </c>
      <c r="T810" s="22"/>
      <c r="U810" s="22"/>
      <c r="V810" s="22"/>
      <c r="W810" s="22"/>
      <c r="X810" s="22"/>
      <c r="Y810" s="22"/>
      <c r="Z810" s="22"/>
      <c r="AA810" s="22"/>
      <c r="AB810" s="22"/>
      <c r="AC810" s="22" t="s">
        <v>1951</v>
      </c>
      <c r="AD810" s="22">
        <v>20170413</v>
      </c>
      <c r="AE810" s="22">
        <v>809</v>
      </c>
      <c r="AF810" s="22"/>
      <c r="AG810" s="22" t="str">
        <f>IFERROR(VLOOKUP(TblFeedFile[[#This Row],[Leave Type ]],LkupPayType[],2,FALSE),"TBD")</f>
        <v>Paid</v>
      </c>
      <c r="AH810" s="30" t="str">
        <f>IFERROR(VLOOKUP(TblFeedFile[[#This Row],[ Report Number ]],LkupPayrollCycle[],2,FALSE),"TBD")</f>
        <v>Bi-Weekly</v>
      </c>
      <c r="AI810" s="25"/>
      <c r="AJ810" s="25"/>
      <c r="AK810" s="26"/>
    </row>
    <row r="811" spans="1:37" x14ac:dyDescent="0.25">
      <c r="A811" s="21" t="s">
        <v>37</v>
      </c>
      <c r="B811" s="22">
        <v>314304</v>
      </c>
      <c r="C811" s="22">
        <v>29708255</v>
      </c>
      <c r="D811" s="23" t="s">
        <v>2713</v>
      </c>
      <c r="E811" s="22" t="s">
        <v>2714</v>
      </c>
      <c r="F811" s="22" t="s">
        <v>2715</v>
      </c>
      <c r="G811" s="22">
        <v>20170413</v>
      </c>
      <c r="H811" s="22">
        <v>20170413</v>
      </c>
      <c r="I811" s="22" t="s">
        <v>33</v>
      </c>
      <c r="J811" s="22"/>
      <c r="K811" s="22"/>
      <c r="L811" s="22" t="s">
        <v>34</v>
      </c>
      <c r="M811" s="22" t="s">
        <v>34</v>
      </c>
      <c r="N811" s="22" t="s">
        <v>35</v>
      </c>
      <c r="O811" s="22" t="s">
        <v>35</v>
      </c>
      <c r="P811" s="22" t="s">
        <v>35</v>
      </c>
      <c r="Q811" s="22" t="s">
        <v>35</v>
      </c>
      <c r="R811" s="22" t="s">
        <v>35</v>
      </c>
      <c r="S811" s="22" t="s">
        <v>34</v>
      </c>
      <c r="T811" s="22"/>
      <c r="U811" s="22"/>
      <c r="V811" s="22"/>
      <c r="W811" s="22"/>
      <c r="X811" s="22"/>
      <c r="Y811" s="22"/>
      <c r="Z811" s="22"/>
      <c r="AA811" s="22"/>
      <c r="AB811" s="22"/>
      <c r="AC811" s="22" t="s">
        <v>1907</v>
      </c>
      <c r="AD811" s="22">
        <v>20170413</v>
      </c>
      <c r="AE811" s="22">
        <v>810</v>
      </c>
      <c r="AF811" s="22"/>
      <c r="AG811" s="22" t="str">
        <f>IFERROR(VLOOKUP(TblFeedFile[[#This Row],[Leave Type ]],LkupPayType[],2,FALSE),"TBD")</f>
        <v>Closed</v>
      </c>
      <c r="AH811" s="30" t="str">
        <f>IFERROR(VLOOKUP(TblFeedFile[[#This Row],[ Report Number ]],LkupPayrollCycle[],2,FALSE),"TBD")</f>
        <v>Bi-Weekly</v>
      </c>
      <c r="AI811" s="25"/>
      <c r="AJ811" s="25"/>
      <c r="AK811" s="26"/>
    </row>
    <row r="812" spans="1:37" x14ac:dyDescent="0.25">
      <c r="A812" s="21" t="s">
        <v>37</v>
      </c>
      <c r="B812" s="22">
        <v>314305</v>
      </c>
      <c r="C812" s="22">
        <v>29747750</v>
      </c>
      <c r="D812" s="23" t="s">
        <v>2716</v>
      </c>
      <c r="E812" s="22" t="s">
        <v>641</v>
      </c>
      <c r="F812" s="22" t="s">
        <v>637</v>
      </c>
      <c r="G812" s="22">
        <v>20170409</v>
      </c>
      <c r="H812" s="22">
        <v>20170409</v>
      </c>
      <c r="I812" s="22" t="s">
        <v>36</v>
      </c>
      <c r="J812" s="22"/>
      <c r="K812" s="22"/>
      <c r="L812" s="22" t="s">
        <v>35</v>
      </c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 t="s">
        <v>1917</v>
      </c>
      <c r="AD812" s="22">
        <v>20170413</v>
      </c>
      <c r="AE812" s="22">
        <v>811</v>
      </c>
      <c r="AF812" s="22"/>
      <c r="AG812" s="22" t="str">
        <f>IFERROR(VLOOKUP(TblFeedFile[[#This Row],[Leave Type ]],LkupPayType[],2,FALSE),"TBD")</f>
        <v>Unpaid</v>
      </c>
      <c r="AH812" s="30" t="str">
        <f>IFERROR(VLOOKUP(TblFeedFile[[#This Row],[ Report Number ]],LkupPayrollCycle[],2,FALSE),"TBD")</f>
        <v>Bi-Weekly</v>
      </c>
      <c r="AI812" s="25"/>
      <c r="AJ812" s="25"/>
      <c r="AK812" s="26"/>
    </row>
    <row r="813" spans="1:37" x14ac:dyDescent="0.25">
      <c r="A813" s="21" t="s">
        <v>37</v>
      </c>
      <c r="B813" s="22">
        <v>314304</v>
      </c>
      <c r="C813" s="22">
        <v>29767150</v>
      </c>
      <c r="D813" s="23">
        <v>501704138700</v>
      </c>
      <c r="E813" s="22" t="s">
        <v>1219</v>
      </c>
      <c r="F813" s="22" t="s">
        <v>2717</v>
      </c>
      <c r="G813" s="22">
        <v>20170411</v>
      </c>
      <c r="H813" s="22">
        <v>20170511</v>
      </c>
      <c r="I813" s="22" t="s">
        <v>53</v>
      </c>
      <c r="J813" s="22"/>
      <c r="K813" s="22"/>
      <c r="L813" s="22" t="s">
        <v>34</v>
      </c>
      <c r="M813" s="22" t="s">
        <v>34</v>
      </c>
      <c r="N813" s="22" t="s">
        <v>35</v>
      </c>
      <c r="O813" s="22" t="s">
        <v>35</v>
      </c>
      <c r="P813" s="22" t="s">
        <v>35</v>
      </c>
      <c r="Q813" s="22" t="s">
        <v>35</v>
      </c>
      <c r="R813" s="22" t="s">
        <v>35</v>
      </c>
      <c r="S813" s="22" t="s">
        <v>34</v>
      </c>
      <c r="T813" s="22"/>
      <c r="U813" s="22"/>
      <c r="V813" s="22"/>
      <c r="W813" s="22"/>
      <c r="X813" s="22"/>
      <c r="Y813" s="22"/>
      <c r="Z813" s="22"/>
      <c r="AA813" s="22"/>
      <c r="AB813" s="22"/>
      <c r="AC813" s="22" t="s">
        <v>1921</v>
      </c>
      <c r="AD813" s="22">
        <v>20170413</v>
      </c>
      <c r="AE813" s="22">
        <v>812</v>
      </c>
      <c r="AF813" s="22"/>
      <c r="AG813" s="22" t="str">
        <f>IFERROR(VLOOKUP(TblFeedFile[[#This Row],[Leave Type ]],LkupPayType[],2,FALSE),"TBD")</f>
        <v>Paid</v>
      </c>
      <c r="AH813" s="30" t="str">
        <f>IFERROR(VLOOKUP(TblFeedFile[[#This Row],[ Report Number ]],LkupPayrollCycle[],2,FALSE),"TBD")</f>
        <v>Bi-Weekly</v>
      </c>
      <c r="AI813" s="25"/>
      <c r="AJ813" s="25"/>
      <c r="AK813" s="26"/>
    </row>
    <row r="814" spans="1:37" x14ac:dyDescent="0.25">
      <c r="A814" s="21" t="s">
        <v>29</v>
      </c>
      <c r="B814" s="22">
        <v>314304</v>
      </c>
      <c r="C814" s="22">
        <v>29803352</v>
      </c>
      <c r="D814" s="23" t="s">
        <v>1815</v>
      </c>
      <c r="E814" s="22" t="s">
        <v>1112</v>
      </c>
      <c r="F814" s="22" t="s">
        <v>1816</v>
      </c>
      <c r="G814" s="22">
        <v>20170113</v>
      </c>
      <c r="H814" s="22">
        <v>20170327</v>
      </c>
      <c r="I814" s="22" t="s">
        <v>36</v>
      </c>
      <c r="J814" s="22"/>
      <c r="K814" s="22"/>
      <c r="L814" s="22" t="s">
        <v>34</v>
      </c>
      <c r="M814" s="22" t="s">
        <v>34</v>
      </c>
      <c r="N814" s="22" t="s">
        <v>35</v>
      </c>
      <c r="O814" s="22" t="s">
        <v>35</v>
      </c>
      <c r="P814" s="22" t="s">
        <v>35</v>
      </c>
      <c r="Q814" s="22" t="s">
        <v>35</v>
      </c>
      <c r="R814" s="22" t="s">
        <v>35</v>
      </c>
      <c r="S814" s="22" t="s">
        <v>34</v>
      </c>
      <c r="T814" s="22">
        <v>20170328</v>
      </c>
      <c r="U814" s="22"/>
      <c r="V814" s="22"/>
      <c r="W814" s="22"/>
      <c r="X814" s="22"/>
      <c r="Y814" s="22"/>
      <c r="Z814" s="22"/>
      <c r="AA814" s="22"/>
      <c r="AB814" s="22"/>
      <c r="AC814" s="22" t="s">
        <v>1897</v>
      </c>
      <c r="AD814" s="22">
        <v>20170413</v>
      </c>
      <c r="AE814" s="22">
        <v>813</v>
      </c>
      <c r="AF814" s="22"/>
      <c r="AG814" s="22" t="str">
        <f>IFERROR(VLOOKUP(TblFeedFile[[#This Row],[Leave Type ]],LkupPayType[],2,FALSE),"TBD")</f>
        <v>Unpaid</v>
      </c>
      <c r="AH814" s="30" t="str">
        <f>IFERROR(VLOOKUP(TblFeedFile[[#This Row],[ Report Number ]],LkupPayrollCycle[],2,FALSE),"TBD")</f>
        <v>Bi-Weekly</v>
      </c>
      <c r="AI814" s="25"/>
      <c r="AJ814" s="25"/>
      <c r="AK814" s="26"/>
    </row>
    <row r="815" spans="1:37" x14ac:dyDescent="0.25">
      <c r="A815" s="21" t="s">
        <v>37</v>
      </c>
      <c r="B815" s="22">
        <v>314304</v>
      </c>
      <c r="C815" s="22">
        <v>29803352</v>
      </c>
      <c r="D815" s="23" t="s">
        <v>1815</v>
      </c>
      <c r="E815" s="22" t="s">
        <v>1112</v>
      </c>
      <c r="F815" s="22" t="s">
        <v>1816</v>
      </c>
      <c r="G815" s="22">
        <v>20170328</v>
      </c>
      <c r="H815" s="22">
        <v>20170328</v>
      </c>
      <c r="I815" s="22" t="s">
        <v>33</v>
      </c>
      <c r="J815" s="22"/>
      <c r="K815" s="22"/>
      <c r="L815" s="22" t="s">
        <v>34</v>
      </c>
      <c r="M815" s="22" t="s">
        <v>34</v>
      </c>
      <c r="N815" s="22" t="s">
        <v>35</v>
      </c>
      <c r="O815" s="22" t="s">
        <v>35</v>
      </c>
      <c r="P815" s="22" t="s">
        <v>35</v>
      </c>
      <c r="Q815" s="22" t="s">
        <v>35</v>
      </c>
      <c r="R815" s="22" t="s">
        <v>35</v>
      </c>
      <c r="S815" s="22" t="s">
        <v>34</v>
      </c>
      <c r="T815" s="22"/>
      <c r="U815" s="22"/>
      <c r="V815" s="22"/>
      <c r="W815" s="22"/>
      <c r="X815" s="22"/>
      <c r="Y815" s="22"/>
      <c r="Z815" s="22"/>
      <c r="AA815" s="22"/>
      <c r="AB815" s="22"/>
      <c r="AC815" s="22" t="s">
        <v>1929</v>
      </c>
      <c r="AD815" s="22">
        <v>20170413</v>
      </c>
      <c r="AE815" s="22">
        <v>814</v>
      </c>
      <c r="AF815" s="22"/>
      <c r="AG815" s="22" t="str">
        <f>IFERROR(VLOOKUP(TblFeedFile[[#This Row],[Leave Type ]],LkupPayType[],2,FALSE),"TBD")</f>
        <v>Closed</v>
      </c>
      <c r="AH815" s="30" t="str">
        <f>IFERROR(VLOOKUP(TblFeedFile[[#This Row],[ Report Number ]],LkupPayrollCycle[],2,FALSE),"TBD")</f>
        <v>Bi-Weekly</v>
      </c>
      <c r="AI815" s="25"/>
      <c r="AJ815" s="25"/>
      <c r="AK815" s="26"/>
    </row>
    <row r="816" spans="1:37" x14ac:dyDescent="0.25">
      <c r="A816" s="21" t="s">
        <v>37</v>
      </c>
      <c r="B816" s="22">
        <v>314304</v>
      </c>
      <c r="C816" s="22">
        <v>29804110</v>
      </c>
      <c r="D816" s="23">
        <v>541704138724</v>
      </c>
      <c r="E816" s="22" t="s">
        <v>208</v>
      </c>
      <c r="F816" s="22" t="s">
        <v>1630</v>
      </c>
      <c r="G816" s="22">
        <v>20170401</v>
      </c>
      <c r="H816" s="22">
        <v>20170501</v>
      </c>
      <c r="I816" s="22" t="s">
        <v>53</v>
      </c>
      <c r="J816" s="22"/>
      <c r="K816" s="22"/>
      <c r="L816" s="22" t="s">
        <v>34</v>
      </c>
      <c r="M816" s="22" t="s">
        <v>34</v>
      </c>
      <c r="N816" s="22" t="s">
        <v>35</v>
      </c>
      <c r="O816" s="22" t="s">
        <v>35</v>
      </c>
      <c r="P816" s="22" t="s">
        <v>35</v>
      </c>
      <c r="Q816" s="22" t="s">
        <v>35</v>
      </c>
      <c r="R816" s="22" t="s">
        <v>35</v>
      </c>
      <c r="S816" s="22" t="s">
        <v>34</v>
      </c>
      <c r="T816" s="22"/>
      <c r="U816" s="22"/>
      <c r="V816" s="22"/>
      <c r="W816" s="22"/>
      <c r="X816" s="22"/>
      <c r="Y816" s="22"/>
      <c r="Z816" s="22"/>
      <c r="AA816" s="22"/>
      <c r="AB816" s="22"/>
      <c r="AC816" s="22" t="s">
        <v>1921</v>
      </c>
      <c r="AD816" s="22">
        <v>20170413</v>
      </c>
      <c r="AE816" s="22">
        <v>815</v>
      </c>
      <c r="AF816" s="22"/>
      <c r="AG816" s="22" t="str">
        <f>IFERROR(VLOOKUP(TblFeedFile[[#This Row],[Leave Type ]],LkupPayType[],2,FALSE),"TBD")</f>
        <v>Paid</v>
      </c>
      <c r="AH816" s="30" t="str">
        <f>IFERROR(VLOOKUP(TblFeedFile[[#This Row],[ Report Number ]],LkupPayrollCycle[],2,FALSE),"TBD")</f>
        <v>Bi-Weekly</v>
      </c>
      <c r="AI816" s="25"/>
      <c r="AJ816" s="25"/>
      <c r="AK816" s="26"/>
    </row>
    <row r="817" spans="1:37" x14ac:dyDescent="0.25">
      <c r="A817" s="21" t="s">
        <v>37</v>
      </c>
      <c r="B817" s="22">
        <v>314304</v>
      </c>
      <c r="C817" s="22">
        <v>29804412</v>
      </c>
      <c r="D817" s="23">
        <v>521702088292</v>
      </c>
      <c r="E817" s="22" t="s">
        <v>2003</v>
      </c>
      <c r="F817" s="22" t="s">
        <v>2718</v>
      </c>
      <c r="G817" s="22">
        <v>20170413</v>
      </c>
      <c r="H817" s="22">
        <v>20170613</v>
      </c>
      <c r="I817" s="22" t="s">
        <v>1893</v>
      </c>
      <c r="J817" s="22"/>
      <c r="K817" s="22"/>
      <c r="L817" s="22" t="s">
        <v>34</v>
      </c>
      <c r="M817" s="22" t="s">
        <v>34</v>
      </c>
      <c r="N817" s="22" t="s">
        <v>35</v>
      </c>
      <c r="O817" s="22" t="s">
        <v>35</v>
      </c>
      <c r="P817" s="22" t="s">
        <v>35</v>
      </c>
      <c r="Q817" s="22" t="s">
        <v>35</v>
      </c>
      <c r="R817" s="22" t="s">
        <v>35</v>
      </c>
      <c r="S817" s="22" t="s">
        <v>34</v>
      </c>
      <c r="T817" s="22"/>
      <c r="U817" s="22"/>
      <c r="V817" s="22"/>
      <c r="W817" s="22"/>
      <c r="X817" s="22"/>
      <c r="Y817" s="22"/>
      <c r="Z817" s="22"/>
      <c r="AA817" s="22"/>
      <c r="AB817" s="22"/>
      <c r="AC817" s="22" t="s">
        <v>1921</v>
      </c>
      <c r="AD817" s="22">
        <v>20170413</v>
      </c>
      <c r="AE817" s="22">
        <v>816</v>
      </c>
      <c r="AF817" s="22"/>
      <c r="AG817" s="22" t="str">
        <f>IFERROR(VLOOKUP(TblFeedFile[[#This Row],[Leave Type ]],LkupPayType[],2,FALSE),"TBD")</f>
        <v>Paid</v>
      </c>
      <c r="AH817" s="30" t="str">
        <f>IFERROR(VLOOKUP(TblFeedFile[[#This Row],[ Report Number ]],LkupPayrollCycle[],2,FALSE),"TBD")</f>
        <v>Bi-Weekly</v>
      </c>
      <c r="AI817" s="25"/>
      <c r="AJ817" s="25"/>
      <c r="AK817" s="26"/>
    </row>
    <row r="818" spans="1:37" x14ac:dyDescent="0.25">
      <c r="A818" s="21" t="s">
        <v>37</v>
      </c>
      <c r="B818" s="22">
        <v>314304</v>
      </c>
      <c r="C818" s="22">
        <v>29807571</v>
      </c>
      <c r="D818" s="23">
        <v>541704048984</v>
      </c>
      <c r="E818" s="22" t="s">
        <v>246</v>
      </c>
      <c r="F818" s="22" t="s">
        <v>2719</v>
      </c>
      <c r="G818" s="22">
        <v>20170328</v>
      </c>
      <c r="H818" s="22">
        <v>20170427</v>
      </c>
      <c r="I818" s="22" t="s">
        <v>53</v>
      </c>
      <c r="J818" s="22"/>
      <c r="K818" s="22"/>
      <c r="L818" s="22" t="s">
        <v>34</v>
      </c>
      <c r="M818" s="22" t="s">
        <v>34</v>
      </c>
      <c r="N818" s="22" t="s">
        <v>35</v>
      </c>
      <c r="O818" s="22" t="s">
        <v>35</v>
      </c>
      <c r="P818" s="22" t="s">
        <v>35</v>
      </c>
      <c r="Q818" s="22" t="s">
        <v>35</v>
      </c>
      <c r="R818" s="22" t="s">
        <v>35</v>
      </c>
      <c r="S818" s="22" t="s">
        <v>34</v>
      </c>
      <c r="T818" s="22">
        <v>20170417</v>
      </c>
      <c r="U818" s="22"/>
      <c r="V818" s="22"/>
      <c r="W818" s="22"/>
      <c r="X818" s="22"/>
      <c r="Y818" s="22"/>
      <c r="Z818" s="22"/>
      <c r="AA818" s="22"/>
      <c r="AB818" s="22"/>
      <c r="AC818" s="22" t="s">
        <v>1908</v>
      </c>
      <c r="AD818" s="22">
        <v>20170413</v>
      </c>
      <c r="AE818" s="22">
        <v>817</v>
      </c>
      <c r="AF818" s="22"/>
      <c r="AG818" s="22" t="str">
        <f>IFERROR(VLOOKUP(TblFeedFile[[#This Row],[Leave Type ]],LkupPayType[],2,FALSE),"TBD")</f>
        <v>Paid</v>
      </c>
      <c r="AH818" s="30" t="str">
        <f>IFERROR(VLOOKUP(TblFeedFile[[#This Row],[ Report Number ]],LkupPayrollCycle[],2,FALSE),"TBD")</f>
        <v>Bi-Weekly</v>
      </c>
      <c r="AI818" s="25"/>
      <c r="AJ818" s="25"/>
      <c r="AK818" s="26" t="s">
        <v>35</v>
      </c>
    </row>
    <row r="819" spans="1:37" x14ac:dyDescent="0.25">
      <c r="A819" s="21" t="s">
        <v>29</v>
      </c>
      <c r="B819" s="22">
        <v>314304</v>
      </c>
      <c r="C819" s="22">
        <v>29818776</v>
      </c>
      <c r="D819" s="23">
        <v>511703018061</v>
      </c>
      <c r="E819" s="22" t="s">
        <v>2720</v>
      </c>
      <c r="F819" s="22" t="s">
        <v>2721</v>
      </c>
      <c r="G819" s="22">
        <v>20170225</v>
      </c>
      <c r="H819" s="22">
        <v>20170225</v>
      </c>
      <c r="I819" s="22" t="s">
        <v>43</v>
      </c>
      <c r="J819" s="22"/>
      <c r="K819" s="22"/>
      <c r="L819" s="22" t="s">
        <v>34</v>
      </c>
      <c r="M819" s="22" t="s">
        <v>34</v>
      </c>
      <c r="N819" s="22" t="s">
        <v>35</v>
      </c>
      <c r="O819" s="22" t="s">
        <v>35</v>
      </c>
      <c r="P819" s="22" t="s">
        <v>35</v>
      </c>
      <c r="Q819" s="22" t="s">
        <v>35</v>
      </c>
      <c r="R819" s="22" t="s">
        <v>35</v>
      </c>
      <c r="S819" s="22" t="s">
        <v>34</v>
      </c>
      <c r="T819" s="22"/>
      <c r="U819" s="22"/>
      <c r="V819" s="22"/>
      <c r="W819" s="22"/>
      <c r="X819" s="22"/>
      <c r="Y819" s="22"/>
      <c r="Z819" s="22"/>
      <c r="AA819" s="22"/>
      <c r="AB819" s="22"/>
      <c r="AC819" s="22" t="s">
        <v>1907</v>
      </c>
      <c r="AD819" s="22">
        <v>20170413</v>
      </c>
      <c r="AE819" s="22">
        <v>818</v>
      </c>
      <c r="AF819" s="22"/>
      <c r="AG819" s="22" t="str">
        <f>IFERROR(VLOOKUP(TblFeedFile[[#This Row],[Leave Type ]],LkupPayType[],2,FALSE),"TBD")</f>
        <v>Denied</v>
      </c>
      <c r="AH819" s="30" t="str">
        <f>IFERROR(VLOOKUP(TblFeedFile[[#This Row],[ Report Number ]],LkupPayrollCycle[],2,FALSE),"TBD")</f>
        <v>Bi-Weekly</v>
      </c>
      <c r="AI819" s="25"/>
      <c r="AJ819" s="25"/>
      <c r="AK819" s="26"/>
    </row>
    <row r="820" spans="1:37" x14ac:dyDescent="0.25">
      <c r="A820" s="21" t="s">
        <v>37</v>
      </c>
      <c r="B820" s="22">
        <v>314304</v>
      </c>
      <c r="C820" s="22">
        <v>29818776</v>
      </c>
      <c r="D820" s="23">
        <v>511703018061</v>
      </c>
      <c r="E820" s="22" t="s">
        <v>2720</v>
      </c>
      <c r="F820" s="22" t="s">
        <v>2721</v>
      </c>
      <c r="G820" s="22">
        <v>20170227</v>
      </c>
      <c r="H820" s="22">
        <v>20170424</v>
      </c>
      <c r="I820" s="22" t="s">
        <v>53</v>
      </c>
      <c r="J820" s="22"/>
      <c r="K820" s="22"/>
      <c r="L820" s="22" t="s">
        <v>34</v>
      </c>
      <c r="M820" s="22" t="s">
        <v>34</v>
      </c>
      <c r="N820" s="22" t="s">
        <v>35</v>
      </c>
      <c r="O820" s="22" t="s">
        <v>35</v>
      </c>
      <c r="P820" s="22" t="s">
        <v>35</v>
      </c>
      <c r="Q820" s="22" t="s">
        <v>35</v>
      </c>
      <c r="R820" s="22" t="s">
        <v>35</v>
      </c>
      <c r="S820" s="22" t="s">
        <v>34</v>
      </c>
      <c r="T820" s="22"/>
      <c r="U820" s="22"/>
      <c r="V820" s="22"/>
      <c r="W820" s="22"/>
      <c r="X820" s="22" t="s">
        <v>35</v>
      </c>
      <c r="Y820" s="22"/>
      <c r="Z820" s="22"/>
      <c r="AA820" s="22"/>
      <c r="AB820" s="22"/>
      <c r="AC820" s="22" t="s">
        <v>1902</v>
      </c>
      <c r="AD820" s="22">
        <v>20170413</v>
      </c>
      <c r="AE820" s="22">
        <v>819</v>
      </c>
      <c r="AF820" s="22"/>
      <c r="AG820" s="22" t="str">
        <f>IFERROR(VLOOKUP(TblFeedFile[[#This Row],[Leave Type ]],LkupPayType[],2,FALSE),"TBD")</f>
        <v>Paid</v>
      </c>
      <c r="AH820" s="30" t="str">
        <f>IFERROR(VLOOKUP(TblFeedFile[[#This Row],[ Report Number ]],LkupPayrollCycle[],2,FALSE),"TBD")</f>
        <v>Bi-Weekly</v>
      </c>
      <c r="AI820" s="25"/>
      <c r="AJ820" s="25"/>
      <c r="AK820" s="26"/>
    </row>
    <row r="821" spans="1:37" x14ac:dyDescent="0.25">
      <c r="A821" s="21" t="s">
        <v>37</v>
      </c>
      <c r="B821" s="22">
        <v>314304</v>
      </c>
      <c r="C821" s="22">
        <v>29818776</v>
      </c>
      <c r="D821" s="23" t="s">
        <v>2722</v>
      </c>
      <c r="E821" s="22" t="s">
        <v>2720</v>
      </c>
      <c r="F821" s="22" t="s">
        <v>2721</v>
      </c>
      <c r="G821" s="22">
        <v>20170306</v>
      </c>
      <c r="H821" s="22">
        <v>20170424</v>
      </c>
      <c r="I821" s="22" t="s">
        <v>36</v>
      </c>
      <c r="J821" s="22"/>
      <c r="K821" s="22"/>
      <c r="L821" s="22" t="s">
        <v>34</v>
      </c>
      <c r="M821" s="22" t="s">
        <v>34</v>
      </c>
      <c r="N821" s="22" t="s">
        <v>35</v>
      </c>
      <c r="O821" s="22" t="s">
        <v>35</v>
      </c>
      <c r="P821" s="22" t="s">
        <v>35</v>
      </c>
      <c r="Q821" s="22" t="s">
        <v>35</v>
      </c>
      <c r="R821" s="22" t="s">
        <v>35</v>
      </c>
      <c r="S821" s="22" t="s">
        <v>34</v>
      </c>
      <c r="T821" s="22"/>
      <c r="U821" s="22"/>
      <c r="V821" s="22"/>
      <c r="W821" s="22"/>
      <c r="X821" s="22" t="s">
        <v>35</v>
      </c>
      <c r="Y821" s="22"/>
      <c r="Z821" s="22"/>
      <c r="AA821" s="22"/>
      <c r="AB821" s="22"/>
      <c r="AC821" s="22" t="s">
        <v>1927</v>
      </c>
      <c r="AD821" s="22">
        <v>20170413</v>
      </c>
      <c r="AE821" s="22">
        <v>820</v>
      </c>
      <c r="AF821" s="22"/>
      <c r="AG821" s="22" t="str">
        <f>IFERROR(VLOOKUP(TblFeedFile[[#This Row],[Leave Type ]],LkupPayType[],2,FALSE),"TBD")</f>
        <v>Unpaid</v>
      </c>
      <c r="AH821" s="30" t="str">
        <f>IFERROR(VLOOKUP(TblFeedFile[[#This Row],[ Report Number ]],LkupPayrollCycle[],2,FALSE),"TBD")</f>
        <v>Bi-Weekly</v>
      </c>
      <c r="AI821" s="25"/>
      <c r="AJ821" s="25"/>
      <c r="AK821" s="26"/>
    </row>
    <row r="822" spans="1:37" x14ac:dyDescent="0.25">
      <c r="A822" s="21" t="s">
        <v>29</v>
      </c>
      <c r="B822" s="22">
        <v>314305</v>
      </c>
      <c r="C822" s="22">
        <v>29845973</v>
      </c>
      <c r="D822" s="23" t="s">
        <v>2723</v>
      </c>
      <c r="E822" s="22" t="s">
        <v>1072</v>
      </c>
      <c r="F822" s="22" t="s">
        <v>2724</v>
      </c>
      <c r="G822" s="22">
        <v>20170401</v>
      </c>
      <c r="H822" s="22">
        <v>20170401</v>
      </c>
      <c r="I822" s="22" t="s">
        <v>33</v>
      </c>
      <c r="J822" s="22"/>
      <c r="K822" s="22"/>
      <c r="L822" s="22" t="s">
        <v>34</v>
      </c>
      <c r="M822" s="22" t="s">
        <v>34</v>
      </c>
      <c r="N822" s="22" t="s">
        <v>35</v>
      </c>
      <c r="O822" s="22" t="s">
        <v>35</v>
      </c>
      <c r="P822" s="22" t="s">
        <v>35</v>
      </c>
      <c r="Q822" s="22" t="s">
        <v>35</v>
      </c>
      <c r="R822" s="22" t="s">
        <v>35</v>
      </c>
      <c r="S822" s="22" t="s">
        <v>34</v>
      </c>
      <c r="T822" s="22"/>
      <c r="U822" s="22"/>
      <c r="V822" s="22"/>
      <c r="W822" s="22"/>
      <c r="X822" s="22"/>
      <c r="Y822" s="22"/>
      <c r="Z822" s="22"/>
      <c r="AA822" s="22"/>
      <c r="AB822" s="22"/>
      <c r="AC822" s="22" t="s">
        <v>1987</v>
      </c>
      <c r="AD822" s="22">
        <v>20170413</v>
      </c>
      <c r="AE822" s="22">
        <v>821</v>
      </c>
      <c r="AF822" s="22"/>
      <c r="AG822" s="22" t="str">
        <f>IFERROR(VLOOKUP(TblFeedFile[[#This Row],[Leave Type ]],LkupPayType[],2,FALSE),"TBD")</f>
        <v>Closed</v>
      </c>
      <c r="AH822" s="30" t="str">
        <f>IFERROR(VLOOKUP(TblFeedFile[[#This Row],[ Report Number ]],LkupPayrollCycle[],2,FALSE),"TBD")</f>
        <v>Bi-Weekly</v>
      </c>
      <c r="AI822" s="25"/>
      <c r="AJ822" s="25"/>
      <c r="AK822" s="26"/>
    </row>
    <row r="823" spans="1:37" x14ac:dyDescent="0.25">
      <c r="A823" s="21" t="s">
        <v>29</v>
      </c>
      <c r="B823" s="22">
        <v>314305</v>
      </c>
      <c r="C823" s="22">
        <v>29845973</v>
      </c>
      <c r="D823" s="23" t="s">
        <v>2723</v>
      </c>
      <c r="E823" s="22" t="s">
        <v>1072</v>
      </c>
      <c r="F823" s="22" t="s">
        <v>2724</v>
      </c>
      <c r="G823" s="22">
        <v>20161214</v>
      </c>
      <c r="H823" s="22">
        <v>20170331</v>
      </c>
      <c r="I823" s="22" t="s">
        <v>36</v>
      </c>
      <c r="J823" s="22"/>
      <c r="K823" s="22"/>
      <c r="L823" s="22" t="s">
        <v>34</v>
      </c>
      <c r="M823" s="22" t="s">
        <v>34</v>
      </c>
      <c r="N823" s="22" t="s">
        <v>35</v>
      </c>
      <c r="O823" s="22" t="s">
        <v>35</v>
      </c>
      <c r="P823" s="22" t="s">
        <v>35</v>
      </c>
      <c r="Q823" s="22" t="s">
        <v>35</v>
      </c>
      <c r="R823" s="22" t="s">
        <v>35</v>
      </c>
      <c r="S823" s="22" t="s">
        <v>34</v>
      </c>
      <c r="T823" s="22"/>
      <c r="U823" s="22"/>
      <c r="V823" s="22"/>
      <c r="W823" s="22"/>
      <c r="X823" s="22"/>
      <c r="Y823" s="22"/>
      <c r="Z823" s="22"/>
      <c r="AA823" s="22"/>
      <c r="AB823" s="22"/>
      <c r="AC823" s="22" t="s">
        <v>1988</v>
      </c>
      <c r="AD823" s="22">
        <v>20170413</v>
      </c>
      <c r="AE823" s="22">
        <v>822</v>
      </c>
      <c r="AF823" s="22"/>
      <c r="AG823" s="22" t="str">
        <f>IFERROR(VLOOKUP(TblFeedFile[[#This Row],[Leave Type ]],LkupPayType[],2,FALSE),"TBD")</f>
        <v>Unpaid</v>
      </c>
      <c r="AH823" s="30" t="str">
        <f>IFERROR(VLOOKUP(TblFeedFile[[#This Row],[ Report Number ]],LkupPayrollCycle[],2,FALSE),"TBD")</f>
        <v>Bi-Weekly</v>
      </c>
      <c r="AI823" s="25"/>
      <c r="AJ823" s="25"/>
      <c r="AK823" s="26"/>
    </row>
    <row r="824" spans="1:37" x14ac:dyDescent="0.25">
      <c r="A824" s="21" t="s">
        <v>37</v>
      </c>
      <c r="B824" s="22">
        <v>314305</v>
      </c>
      <c r="C824" s="22">
        <v>29845973</v>
      </c>
      <c r="D824" s="23" t="s">
        <v>2723</v>
      </c>
      <c r="E824" s="22" t="s">
        <v>1072</v>
      </c>
      <c r="F824" s="22" t="s">
        <v>2724</v>
      </c>
      <c r="G824" s="22">
        <v>20161214</v>
      </c>
      <c r="H824" s="22">
        <v>20170403</v>
      </c>
      <c r="I824" s="22" t="s">
        <v>36</v>
      </c>
      <c r="J824" s="22"/>
      <c r="K824" s="22"/>
      <c r="L824" s="22" t="s">
        <v>34</v>
      </c>
      <c r="M824" s="22" t="s">
        <v>34</v>
      </c>
      <c r="N824" s="22" t="s">
        <v>35</v>
      </c>
      <c r="O824" s="22" t="s">
        <v>35</v>
      </c>
      <c r="P824" s="22" t="s">
        <v>35</v>
      </c>
      <c r="Q824" s="22" t="s">
        <v>35</v>
      </c>
      <c r="R824" s="22" t="s">
        <v>35</v>
      </c>
      <c r="S824" s="22" t="s">
        <v>34</v>
      </c>
      <c r="T824" s="22"/>
      <c r="U824" s="22"/>
      <c r="V824" s="22"/>
      <c r="W824" s="22"/>
      <c r="X824" s="22"/>
      <c r="Y824" s="22"/>
      <c r="Z824" s="22"/>
      <c r="AA824" s="22"/>
      <c r="AB824" s="22"/>
      <c r="AC824" s="22" t="s">
        <v>1988</v>
      </c>
      <c r="AD824" s="22">
        <v>20170413</v>
      </c>
      <c r="AE824" s="22">
        <v>823</v>
      </c>
      <c r="AF824" s="22"/>
      <c r="AG824" s="22" t="str">
        <f>IFERROR(VLOOKUP(TblFeedFile[[#This Row],[Leave Type ]],LkupPayType[],2,FALSE),"TBD")</f>
        <v>Unpaid</v>
      </c>
      <c r="AH824" s="30" t="str">
        <f>IFERROR(VLOOKUP(TblFeedFile[[#This Row],[ Report Number ]],LkupPayrollCycle[],2,FALSE),"TBD")</f>
        <v>Bi-Weekly</v>
      </c>
      <c r="AI824" s="25" t="s">
        <v>35</v>
      </c>
      <c r="AJ824" s="25"/>
      <c r="AK824" s="26"/>
    </row>
    <row r="825" spans="1:37" x14ac:dyDescent="0.25">
      <c r="A825" s="21" t="s">
        <v>37</v>
      </c>
      <c r="B825" s="22">
        <v>314305</v>
      </c>
      <c r="C825" s="22">
        <v>29845973</v>
      </c>
      <c r="D825" s="23" t="s">
        <v>2723</v>
      </c>
      <c r="E825" s="22" t="s">
        <v>1072</v>
      </c>
      <c r="F825" s="22" t="s">
        <v>2724</v>
      </c>
      <c r="G825" s="22">
        <v>20170404</v>
      </c>
      <c r="H825" s="22">
        <v>20170404</v>
      </c>
      <c r="I825" s="22" t="s">
        <v>33</v>
      </c>
      <c r="J825" s="22"/>
      <c r="K825" s="22"/>
      <c r="L825" s="22" t="s">
        <v>34</v>
      </c>
      <c r="M825" s="22" t="s">
        <v>34</v>
      </c>
      <c r="N825" s="22" t="s">
        <v>35</v>
      </c>
      <c r="O825" s="22" t="s">
        <v>35</v>
      </c>
      <c r="P825" s="22" t="s">
        <v>35</v>
      </c>
      <c r="Q825" s="22" t="s">
        <v>35</v>
      </c>
      <c r="R825" s="22" t="s">
        <v>35</v>
      </c>
      <c r="S825" s="22" t="s">
        <v>34</v>
      </c>
      <c r="T825" s="22"/>
      <c r="U825" s="22"/>
      <c r="V825" s="22"/>
      <c r="W825" s="22"/>
      <c r="X825" s="22"/>
      <c r="Y825" s="22"/>
      <c r="Z825" s="22"/>
      <c r="AA825" s="22"/>
      <c r="AB825" s="22"/>
      <c r="AC825" s="22" t="s">
        <v>1987</v>
      </c>
      <c r="AD825" s="22">
        <v>20170413</v>
      </c>
      <c r="AE825" s="22">
        <v>824</v>
      </c>
      <c r="AF825" s="22"/>
      <c r="AG825" s="22" t="str">
        <f>IFERROR(VLOOKUP(TblFeedFile[[#This Row],[Leave Type ]],LkupPayType[],2,FALSE),"TBD")</f>
        <v>Closed</v>
      </c>
      <c r="AH825" s="30" t="str">
        <f>IFERROR(VLOOKUP(TblFeedFile[[#This Row],[ Report Number ]],LkupPayrollCycle[],2,FALSE),"TBD")</f>
        <v>Bi-Weekly</v>
      </c>
      <c r="AI825" s="25"/>
      <c r="AJ825" s="25"/>
      <c r="AK825" s="26"/>
    </row>
    <row r="826" spans="1:37" x14ac:dyDescent="0.25">
      <c r="A826" s="21" t="s">
        <v>37</v>
      </c>
      <c r="B826" s="22">
        <v>314304</v>
      </c>
      <c r="C826" s="22">
        <v>29882214</v>
      </c>
      <c r="D826" s="23" t="s">
        <v>2725</v>
      </c>
      <c r="E826" s="22" t="s">
        <v>418</v>
      </c>
      <c r="F826" s="22" t="s">
        <v>2726</v>
      </c>
      <c r="G826" s="22">
        <v>20170413</v>
      </c>
      <c r="H826" s="22">
        <v>20170802</v>
      </c>
      <c r="I826" s="22" t="s">
        <v>223</v>
      </c>
      <c r="J826" s="22"/>
      <c r="K826" s="22"/>
      <c r="L826" s="22" t="s">
        <v>34</v>
      </c>
      <c r="M826" s="22" t="s">
        <v>34</v>
      </c>
      <c r="N826" s="22" t="s">
        <v>35</v>
      </c>
      <c r="O826" s="22" t="s">
        <v>35</v>
      </c>
      <c r="P826" s="22" t="s">
        <v>35</v>
      </c>
      <c r="Q826" s="22" t="s">
        <v>35</v>
      </c>
      <c r="R826" s="22" t="s">
        <v>35</v>
      </c>
      <c r="S826" s="22" t="s">
        <v>34</v>
      </c>
      <c r="T826" s="22"/>
      <c r="U826" s="22"/>
      <c r="V826" s="22"/>
      <c r="W826" s="22"/>
      <c r="X826" s="22"/>
      <c r="Y826" s="22"/>
      <c r="Z826" s="22"/>
      <c r="AA826" s="22"/>
      <c r="AB826" s="22"/>
      <c r="AC826" s="22" t="s">
        <v>1918</v>
      </c>
      <c r="AD826" s="22">
        <v>20170413</v>
      </c>
      <c r="AE826" s="22">
        <v>825</v>
      </c>
      <c r="AF826" s="22"/>
      <c r="AG826" s="22" t="str">
        <f>IFERROR(VLOOKUP(TblFeedFile[[#This Row],[Leave Type ]],LkupPayType[],2,FALSE),"TBD")</f>
        <v>Paid</v>
      </c>
      <c r="AH826" s="30" t="str">
        <f>IFERROR(VLOOKUP(TblFeedFile[[#This Row],[ Report Number ]],LkupPayrollCycle[],2,FALSE),"TBD")</f>
        <v>Bi-Weekly</v>
      </c>
      <c r="AI826" s="25"/>
      <c r="AJ826" s="25"/>
      <c r="AK826" s="26"/>
    </row>
    <row r="827" spans="1:37" x14ac:dyDescent="0.25">
      <c r="A827" s="21" t="s">
        <v>29</v>
      </c>
      <c r="B827" s="22">
        <v>314304</v>
      </c>
      <c r="C827" s="22">
        <v>29905226</v>
      </c>
      <c r="D827" s="23" t="s">
        <v>2727</v>
      </c>
      <c r="E827" s="22" t="s">
        <v>2728</v>
      </c>
      <c r="F827" s="22" t="s">
        <v>159</v>
      </c>
      <c r="G827" s="22">
        <v>20170403</v>
      </c>
      <c r="H827" s="22">
        <v>20170403</v>
      </c>
      <c r="I827" s="22" t="s">
        <v>33</v>
      </c>
      <c r="J827" s="22"/>
      <c r="K827" s="22"/>
      <c r="L827" s="22" t="s">
        <v>34</v>
      </c>
      <c r="M827" s="22" t="s">
        <v>34</v>
      </c>
      <c r="N827" s="22" t="s">
        <v>35</v>
      </c>
      <c r="O827" s="22" t="s">
        <v>35</v>
      </c>
      <c r="P827" s="22" t="s">
        <v>35</v>
      </c>
      <c r="Q827" s="22" t="s">
        <v>35</v>
      </c>
      <c r="R827" s="22" t="s">
        <v>35</v>
      </c>
      <c r="S827" s="22" t="s">
        <v>34</v>
      </c>
      <c r="T827" s="22"/>
      <c r="U827" s="22"/>
      <c r="V827" s="22"/>
      <c r="W827" s="22"/>
      <c r="X827" s="22"/>
      <c r="Y827" s="22"/>
      <c r="Z827" s="22"/>
      <c r="AA827" s="22"/>
      <c r="AB827" s="22"/>
      <c r="AC827" s="22" t="s">
        <v>1935</v>
      </c>
      <c r="AD827" s="22">
        <v>20170413</v>
      </c>
      <c r="AE827" s="22">
        <v>826</v>
      </c>
      <c r="AF827" s="22"/>
      <c r="AG827" s="22" t="str">
        <f>IFERROR(VLOOKUP(TblFeedFile[[#This Row],[Leave Type ]],LkupPayType[],2,FALSE),"TBD")</f>
        <v>Closed</v>
      </c>
      <c r="AH827" s="30" t="str">
        <f>IFERROR(VLOOKUP(TblFeedFile[[#This Row],[ Report Number ]],LkupPayrollCycle[],2,FALSE),"TBD")</f>
        <v>Bi-Weekly</v>
      </c>
      <c r="AI827" s="25"/>
      <c r="AJ827" s="25"/>
      <c r="AK827" s="26"/>
    </row>
    <row r="828" spans="1:37" x14ac:dyDescent="0.25">
      <c r="A828" s="21" t="s">
        <v>29</v>
      </c>
      <c r="B828" s="22">
        <v>314304</v>
      </c>
      <c r="C828" s="22">
        <v>29905226</v>
      </c>
      <c r="D828" s="23">
        <v>521702158562</v>
      </c>
      <c r="E828" s="22" t="s">
        <v>2728</v>
      </c>
      <c r="F828" s="22" t="s">
        <v>159</v>
      </c>
      <c r="G828" s="22">
        <v>20170321</v>
      </c>
      <c r="H828" s="22">
        <v>20170402</v>
      </c>
      <c r="I828" s="22" t="s">
        <v>40</v>
      </c>
      <c r="J828" s="22"/>
      <c r="K828" s="22"/>
      <c r="L828" s="22" t="s">
        <v>34</v>
      </c>
      <c r="M828" s="22" t="s">
        <v>34</v>
      </c>
      <c r="N828" s="22" t="s">
        <v>35</v>
      </c>
      <c r="O828" s="22" t="s">
        <v>35</v>
      </c>
      <c r="P828" s="22" t="s">
        <v>35</v>
      </c>
      <c r="Q828" s="22" t="s">
        <v>35</v>
      </c>
      <c r="R828" s="22" t="s">
        <v>35</v>
      </c>
      <c r="S828" s="22" t="s">
        <v>34</v>
      </c>
      <c r="T828" s="22">
        <v>20170407</v>
      </c>
      <c r="U828" s="22"/>
      <c r="V828" s="22"/>
      <c r="W828" s="22"/>
      <c r="X828" s="22"/>
      <c r="Y828" s="22"/>
      <c r="Z828" s="22"/>
      <c r="AA828" s="22"/>
      <c r="AB828" s="22"/>
      <c r="AC828" s="22" t="s">
        <v>1928</v>
      </c>
      <c r="AD828" s="22">
        <v>20170413</v>
      </c>
      <c r="AE828" s="22">
        <v>827</v>
      </c>
      <c r="AF828" s="22"/>
      <c r="AG828" s="22" t="str">
        <f>IFERROR(VLOOKUP(TblFeedFile[[#This Row],[Leave Type ]],LkupPayType[],2,FALSE),"TBD")</f>
        <v>Paid</v>
      </c>
      <c r="AH828" s="30" t="str">
        <f>IFERROR(VLOOKUP(TblFeedFile[[#This Row],[ Report Number ]],LkupPayrollCycle[],2,FALSE),"TBD")</f>
        <v>Bi-Weekly</v>
      </c>
      <c r="AI828" s="25"/>
      <c r="AJ828" s="25"/>
      <c r="AK828" s="26"/>
    </row>
    <row r="829" spans="1:37" x14ac:dyDescent="0.25">
      <c r="A829" s="21" t="s">
        <v>37</v>
      </c>
      <c r="B829" s="22">
        <v>314304</v>
      </c>
      <c r="C829" s="22">
        <v>29905226</v>
      </c>
      <c r="D829" s="23">
        <v>521702158562</v>
      </c>
      <c r="E829" s="22" t="s">
        <v>2728</v>
      </c>
      <c r="F829" s="22" t="s">
        <v>159</v>
      </c>
      <c r="G829" s="22">
        <v>20170321</v>
      </c>
      <c r="H829" s="22">
        <v>20170406</v>
      </c>
      <c r="I829" s="22" t="s">
        <v>40</v>
      </c>
      <c r="J829" s="22"/>
      <c r="K829" s="22"/>
      <c r="L829" s="22" t="s">
        <v>34</v>
      </c>
      <c r="M829" s="22" t="s">
        <v>34</v>
      </c>
      <c r="N829" s="22" t="s">
        <v>35</v>
      </c>
      <c r="O829" s="22" t="s">
        <v>35</v>
      </c>
      <c r="P829" s="22" t="s">
        <v>35</v>
      </c>
      <c r="Q829" s="22" t="s">
        <v>35</v>
      </c>
      <c r="R829" s="22" t="s">
        <v>35</v>
      </c>
      <c r="S829" s="22" t="s">
        <v>34</v>
      </c>
      <c r="T829" s="22">
        <v>20170407</v>
      </c>
      <c r="U829" s="22"/>
      <c r="V829" s="22"/>
      <c r="W829" s="22"/>
      <c r="X829" s="22"/>
      <c r="Y829" s="22"/>
      <c r="Z829" s="22"/>
      <c r="AA829" s="22"/>
      <c r="AB829" s="22"/>
      <c r="AC829" s="22" t="s">
        <v>1928</v>
      </c>
      <c r="AD829" s="22">
        <v>20170413</v>
      </c>
      <c r="AE829" s="22">
        <v>828</v>
      </c>
      <c r="AF829" s="22"/>
      <c r="AG829" s="22" t="str">
        <f>IFERROR(VLOOKUP(TblFeedFile[[#This Row],[Leave Type ]],LkupPayType[],2,FALSE),"TBD")</f>
        <v>Paid</v>
      </c>
      <c r="AH829" s="30" t="str">
        <f>IFERROR(VLOOKUP(TblFeedFile[[#This Row],[ Report Number ]],LkupPayrollCycle[],2,FALSE),"TBD")</f>
        <v>Bi-Weekly</v>
      </c>
      <c r="AI829" s="25" t="s">
        <v>35</v>
      </c>
      <c r="AJ829" s="25"/>
      <c r="AK829" s="26" t="s">
        <v>35</v>
      </c>
    </row>
    <row r="830" spans="1:37" x14ac:dyDescent="0.25">
      <c r="A830" s="21" t="s">
        <v>37</v>
      </c>
      <c r="B830" s="22">
        <v>314307</v>
      </c>
      <c r="C830" s="22">
        <v>29906110</v>
      </c>
      <c r="D830" s="23">
        <v>531702158533</v>
      </c>
      <c r="E830" s="22" t="s">
        <v>348</v>
      </c>
      <c r="F830" s="22" t="s">
        <v>2071</v>
      </c>
      <c r="G830" s="22">
        <v>20170411</v>
      </c>
      <c r="H830" s="22">
        <v>20170416</v>
      </c>
      <c r="I830" s="22" t="s">
        <v>40</v>
      </c>
      <c r="J830" s="22"/>
      <c r="K830" s="22"/>
      <c r="L830" s="22" t="s">
        <v>34</v>
      </c>
      <c r="M830" s="22" t="s">
        <v>34</v>
      </c>
      <c r="N830" s="22" t="s">
        <v>35</v>
      </c>
      <c r="O830" s="22" t="s">
        <v>35</v>
      </c>
      <c r="P830" s="22" t="s">
        <v>35</v>
      </c>
      <c r="Q830" s="22" t="s">
        <v>35</v>
      </c>
      <c r="R830" s="22" t="s">
        <v>35</v>
      </c>
      <c r="S830" s="22" t="s">
        <v>34</v>
      </c>
      <c r="T830" s="22">
        <v>20170417</v>
      </c>
      <c r="U830" s="22"/>
      <c r="V830" s="22"/>
      <c r="W830" s="22"/>
      <c r="X830" s="22"/>
      <c r="Y830" s="22">
        <v>170</v>
      </c>
      <c r="Z830" s="22" t="s">
        <v>341</v>
      </c>
      <c r="AA830" s="22">
        <v>20170411</v>
      </c>
      <c r="AB830" s="22">
        <v>20171002</v>
      </c>
      <c r="AC830" s="22" t="s">
        <v>1952</v>
      </c>
      <c r="AD830" s="22">
        <v>20170413</v>
      </c>
      <c r="AE830" s="22">
        <v>829</v>
      </c>
      <c r="AF830" s="22"/>
      <c r="AG830" s="22" t="str">
        <f>IFERROR(VLOOKUP(TblFeedFile[[#This Row],[Leave Type ]],LkupPayType[],2,FALSE),"TBD")</f>
        <v>Paid</v>
      </c>
      <c r="AH830" s="30" t="str">
        <f>IFERROR(VLOOKUP(TblFeedFile[[#This Row],[ Report Number ]],LkupPayrollCycle[],2,FALSE),"TBD")</f>
        <v>Semi-Monthly</v>
      </c>
      <c r="AI830" s="25"/>
      <c r="AJ830" s="25"/>
      <c r="AK830" s="26" t="s">
        <v>35</v>
      </c>
    </row>
    <row r="831" spans="1:37" x14ac:dyDescent="0.25">
      <c r="A831" s="21" t="s">
        <v>29</v>
      </c>
      <c r="B831" s="22">
        <v>314301</v>
      </c>
      <c r="C831" s="22">
        <v>29907533</v>
      </c>
      <c r="D831" s="23" t="s">
        <v>2729</v>
      </c>
      <c r="E831" s="22" t="s">
        <v>1275</v>
      </c>
      <c r="F831" s="22" t="s">
        <v>2730</v>
      </c>
      <c r="G831" s="22">
        <v>20170327</v>
      </c>
      <c r="H831" s="22">
        <v>20170420</v>
      </c>
      <c r="I831" s="22" t="s">
        <v>36</v>
      </c>
      <c r="J831" s="22"/>
      <c r="K831" s="22"/>
      <c r="L831" s="22" t="s">
        <v>34</v>
      </c>
      <c r="M831" s="22" t="s">
        <v>34</v>
      </c>
      <c r="N831" s="22" t="s">
        <v>35</v>
      </c>
      <c r="O831" s="22" t="s">
        <v>35</v>
      </c>
      <c r="P831" s="22" t="s">
        <v>35</v>
      </c>
      <c r="Q831" s="22" t="s">
        <v>35</v>
      </c>
      <c r="R831" s="22" t="s">
        <v>35</v>
      </c>
      <c r="S831" s="22" t="s">
        <v>34</v>
      </c>
      <c r="T831" s="22"/>
      <c r="U831" s="22"/>
      <c r="V831" s="22"/>
      <c r="W831" s="22"/>
      <c r="X831" s="22"/>
      <c r="Y831" s="22"/>
      <c r="Z831" s="22"/>
      <c r="AA831" s="22"/>
      <c r="AB831" s="22"/>
      <c r="AC831" s="22" t="s">
        <v>1911</v>
      </c>
      <c r="AD831" s="22">
        <v>20170413</v>
      </c>
      <c r="AE831" s="22">
        <v>830</v>
      </c>
      <c r="AF831" s="22"/>
      <c r="AG831" s="22" t="str">
        <f>IFERROR(VLOOKUP(TblFeedFile[[#This Row],[Leave Type ]],LkupPayType[],2,FALSE),"TBD")</f>
        <v>Unpaid</v>
      </c>
      <c r="AH831" s="30" t="str">
        <f>IFERROR(VLOOKUP(TblFeedFile[[#This Row],[ Report Number ]],LkupPayrollCycle[],2,FALSE),"TBD")</f>
        <v>Semi-Monthly</v>
      </c>
      <c r="AI831" s="25"/>
      <c r="AJ831" s="25"/>
      <c r="AK831" s="26"/>
    </row>
    <row r="832" spans="1:37" x14ac:dyDescent="0.25">
      <c r="A832" s="21" t="s">
        <v>37</v>
      </c>
      <c r="B832" s="22">
        <v>314301</v>
      </c>
      <c r="C832" s="22">
        <v>29907533</v>
      </c>
      <c r="D832" s="23" t="s">
        <v>2729</v>
      </c>
      <c r="E832" s="22" t="s">
        <v>1275</v>
      </c>
      <c r="F832" s="22" t="s">
        <v>2730</v>
      </c>
      <c r="G832" s="22">
        <v>20170327</v>
      </c>
      <c r="H832" s="22">
        <v>20170515</v>
      </c>
      <c r="I832" s="22" t="s">
        <v>78</v>
      </c>
      <c r="J832" s="22"/>
      <c r="K832" s="22" t="s">
        <v>79</v>
      </c>
      <c r="L832" s="22" t="s">
        <v>34</v>
      </c>
      <c r="M832" s="22" t="s">
        <v>34</v>
      </c>
      <c r="N832" s="22" t="s">
        <v>35</v>
      </c>
      <c r="O832" s="22" t="s">
        <v>35</v>
      </c>
      <c r="P832" s="22" t="s">
        <v>35</v>
      </c>
      <c r="Q832" s="22" t="s">
        <v>35</v>
      </c>
      <c r="R832" s="22" t="s">
        <v>35</v>
      </c>
      <c r="S832" s="22" t="s">
        <v>34</v>
      </c>
      <c r="T832" s="22"/>
      <c r="U832" s="22"/>
      <c r="V832" s="22"/>
      <c r="W832" s="22"/>
      <c r="X832" s="22"/>
      <c r="Y832" s="22"/>
      <c r="Z832" s="22"/>
      <c r="AA832" s="22"/>
      <c r="AB832" s="22"/>
      <c r="AC832" s="22" t="s">
        <v>1916</v>
      </c>
      <c r="AD832" s="22">
        <v>20170413</v>
      </c>
      <c r="AE832" s="22">
        <v>831</v>
      </c>
      <c r="AF832" s="22"/>
      <c r="AG832" s="22" t="str">
        <f>IFERROR(VLOOKUP(TblFeedFile[[#This Row],[Leave Type ]],LkupPayType[],2,FALSE),"TBD")</f>
        <v>Unpaid</v>
      </c>
      <c r="AH832" s="30" t="str">
        <f>IFERROR(VLOOKUP(TblFeedFile[[#This Row],[ Report Number ]],LkupPayrollCycle[],2,FALSE),"TBD")</f>
        <v>Semi-Monthly</v>
      </c>
      <c r="AI832" s="25"/>
      <c r="AJ832" s="25"/>
      <c r="AK832" s="26"/>
    </row>
    <row r="833" spans="1:37" x14ac:dyDescent="0.25">
      <c r="A833" s="21" t="s">
        <v>37</v>
      </c>
      <c r="B833" s="22">
        <v>314301</v>
      </c>
      <c r="C833" s="22">
        <v>29907533</v>
      </c>
      <c r="D833" s="23">
        <v>511703158489</v>
      </c>
      <c r="E833" s="22" t="s">
        <v>1275</v>
      </c>
      <c r="F833" s="22" t="s">
        <v>2730</v>
      </c>
      <c r="G833" s="22">
        <v>20170403</v>
      </c>
      <c r="H833" s="22">
        <v>20170515</v>
      </c>
      <c r="I833" s="22" t="s">
        <v>53</v>
      </c>
      <c r="J833" s="22"/>
      <c r="K833" s="22"/>
      <c r="L833" s="22" t="s">
        <v>34</v>
      </c>
      <c r="M833" s="22" t="s">
        <v>34</v>
      </c>
      <c r="N833" s="22" t="s">
        <v>35</v>
      </c>
      <c r="O833" s="22" t="s">
        <v>35</v>
      </c>
      <c r="P833" s="22" t="s">
        <v>35</v>
      </c>
      <c r="Q833" s="22" t="s">
        <v>35</v>
      </c>
      <c r="R833" s="22" t="s">
        <v>35</v>
      </c>
      <c r="S833" s="22" t="s">
        <v>34</v>
      </c>
      <c r="T833" s="22"/>
      <c r="U833" s="22"/>
      <c r="V833" s="22"/>
      <c r="W833" s="22"/>
      <c r="X833" s="22"/>
      <c r="Y833" s="22"/>
      <c r="Z833" s="22"/>
      <c r="AA833" s="22"/>
      <c r="AB833" s="22"/>
      <c r="AC833" s="22" t="s">
        <v>1900</v>
      </c>
      <c r="AD833" s="22">
        <v>20170413</v>
      </c>
      <c r="AE833" s="22">
        <v>832</v>
      </c>
      <c r="AF833" s="22"/>
      <c r="AG833" s="22" t="str">
        <f>IFERROR(VLOOKUP(TblFeedFile[[#This Row],[Leave Type ]],LkupPayType[],2,FALSE),"TBD")</f>
        <v>Paid</v>
      </c>
      <c r="AH833" s="30" t="str">
        <f>IFERROR(VLOOKUP(TblFeedFile[[#This Row],[ Report Number ]],LkupPayrollCycle[],2,FALSE),"TBD")</f>
        <v>Semi-Monthly</v>
      </c>
      <c r="AI833" s="25"/>
      <c r="AJ833" s="25"/>
      <c r="AK833" s="26"/>
    </row>
    <row r="834" spans="1:37" x14ac:dyDescent="0.25">
      <c r="A834" s="21" t="s">
        <v>37</v>
      </c>
      <c r="B834" s="22">
        <v>314301</v>
      </c>
      <c r="C834" s="22">
        <v>29907533</v>
      </c>
      <c r="D834" s="23">
        <v>511703158489</v>
      </c>
      <c r="E834" s="22" t="s">
        <v>1275</v>
      </c>
      <c r="F834" s="22" t="s">
        <v>2730</v>
      </c>
      <c r="G834" s="22">
        <v>20170410</v>
      </c>
      <c r="H834" s="22">
        <v>20170515</v>
      </c>
      <c r="I834" s="22" t="s">
        <v>40</v>
      </c>
      <c r="J834" s="22"/>
      <c r="K834" s="22"/>
      <c r="L834" s="22" t="s">
        <v>34</v>
      </c>
      <c r="M834" s="22" t="s">
        <v>34</v>
      </c>
      <c r="N834" s="22" t="s">
        <v>35</v>
      </c>
      <c r="O834" s="22" t="s">
        <v>35</v>
      </c>
      <c r="P834" s="22" t="s">
        <v>35</v>
      </c>
      <c r="Q834" s="22" t="s">
        <v>35</v>
      </c>
      <c r="R834" s="22" t="s">
        <v>35</v>
      </c>
      <c r="S834" s="22" t="s">
        <v>34</v>
      </c>
      <c r="T834" s="22"/>
      <c r="U834" s="22"/>
      <c r="V834" s="22"/>
      <c r="W834" s="22"/>
      <c r="X834" s="22"/>
      <c r="Y834" s="22"/>
      <c r="Z834" s="22"/>
      <c r="AA834" s="22"/>
      <c r="AB834" s="22"/>
      <c r="AC834" s="22" t="s">
        <v>1902</v>
      </c>
      <c r="AD834" s="22">
        <v>20170413</v>
      </c>
      <c r="AE834" s="22">
        <v>833</v>
      </c>
      <c r="AF834" s="22"/>
      <c r="AG834" s="22" t="str">
        <f>IFERROR(VLOOKUP(TblFeedFile[[#This Row],[Leave Type ]],LkupPayType[],2,FALSE),"TBD")</f>
        <v>Paid</v>
      </c>
      <c r="AH834" s="30" t="str">
        <f>IFERROR(VLOOKUP(TblFeedFile[[#This Row],[ Report Number ]],LkupPayrollCycle[],2,FALSE),"TBD")</f>
        <v>Semi-Monthly</v>
      </c>
      <c r="AI834" s="25"/>
      <c r="AJ834" s="25"/>
      <c r="AK834" s="26"/>
    </row>
    <row r="835" spans="1:37" x14ac:dyDescent="0.25">
      <c r="A835" s="21" t="s">
        <v>29</v>
      </c>
      <c r="B835" s="22">
        <v>314304</v>
      </c>
      <c r="C835" s="22">
        <v>29933845</v>
      </c>
      <c r="D835" s="23" t="s">
        <v>2731</v>
      </c>
      <c r="E835" s="22" t="s">
        <v>2732</v>
      </c>
      <c r="F835" s="22" t="s">
        <v>2733</v>
      </c>
      <c r="G835" s="22">
        <v>20170330</v>
      </c>
      <c r="H835" s="22">
        <v>20170401</v>
      </c>
      <c r="I835" s="22" t="s">
        <v>185</v>
      </c>
      <c r="J835" s="22"/>
      <c r="K835" s="22"/>
      <c r="L835" s="22" t="s">
        <v>34</v>
      </c>
      <c r="M835" s="22" t="s">
        <v>34</v>
      </c>
      <c r="N835" s="22" t="s">
        <v>35</v>
      </c>
      <c r="O835" s="22" t="s">
        <v>35</v>
      </c>
      <c r="P835" s="22" t="s">
        <v>35</v>
      </c>
      <c r="Q835" s="22" t="s">
        <v>35</v>
      </c>
      <c r="R835" s="22" t="s">
        <v>35</v>
      </c>
      <c r="S835" s="22" t="s">
        <v>34</v>
      </c>
      <c r="T835" s="22">
        <v>20170402</v>
      </c>
      <c r="U835" s="22"/>
      <c r="V835" s="22"/>
      <c r="W835" s="22"/>
      <c r="X835" s="22"/>
      <c r="Y835" s="22"/>
      <c r="Z835" s="22"/>
      <c r="AA835" s="22"/>
      <c r="AB835" s="22"/>
      <c r="AC835" s="22" t="s">
        <v>2286</v>
      </c>
      <c r="AD835" s="22">
        <v>20170413</v>
      </c>
      <c r="AE835" s="22">
        <v>834</v>
      </c>
      <c r="AF835" s="22"/>
      <c r="AG835" s="22" t="str">
        <f>IFERROR(VLOOKUP(TblFeedFile[[#This Row],[Leave Type ]],LkupPayType[],2,FALSE),"TBD")</f>
        <v>Unpaid</v>
      </c>
      <c r="AH835" s="30" t="str">
        <f>IFERROR(VLOOKUP(TblFeedFile[[#This Row],[ Report Number ]],LkupPayrollCycle[],2,FALSE),"TBD")</f>
        <v>Bi-Weekly</v>
      </c>
      <c r="AI835" s="25"/>
      <c r="AJ835" s="25"/>
      <c r="AK835" s="26"/>
    </row>
    <row r="836" spans="1:37" x14ac:dyDescent="0.25">
      <c r="A836" s="21" t="s">
        <v>29</v>
      </c>
      <c r="B836" s="22">
        <v>314304</v>
      </c>
      <c r="C836" s="22">
        <v>29933845</v>
      </c>
      <c r="D836" s="23" t="s">
        <v>2731</v>
      </c>
      <c r="E836" s="22" t="s">
        <v>2732</v>
      </c>
      <c r="F836" s="22" t="s">
        <v>2733</v>
      </c>
      <c r="G836" s="22">
        <v>20161207</v>
      </c>
      <c r="H836" s="22">
        <v>20170401</v>
      </c>
      <c r="I836" s="22" t="s">
        <v>223</v>
      </c>
      <c r="J836" s="22"/>
      <c r="K836" s="22"/>
      <c r="L836" s="22" t="s">
        <v>34</v>
      </c>
      <c r="M836" s="22" t="s">
        <v>34</v>
      </c>
      <c r="N836" s="22" t="s">
        <v>35</v>
      </c>
      <c r="O836" s="22" t="s">
        <v>35</v>
      </c>
      <c r="P836" s="22" t="s">
        <v>35</v>
      </c>
      <c r="Q836" s="22" t="s">
        <v>35</v>
      </c>
      <c r="R836" s="22" t="s">
        <v>35</v>
      </c>
      <c r="S836" s="22" t="s">
        <v>34</v>
      </c>
      <c r="T836" s="22"/>
      <c r="U836" s="22"/>
      <c r="V836" s="22"/>
      <c r="W836" s="22"/>
      <c r="X836" s="22"/>
      <c r="Y836" s="22"/>
      <c r="Z836" s="22"/>
      <c r="AA836" s="22"/>
      <c r="AB836" s="22"/>
      <c r="AC836" s="22" t="s">
        <v>1993</v>
      </c>
      <c r="AD836" s="22">
        <v>20170413</v>
      </c>
      <c r="AE836" s="22">
        <v>835</v>
      </c>
      <c r="AF836" s="22"/>
      <c r="AG836" s="22" t="str">
        <f>IFERROR(VLOOKUP(TblFeedFile[[#This Row],[Leave Type ]],LkupPayType[],2,FALSE),"TBD")</f>
        <v>Paid</v>
      </c>
      <c r="AH836" s="30" t="str">
        <f>IFERROR(VLOOKUP(TblFeedFile[[#This Row],[ Report Number ]],LkupPayrollCycle[],2,FALSE),"TBD")</f>
        <v>Bi-Weekly</v>
      </c>
      <c r="AI836" s="25"/>
      <c r="AJ836" s="25"/>
      <c r="AK836" s="26"/>
    </row>
    <row r="837" spans="1:37" x14ac:dyDescent="0.25">
      <c r="A837" s="21" t="s">
        <v>37</v>
      </c>
      <c r="B837" s="22">
        <v>314304</v>
      </c>
      <c r="C837" s="22">
        <v>29933845</v>
      </c>
      <c r="D837" s="23" t="s">
        <v>2731</v>
      </c>
      <c r="E837" s="22" t="s">
        <v>2732</v>
      </c>
      <c r="F837" s="22" t="s">
        <v>2733</v>
      </c>
      <c r="G837" s="22">
        <v>20161207</v>
      </c>
      <c r="H837" s="22">
        <v>20170328</v>
      </c>
      <c r="I837" s="22" t="s">
        <v>223</v>
      </c>
      <c r="J837" s="22"/>
      <c r="K837" s="22"/>
      <c r="L837" s="22" t="s">
        <v>34</v>
      </c>
      <c r="M837" s="22" t="s">
        <v>34</v>
      </c>
      <c r="N837" s="22" t="s">
        <v>35</v>
      </c>
      <c r="O837" s="22" t="s">
        <v>35</v>
      </c>
      <c r="P837" s="22" t="s">
        <v>35</v>
      </c>
      <c r="Q837" s="22" t="s">
        <v>35</v>
      </c>
      <c r="R837" s="22" t="s">
        <v>35</v>
      </c>
      <c r="S837" s="22" t="s">
        <v>34</v>
      </c>
      <c r="T837" s="22"/>
      <c r="U837" s="22"/>
      <c r="V837" s="22"/>
      <c r="W837" s="22"/>
      <c r="X837" s="22"/>
      <c r="Y837" s="22"/>
      <c r="Z837" s="22"/>
      <c r="AA837" s="22"/>
      <c r="AB837" s="22"/>
      <c r="AC837" s="22" t="s">
        <v>1911</v>
      </c>
      <c r="AD837" s="22">
        <v>20170413</v>
      </c>
      <c r="AE837" s="22">
        <v>836</v>
      </c>
      <c r="AF837" s="22"/>
      <c r="AG837" s="22" t="str">
        <f>IFERROR(VLOOKUP(TblFeedFile[[#This Row],[Leave Type ]],LkupPayType[],2,FALSE),"TBD")</f>
        <v>Paid</v>
      </c>
      <c r="AH837" s="30" t="str">
        <f>IFERROR(VLOOKUP(TblFeedFile[[#This Row],[ Report Number ]],LkupPayrollCycle[],2,FALSE),"TBD")</f>
        <v>Bi-Weekly</v>
      </c>
      <c r="AI837" s="25"/>
      <c r="AJ837" s="25"/>
      <c r="AK837" s="26"/>
    </row>
    <row r="838" spans="1:37" x14ac:dyDescent="0.25">
      <c r="A838" s="21" t="s">
        <v>37</v>
      </c>
      <c r="B838" s="22">
        <v>314304</v>
      </c>
      <c r="C838" s="22">
        <v>29933845</v>
      </c>
      <c r="D838" s="23" t="s">
        <v>2731</v>
      </c>
      <c r="E838" s="22" t="s">
        <v>2732</v>
      </c>
      <c r="F838" s="22" t="s">
        <v>2733</v>
      </c>
      <c r="G838" s="22">
        <v>20170329</v>
      </c>
      <c r="H838" s="22">
        <v>20170329</v>
      </c>
      <c r="I838" s="22" t="s">
        <v>33</v>
      </c>
      <c r="J838" s="22"/>
      <c r="K838" s="22"/>
      <c r="L838" s="22" t="s">
        <v>34</v>
      </c>
      <c r="M838" s="22" t="s">
        <v>34</v>
      </c>
      <c r="N838" s="22" t="s">
        <v>35</v>
      </c>
      <c r="O838" s="22" t="s">
        <v>35</v>
      </c>
      <c r="P838" s="22" t="s">
        <v>35</v>
      </c>
      <c r="Q838" s="22" t="s">
        <v>35</v>
      </c>
      <c r="R838" s="22" t="s">
        <v>35</v>
      </c>
      <c r="S838" s="22" t="s">
        <v>34</v>
      </c>
      <c r="T838" s="22">
        <v>20170402</v>
      </c>
      <c r="U838" s="22"/>
      <c r="V838" s="22"/>
      <c r="W838" s="22"/>
      <c r="X838" s="22"/>
      <c r="Y838" s="22"/>
      <c r="Z838" s="22"/>
      <c r="AA838" s="22"/>
      <c r="AB838" s="22"/>
      <c r="AC838" s="22" t="s">
        <v>1943</v>
      </c>
      <c r="AD838" s="22">
        <v>20170413</v>
      </c>
      <c r="AE838" s="22">
        <v>837</v>
      </c>
      <c r="AF838" s="22"/>
      <c r="AG838" s="22" t="str">
        <f>IFERROR(VLOOKUP(TblFeedFile[[#This Row],[Leave Type ]],LkupPayType[],2,FALSE),"TBD")</f>
        <v>Closed</v>
      </c>
      <c r="AH838" s="30" t="str">
        <f>IFERROR(VLOOKUP(TblFeedFile[[#This Row],[ Report Number ]],LkupPayrollCycle[],2,FALSE),"TBD")</f>
        <v>Bi-Weekly</v>
      </c>
      <c r="AI838" s="25"/>
      <c r="AJ838" s="25"/>
      <c r="AK838" s="26" t="s">
        <v>35</v>
      </c>
    </row>
    <row r="839" spans="1:37" x14ac:dyDescent="0.25">
      <c r="A839" s="21" t="s">
        <v>37</v>
      </c>
      <c r="B839" s="22">
        <v>314304</v>
      </c>
      <c r="C839" s="22">
        <v>29949090</v>
      </c>
      <c r="D839" s="23">
        <v>501704038828</v>
      </c>
      <c r="E839" s="22" t="s">
        <v>2002</v>
      </c>
      <c r="F839" s="22" t="s">
        <v>1926</v>
      </c>
      <c r="G839" s="22">
        <v>20170408</v>
      </c>
      <c r="H839" s="22">
        <v>20170630</v>
      </c>
      <c r="I839" s="22" t="s">
        <v>53</v>
      </c>
      <c r="J839" s="22"/>
      <c r="K839" s="22"/>
      <c r="L839" s="22" t="s">
        <v>34</v>
      </c>
      <c r="M839" s="22" t="s">
        <v>34</v>
      </c>
      <c r="N839" s="22" t="s">
        <v>35</v>
      </c>
      <c r="O839" s="22" t="s">
        <v>35</v>
      </c>
      <c r="P839" s="22" t="s">
        <v>35</v>
      </c>
      <c r="Q839" s="22" t="s">
        <v>35</v>
      </c>
      <c r="R839" s="22" t="s">
        <v>35</v>
      </c>
      <c r="S839" s="22" t="s">
        <v>34</v>
      </c>
      <c r="T839" s="22"/>
      <c r="U839" s="22"/>
      <c r="V839" s="22"/>
      <c r="W839" s="22"/>
      <c r="X839" s="22"/>
      <c r="Y839" s="22"/>
      <c r="Z839" s="22"/>
      <c r="AA839" s="22"/>
      <c r="AB839" s="22"/>
      <c r="AC839" s="22" t="s">
        <v>1902</v>
      </c>
      <c r="AD839" s="22">
        <v>20170413</v>
      </c>
      <c r="AE839" s="22">
        <v>838</v>
      </c>
      <c r="AF839" s="22"/>
      <c r="AG839" s="22" t="str">
        <f>IFERROR(VLOOKUP(TblFeedFile[[#This Row],[Leave Type ]],LkupPayType[],2,FALSE),"TBD")</f>
        <v>Paid</v>
      </c>
      <c r="AH839" s="30" t="str">
        <f>IFERROR(VLOOKUP(TblFeedFile[[#This Row],[ Report Number ]],LkupPayrollCycle[],2,FALSE),"TBD")</f>
        <v>Bi-Weekly</v>
      </c>
      <c r="AI839" s="25"/>
      <c r="AJ839" s="25"/>
      <c r="AK839" s="26"/>
    </row>
    <row r="840" spans="1:37" x14ac:dyDescent="0.25">
      <c r="A840" s="21" t="s">
        <v>29</v>
      </c>
      <c r="B840" s="22">
        <v>314304</v>
      </c>
      <c r="C840" s="22">
        <v>29975759</v>
      </c>
      <c r="D840" s="23" t="s">
        <v>2734</v>
      </c>
      <c r="E840" s="22" t="s">
        <v>1225</v>
      </c>
      <c r="F840" s="22" t="s">
        <v>2735</v>
      </c>
      <c r="G840" s="22">
        <v>20170227</v>
      </c>
      <c r="H840" s="22">
        <v>20170330</v>
      </c>
      <c r="I840" s="22" t="s">
        <v>49</v>
      </c>
      <c r="J840" s="22"/>
      <c r="K840" s="22"/>
      <c r="L840" s="22" t="s">
        <v>34</v>
      </c>
      <c r="M840" s="22" t="s">
        <v>34</v>
      </c>
      <c r="N840" s="22" t="s">
        <v>35</v>
      </c>
      <c r="O840" s="22" t="s">
        <v>35</v>
      </c>
      <c r="P840" s="22" t="s">
        <v>35</v>
      </c>
      <c r="Q840" s="22" t="s">
        <v>35</v>
      </c>
      <c r="R840" s="22" t="s">
        <v>35</v>
      </c>
      <c r="S840" s="22" t="s">
        <v>34</v>
      </c>
      <c r="T840" s="22">
        <v>20170403</v>
      </c>
      <c r="U840" s="22"/>
      <c r="V840" s="22"/>
      <c r="W840" s="22"/>
      <c r="X840" s="22"/>
      <c r="Y840" s="22"/>
      <c r="Z840" s="22"/>
      <c r="AA840" s="22"/>
      <c r="AB840" s="22"/>
      <c r="AC840" s="22" t="s">
        <v>1951</v>
      </c>
      <c r="AD840" s="22">
        <v>20170413</v>
      </c>
      <c r="AE840" s="22">
        <v>839</v>
      </c>
      <c r="AF840" s="22"/>
      <c r="AG840" s="22" t="str">
        <f>IFERROR(VLOOKUP(TblFeedFile[[#This Row],[Leave Type ]],LkupPayType[],2,FALSE),"TBD")</f>
        <v>Unpaid</v>
      </c>
      <c r="AH840" s="30" t="str">
        <f>IFERROR(VLOOKUP(TblFeedFile[[#This Row],[ Report Number ]],LkupPayrollCycle[],2,FALSE),"TBD")</f>
        <v>Bi-Weekly</v>
      </c>
      <c r="AI840" s="25"/>
      <c r="AJ840" s="25"/>
      <c r="AK840" s="26"/>
    </row>
    <row r="841" spans="1:37" x14ac:dyDescent="0.25">
      <c r="A841" s="21" t="s">
        <v>37</v>
      </c>
      <c r="B841" s="22">
        <v>314304</v>
      </c>
      <c r="C841" s="22">
        <v>29975759</v>
      </c>
      <c r="D841" s="23" t="s">
        <v>2734</v>
      </c>
      <c r="E841" s="22" t="s">
        <v>1225</v>
      </c>
      <c r="F841" s="22" t="s">
        <v>2735</v>
      </c>
      <c r="G841" s="22">
        <v>20170227</v>
      </c>
      <c r="H841" s="22">
        <v>20170330</v>
      </c>
      <c r="I841" s="22" t="s">
        <v>49</v>
      </c>
      <c r="J841" s="22"/>
      <c r="K841" s="22"/>
      <c r="L841" s="22" t="s">
        <v>34</v>
      </c>
      <c r="M841" s="22" t="s">
        <v>34</v>
      </c>
      <c r="N841" s="22" t="s">
        <v>35</v>
      </c>
      <c r="O841" s="22" t="s">
        <v>35</v>
      </c>
      <c r="P841" s="22" t="s">
        <v>35</v>
      </c>
      <c r="Q841" s="22" t="s">
        <v>35</v>
      </c>
      <c r="R841" s="22" t="s">
        <v>35</v>
      </c>
      <c r="S841" s="22" t="s">
        <v>34</v>
      </c>
      <c r="T841" s="22">
        <v>20170410</v>
      </c>
      <c r="U841" s="22"/>
      <c r="V841" s="22"/>
      <c r="W841" s="22"/>
      <c r="X841" s="22"/>
      <c r="Y841" s="22"/>
      <c r="Z841" s="22"/>
      <c r="AA841" s="22"/>
      <c r="AB841" s="22"/>
      <c r="AC841" s="22" t="s">
        <v>1951</v>
      </c>
      <c r="AD841" s="22">
        <v>20170413</v>
      </c>
      <c r="AE841" s="22">
        <v>840</v>
      </c>
      <c r="AF841" s="22"/>
      <c r="AG841" s="22" t="str">
        <f>IFERROR(VLOOKUP(TblFeedFile[[#This Row],[Leave Type ]],LkupPayType[],2,FALSE),"TBD")</f>
        <v>Unpaid</v>
      </c>
      <c r="AH841" s="30" t="str">
        <f>IFERROR(VLOOKUP(TblFeedFile[[#This Row],[ Report Number ]],LkupPayrollCycle[],2,FALSE),"TBD")</f>
        <v>Bi-Weekly</v>
      </c>
      <c r="AI841" s="25"/>
      <c r="AJ841" s="25"/>
      <c r="AK841" s="26" t="s">
        <v>35</v>
      </c>
    </row>
    <row r="842" spans="1:37" x14ac:dyDescent="0.25">
      <c r="A842" s="21" t="s">
        <v>37</v>
      </c>
      <c r="B842" s="22">
        <v>314304</v>
      </c>
      <c r="C842" s="22">
        <v>30017809</v>
      </c>
      <c r="D842" s="23">
        <v>571703218367</v>
      </c>
      <c r="E842" s="22" t="s">
        <v>2736</v>
      </c>
      <c r="F842" s="22" t="s">
        <v>2737</v>
      </c>
      <c r="G842" s="22">
        <v>20170403</v>
      </c>
      <c r="H842" s="22">
        <v>20170416</v>
      </c>
      <c r="I842" s="22" t="s">
        <v>40</v>
      </c>
      <c r="J842" s="22"/>
      <c r="K842" s="22"/>
      <c r="L842" s="22" t="s">
        <v>34</v>
      </c>
      <c r="M842" s="22" t="s">
        <v>34</v>
      </c>
      <c r="N842" s="22" t="s">
        <v>35</v>
      </c>
      <c r="O842" s="22" t="s">
        <v>35</v>
      </c>
      <c r="P842" s="22" t="s">
        <v>35</v>
      </c>
      <c r="Q842" s="22" t="s">
        <v>35</v>
      </c>
      <c r="R842" s="22" t="s">
        <v>35</v>
      </c>
      <c r="S842" s="22" t="s">
        <v>34</v>
      </c>
      <c r="T842" s="22">
        <v>20170417</v>
      </c>
      <c r="U842" s="22"/>
      <c r="V842" s="22"/>
      <c r="W842" s="22"/>
      <c r="X842" s="22"/>
      <c r="Y842" s="22"/>
      <c r="Z842" s="22"/>
      <c r="AA842" s="22"/>
      <c r="AB842" s="22"/>
      <c r="AC842" s="22" t="s">
        <v>1904</v>
      </c>
      <c r="AD842" s="22">
        <v>20170413</v>
      </c>
      <c r="AE842" s="22">
        <v>841</v>
      </c>
      <c r="AF842" s="22"/>
      <c r="AG842" s="22" t="str">
        <f>IFERROR(VLOOKUP(TblFeedFile[[#This Row],[Leave Type ]],LkupPayType[],2,FALSE),"TBD")</f>
        <v>Paid</v>
      </c>
      <c r="AH842" s="30" t="str">
        <f>IFERROR(VLOOKUP(TblFeedFile[[#This Row],[ Report Number ]],LkupPayrollCycle[],2,FALSE),"TBD")</f>
        <v>Bi-Weekly</v>
      </c>
      <c r="AI842" s="25"/>
      <c r="AJ842" s="25"/>
      <c r="AK842" s="26" t="s">
        <v>35</v>
      </c>
    </row>
    <row r="843" spans="1:37" x14ac:dyDescent="0.25">
      <c r="A843" s="21" t="s">
        <v>29</v>
      </c>
      <c r="B843" s="22">
        <v>314304</v>
      </c>
      <c r="C843" s="22">
        <v>30036749</v>
      </c>
      <c r="D843" s="23" t="s">
        <v>2738</v>
      </c>
      <c r="E843" s="22" t="s">
        <v>1537</v>
      </c>
      <c r="F843" s="22" t="s">
        <v>2739</v>
      </c>
      <c r="G843" s="22">
        <v>20170410</v>
      </c>
      <c r="H843" s="22">
        <v>20170410</v>
      </c>
      <c r="I843" s="22" t="s">
        <v>33</v>
      </c>
      <c r="J843" s="22"/>
      <c r="K843" s="22"/>
      <c r="L843" s="22" t="s">
        <v>34</v>
      </c>
      <c r="M843" s="22" t="s">
        <v>34</v>
      </c>
      <c r="N843" s="22" t="s">
        <v>35</v>
      </c>
      <c r="O843" s="22" t="s">
        <v>35</v>
      </c>
      <c r="P843" s="22" t="s">
        <v>35</v>
      </c>
      <c r="Q843" s="22" t="s">
        <v>35</v>
      </c>
      <c r="R843" s="22" t="s">
        <v>35</v>
      </c>
      <c r="S843" s="22" t="s">
        <v>34</v>
      </c>
      <c r="T843" s="22"/>
      <c r="U843" s="22"/>
      <c r="V843" s="22"/>
      <c r="W843" s="22"/>
      <c r="X843" s="22"/>
      <c r="Y843" s="22"/>
      <c r="Z843" s="22"/>
      <c r="AA843" s="22"/>
      <c r="AB843" s="22"/>
      <c r="AC843" s="22" t="s">
        <v>1935</v>
      </c>
      <c r="AD843" s="22">
        <v>20170413</v>
      </c>
      <c r="AE843" s="22">
        <v>842</v>
      </c>
      <c r="AF843" s="22"/>
      <c r="AG843" s="22" t="str">
        <f>IFERROR(VLOOKUP(TblFeedFile[[#This Row],[Leave Type ]],LkupPayType[],2,FALSE),"TBD")</f>
        <v>Closed</v>
      </c>
      <c r="AH843" s="30" t="str">
        <f>IFERROR(VLOOKUP(TblFeedFile[[#This Row],[ Report Number ]],LkupPayrollCycle[],2,FALSE),"TBD")</f>
        <v>Bi-Weekly</v>
      </c>
      <c r="AI843" s="25"/>
      <c r="AJ843" s="25"/>
      <c r="AK843" s="26"/>
    </row>
    <row r="844" spans="1:37" x14ac:dyDescent="0.25">
      <c r="A844" s="21" t="s">
        <v>37</v>
      </c>
      <c r="B844" s="22">
        <v>314304</v>
      </c>
      <c r="C844" s="22">
        <v>30036749</v>
      </c>
      <c r="D844" s="23">
        <v>551702018925</v>
      </c>
      <c r="E844" s="22" t="s">
        <v>1537</v>
      </c>
      <c r="F844" s="22" t="s">
        <v>2739</v>
      </c>
      <c r="G844" s="22">
        <v>20170330</v>
      </c>
      <c r="H844" s="22">
        <v>20170409</v>
      </c>
      <c r="I844" s="22" t="s">
        <v>40</v>
      </c>
      <c r="J844" s="22"/>
      <c r="K844" s="22"/>
      <c r="L844" s="22" t="s">
        <v>34</v>
      </c>
      <c r="M844" s="22" t="s">
        <v>34</v>
      </c>
      <c r="N844" s="22" t="s">
        <v>35</v>
      </c>
      <c r="O844" s="22" t="s">
        <v>35</v>
      </c>
      <c r="P844" s="22" t="s">
        <v>35</v>
      </c>
      <c r="Q844" s="22" t="s">
        <v>35</v>
      </c>
      <c r="R844" s="22" t="s">
        <v>35</v>
      </c>
      <c r="S844" s="22" t="s">
        <v>34</v>
      </c>
      <c r="T844" s="22">
        <v>20170410</v>
      </c>
      <c r="U844" s="22"/>
      <c r="V844" s="22"/>
      <c r="W844" s="22"/>
      <c r="X844" s="22"/>
      <c r="Y844" s="22"/>
      <c r="Z844" s="22"/>
      <c r="AA844" s="22"/>
      <c r="AB844" s="22"/>
      <c r="AC844" s="22" t="s">
        <v>1928</v>
      </c>
      <c r="AD844" s="22">
        <v>20170413</v>
      </c>
      <c r="AE844" s="22">
        <v>843</v>
      </c>
      <c r="AF844" s="22"/>
      <c r="AG844" s="22" t="str">
        <f>IFERROR(VLOOKUP(TblFeedFile[[#This Row],[Leave Type ]],LkupPayType[],2,FALSE),"TBD")</f>
        <v>Paid</v>
      </c>
      <c r="AH844" s="30" t="str">
        <f>IFERROR(VLOOKUP(TblFeedFile[[#This Row],[ Report Number ]],LkupPayrollCycle[],2,FALSE),"TBD")</f>
        <v>Bi-Weekly</v>
      </c>
      <c r="AI844" s="25" t="s">
        <v>35</v>
      </c>
      <c r="AJ844" s="25"/>
      <c r="AK844" s="26" t="s">
        <v>35</v>
      </c>
    </row>
    <row r="845" spans="1:37" x14ac:dyDescent="0.25">
      <c r="A845" s="21" t="s">
        <v>29</v>
      </c>
      <c r="B845" s="22">
        <v>314301</v>
      </c>
      <c r="C845" s="22">
        <v>30042282</v>
      </c>
      <c r="D845" s="23">
        <v>531703208303</v>
      </c>
      <c r="E845" s="22" t="s">
        <v>2740</v>
      </c>
      <c r="F845" s="22" t="s">
        <v>2741</v>
      </c>
      <c r="G845" s="22">
        <v>20170321</v>
      </c>
      <c r="H845" s="22">
        <v>20170321</v>
      </c>
      <c r="I845" s="22" t="s">
        <v>43</v>
      </c>
      <c r="J845" s="22"/>
      <c r="K845" s="22"/>
      <c r="L845" s="22" t="s">
        <v>34</v>
      </c>
      <c r="M845" s="22" t="s">
        <v>34</v>
      </c>
      <c r="N845" s="22" t="s">
        <v>35</v>
      </c>
      <c r="O845" s="22" t="s">
        <v>35</v>
      </c>
      <c r="P845" s="22" t="s">
        <v>35</v>
      </c>
      <c r="Q845" s="22" t="s">
        <v>35</v>
      </c>
      <c r="R845" s="22" t="s">
        <v>35</v>
      </c>
      <c r="S845" s="22" t="s">
        <v>34</v>
      </c>
      <c r="T845" s="22"/>
      <c r="U845" s="22"/>
      <c r="V845" s="22"/>
      <c r="W845" s="22"/>
      <c r="X845" s="22"/>
      <c r="Y845" s="22"/>
      <c r="Z845" s="22"/>
      <c r="AA845" s="22"/>
      <c r="AB845" s="22"/>
      <c r="AC845" s="22" t="s">
        <v>1920</v>
      </c>
      <c r="AD845" s="22">
        <v>20170413</v>
      </c>
      <c r="AE845" s="22">
        <v>844</v>
      </c>
      <c r="AF845" s="22"/>
      <c r="AG845" s="22" t="str">
        <f>IFERROR(VLOOKUP(TblFeedFile[[#This Row],[Leave Type ]],LkupPayType[],2,FALSE),"TBD")</f>
        <v>Denied</v>
      </c>
      <c r="AH845" s="30" t="str">
        <f>IFERROR(VLOOKUP(TblFeedFile[[#This Row],[ Report Number ]],LkupPayrollCycle[],2,FALSE),"TBD")</f>
        <v>Semi-Monthly</v>
      </c>
      <c r="AI845" s="25"/>
      <c r="AJ845" s="25"/>
      <c r="AK845" s="26"/>
    </row>
    <row r="846" spans="1:37" x14ac:dyDescent="0.25">
      <c r="A846" s="21" t="s">
        <v>37</v>
      </c>
      <c r="B846" s="22">
        <v>314301</v>
      </c>
      <c r="C846" s="22">
        <v>30042282</v>
      </c>
      <c r="D846" s="23">
        <v>531703208303</v>
      </c>
      <c r="E846" s="22" t="s">
        <v>2740</v>
      </c>
      <c r="F846" s="22" t="s">
        <v>2741</v>
      </c>
      <c r="G846" s="22">
        <v>20170321</v>
      </c>
      <c r="H846" s="22">
        <v>20170516</v>
      </c>
      <c r="I846" s="22" t="s">
        <v>53</v>
      </c>
      <c r="J846" s="22"/>
      <c r="K846" s="22"/>
      <c r="L846" s="22" t="s">
        <v>34</v>
      </c>
      <c r="M846" s="22" t="s">
        <v>34</v>
      </c>
      <c r="N846" s="22" t="s">
        <v>35</v>
      </c>
      <c r="O846" s="22" t="s">
        <v>35</v>
      </c>
      <c r="P846" s="22" t="s">
        <v>35</v>
      </c>
      <c r="Q846" s="22" t="s">
        <v>35</v>
      </c>
      <c r="R846" s="22" t="s">
        <v>35</v>
      </c>
      <c r="S846" s="22" t="s">
        <v>34</v>
      </c>
      <c r="T846" s="22"/>
      <c r="U846" s="22"/>
      <c r="V846" s="22"/>
      <c r="W846" s="22"/>
      <c r="X846" s="22" t="s">
        <v>35</v>
      </c>
      <c r="Y846" s="22"/>
      <c r="Z846" s="22"/>
      <c r="AA846" s="22"/>
      <c r="AB846" s="22"/>
      <c r="AC846" s="22" t="s">
        <v>1912</v>
      </c>
      <c r="AD846" s="22">
        <v>20170413</v>
      </c>
      <c r="AE846" s="22">
        <v>845</v>
      </c>
      <c r="AF846" s="22"/>
      <c r="AG846" s="22" t="str">
        <f>IFERROR(VLOOKUP(TblFeedFile[[#This Row],[Leave Type ]],LkupPayType[],2,FALSE),"TBD")</f>
        <v>Paid</v>
      </c>
      <c r="AH846" s="30" t="str">
        <f>IFERROR(VLOOKUP(TblFeedFile[[#This Row],[ Report Number ]],LkupPayrollCycle[],2,FALSE),"TBD")</f>
        <v>Semi-Monthly</v>
      </c>
      <c r="AI846" s="25"/>
      <c r="AJ846" s="25"/>
      <c r="AK846" s="26"/>
    </row>
    <row r="847" spans="1:37" x14ac:dyDescent="0.25">
      <c r="A847" s="21" t="s">
        <v>37</v>
      </c>
      <c r="B847" s="22">
        <v>314301</v>
      </c>
      <c r="C847" s="22">
        <v>30042282</v>
      </c>
      <c r="D847" s="23">
        <v>531703208303</v>
      </c>
      <c r="E847" s="22" t="s">
        <v>2740</v>
      </c>
      <c r="F847" s="22" t="s">
        <v>2741</v>
      </c>
      <c r="G847" s="22">
        <v>20170328</v>
      </c>
      <c r="H847" s="22">
        <v>20170516</v>
      </c>
      <c r="I847" s="22" t="s">
        <v>40</v>
      </c>
      <c r="J847" s="22"/>
      <c r="K847" s="22"/>
      <c r="L847" s="22" t="s">
        <v>34</v>
      </c>
      <c r="M847" s="22" t="s">
        <v>34</v>
      </c>
      <c r="N847" s="22" t="s">
        <v>35</v>
      </c>
      <c r="O847" s="22" t="s">
        <v>35</v>
      </c>
      <c r="P847" s="22" t="s">
        <v>35</v>
      </c>
      <c r="Q847" s="22" t="s">
        <v>35</v>
      </c>
      <c r="R847" s="22" t="s">
        <v>35</v>
      </c>
      <c r="S847" s="22" t="s">
        <v>34</v>
      </c>
      <c r="T847" s="22"/>
      <c r="U847" s="22"/>
      <c r="V847" s="22"/>
      <c r="W847" s="22"/>
      <c r="X847" s="22" t="s">
        <v>35</v>
      </c>
      <c r="Y847" s="22">
        <v>633</v>
      </c>
      <c r="Z847" s="22" t="s">
        <v>306</v>
      </c>
      <c r="AA847" s="22">
        <v>20170328</v>
      </c>
      <c r="AB847" s="22">
        <v>20170918</v>
      </c>
      <c r="AC847" s="22" t="s">
        <v>1975</v>
      </c>
      <c r="AD847" s="22">
        <v>20170413</v>
      </c>
      <c r="AE847" s="22">
        <v>846</v>
      </c>
      <c r="AF847" s="22"/>
      <c r="AG847" s="22" t="str">
        <f>IFERROR(VLOOKUP(TblFeedFile[[#This Row],[Leave Type ]],LkupPayType[],2,FALSE),"TBD")</f>
        <v>Paid</v>
      </c>
      <c r="AH847" s="30" t="str">
        <f>IFERROR(VLOOKUP(TblFeedFile[[#This Row],[ Report Number ]],LkupPayrollCycle[],2,FALSE),"TBD")</f>
        <v>Semi-Monthly</v>
      </c>
      <c r="AI847" s="25"/>
      <c r="AJ847" s="25"/>
      <c r="AK847" s="26"/>
    </row>
    <row r="848" spans="1:37" x14ac:dyDescent="0.25">
      <c r="A848" s="21" t="s">
        <v>37</v>
      </c>
      <c r="B848" s="22">
        <v>314304</v>
      </c>
      <c r="C848" s="22">
        <v>30056451</v>
      </c>
      <c r="D848" s="23" t="s">
        <v>2742</v>
      </c>
      <c r="E848" s="22" t="s">
        <v>2743</v>
      </c>
      <c r="F848" s="22" t="s">
        <v>808</v>
      </c>
      <c r="G848" s="22">
        <v>20170404</v>
      </c>
      <c r="H848" s="22">
        <v>20170416</v>
      </c>
      <c r="I848" s="22" t="s">
        <v>78</v>
      </c>
      <c r="J848" s="22"/>
      <c r="K848" s="22" t="s">
        <v>79</v>
      </c>
      <c r="L848" s="22" t="s">
        <v>34</v>
      </c>
      <c r="M848" s="22" t="s">
        <v>34</v>
      </c>
      <c r="N848" s="22" t="s">
        <v>35</v>
      </c>
      <c r="O848" s="22" t="s">
        <v>35</v>
      </c>
      <c r="P848" s="22" t="s">
        <v>35</v>
      </c>
      <c r="Q848" s="22" t="s">
        <v>35</v>
      </c>
      <c r="R848" s="22" t="s">
        <v>35</v>
      </c>
      <c r="S848" s="22" t="s">
        <v>34</v>
      </c>
      <c r="T848" s="22">
        <v>20170417</v>
      </c>
      <c r="U848" s="22"/>
      <c r="V848" s="22"/>
      <c r="W848" s="22"/>
      <c r="X848" s="22"/>
      <c r="Y848" s="22"/>
      <c r="Z848" s="22"/>
      <c r="AA848" s="22"/>
      <c r="AB848" s="22"/>
      <c r="AC848" s="22" t="s">
        <v>2078</v>
      </c>
      <c r="AD848" s="22">
        <v>20170413</v>
      </c>
      <c r="AE848" s="22">
        <v>847</v>
      </c>
      <c r="AF848" s="22"/>
      <c r="AG848" s="22" t="str">
        <f>IFERROR(VLOOKUP(TblFeedFile[[#This Row],[Leave Type ]],LkupPayType[],2,FALSE),"TBD")</f>
        <v>Unpaid</v>
      </c>
      <c r="AH848" s="30" t="str">
        <f>IFERROR(VLOOKUP(TblFeedFile[[#This Row],[ Report Number ]],LkupPayrollCycle[],2,FALSE),"TBD")</f>
        <v>Bi-Weekly</v>
      </c>
      <c r="AI848" s="25"/>
      <c r="AJ848" s="25"/>
      <c r="AK848" s="26" t="s">
        <v>35</v>
      </c>
    </row>
    <row r="849" spans="1:37" x14ac:dyDescent="0.25">
      <c r="A849" s="21" t="s">
        <v>29</v>
      </c>
      <c r="B849" s="22">
        <v>314310</v>
      </c>
      <c r="C849" s="22">
        <v>30076141</v>
      </c>
      <c r="D849" s="23" t="s">
        <v>2744</v>
      </c>
      <c r="E849" s="22" t="s">
        <v>2681</v>
      </c>
      <c r="F849" s="22" t="s">
        <v>2258</v>
      </c>
      <c r="G849" s="22">
        <v>20170401</v>
      </c>
      <c r="H849" s="22">
        <v>20170401</v>
      </c>
      <c r="I849" s="22" t="s">
        <v>33</v>
      </c>
      <c r="J849" s="22"/>
      <c r="K849" s="22"/>
      <c r="L849" s="22" t="s">
        <v>34</v>
      </c>
      <c r="M849" s="22" t="s">
        <v>34</v>
      </c>
      <c r="N849" s="22" t="s">
        <v>35</v>
      </c>
      <c r="O849" s="22" t="s">
        <v>35</v>
      </c>
      <c r="P849" s="22" t="s">
        <v>35</v>
      </c>
      <c r="Q849" s="22" t="s">
        <v>35</v>
      </c>
      <c r="R849" s="22" t="s">
        <v>35</v>
      </c>
      <c r="S849" s="22" t="s">
        <v>34</v>
      </c>
      <c r="T849" s="22"/>
      <c r="U849" s="22"/>
      <c r="V849" s="22"/>
      <c r="W849" s="22"/>
      <c r="X849" s="22"/>
      <c r="Y849" s="22"/>
      <c r="Z849" s="22"/>
      <c r="AA849" s="22"/>
      <c r="AB849" s="22"/>
      <c r="AC849" s="22" t="s">
        <v>1907</v>
      </c>
      <c r="AD849" s="22">
        <v>20170413</v>
      </c>
      <c r="AE849" s="22">
        <v>848</v>
      </c>
      <c r="AF849" s="22"/>
      <c r="AG849" s="22" t="str">
        <f>IFERROR(VLOOKUP(TblFeedFile[[#This Row],[Leave Type ]],LkupPayType[],2,FALSE),"TBD")</f>
        <v>Closed</v>
      </c>
      <c r="AH849" s="30" t="str">
        <f>IFERROR(VLOOKUP(TblFeedFile[[#This Row],[ Report Number ]],LkupPayrollCycle[],2,FALSE),"TBD")</f>
        <v>Bi-Weekly</v>
      </c>
      <c r="AI849" s="25"/>
      <c r="AJ849" s="25"/>
      <c r="AK849" s="26"/>
    </row>
    <row r="850" spans="1:37" x14ac:dyDescent="0.25">
      <c r="A850" s="21" t="s">
        <v>29</v>
      </c>
      <c r="B850" s="22">
        <v>314310</v>
      </c>
      <c r="C850" s="22">
        <v>30076141</v>
      </c>
      <c r="D850" s="23" t="s">
        <v>2744</v>
      </c>
      <c r="E850" s="22" t="s">
        <v>2681</v>
      </c>
      <c r="F850" s="22" t="s">
        <v>2258</v>
      </c>
      <c r="G850" s="22">
        <v>20170111</v>
      </c>
      <c r="H850" s="22">
        <v>20170331</v>
      </c>
      <c r="I850" s="22" t="s">
        <v>36</v>
      </c>
      <c r="J850" s="22"/>
      <c r="K850" s="22"/>
      <c r="L850" s="22" t="s">
        <v>34</v>
      </c>
      <c r="M850" s="22" t="s">
        <v>34</v>
      </c>
      <c r="N850" s="22" t="s">
        <v>35</v>
      </c>
      <c r="O850" s="22" t="s">
        <v>35</v>
      </c>
      <c r="P850" s="22" t="s">
        <v>35</v>
      </c>
      <c r="Q850" s="22" t="s">
        <v>35</v>
      </c>
      <c r="R850" s="22" t="s">
        <v>35</v>
      </c>
      <c r="S850" s="22" t="s">
        <v>34</v>
      </c>
      <c r="T850" s="22"/>
      <c r="U850" s="22"/>
      <c r="V850" s="22"/>
      <c r="W850" s="22"/>
      <c r="X850" s="22" t="s">
        <v>35</v>
      </c>
      <c r="Y850" s="22"/>
      <c r="Z850" s="22"/>
      <c r="AA850" s="22"/>
      <c r="AB850" s="22"/>
      <c r="AC850" s="22" t="s">
        <v>1927</v>
      </c>
      <c r="AD850" s="22">
        <v>20170413</v>
      </c>
      <c r="AE850" s="22">
        <v>849</v>
      </c>
      <c r="AF850" s="22"/>
      <c r="AG850" s="22" t="str">
        <f>IFERROR(VLOOKUP(TblFeedFile[[#This Row],[Leave Type ]],LkupPayType[],2,FALSE),"TBD")</f>
        <v>Unpaid</v>
      </c>
      <c r="AH850" s="30" t="str">
        <f>IFERROR(VLOOKUP(TblFeedFile[[#This Row],[ Report Number ]],LkupPayrollCycle[],2,FALSE),"TBD")</f>
        <v>Bi-Weekly</v>
      </c>
      <c r="AI850" s="25"/>
      <c r="AJ850" s="25"/>
      <c r="AK850" s="26"/>
    </row>
    <row r="851" spans="1:37" x14ac:dyDescent="0.25">
      <c r="A851" s="21" t="s">
        <v>37</v>
      </c>
      <c r="B851" s="22">
        <v>314310</v>
      </c>
      <c r="C851" s="22">
        <v>30076141</v>
      </c>
      <c r="D851" s="23" t="s">
        <v>2744</v>
      </c>
      <c r="E851" s="22" t="s">
        <v>2681</v>
      </c>
      <c r="F851" s="22" t="s">
        <v>2258</v>
      </c>
      <c r="G851" s="22">
        <v>20170111</v>
      </c>
      <c r="H851" s="22">
        <v>20170502</v>
      </c>
      <c r="I851" s="22" t="s">
        <v>36</v>
      </c>
      <c r="J851" s="22"/>
      <c r="K851" s="22"/>
      <c r="L851" s="22" t="s">
        <v>34</v>
      </c>
      <c r="M851" s="22" t="s">
        <v>34</v>
      </c>
      <c r="N851" s="22" t="s">
        <v>35</v>
      </c>
      <c r="O851" s="22" t="s">
        <v>35</v>
      </c>
      <c r="P851" s="22" t="s">
        <v>35</v>
      </c>
      <c r="Q851" s="22" t="s">
        <v>35</v>
      </c>
      <c r="R851" s="22" t="s">
        <v>35</v>
      </c>
      <c r="S851" s="22" t="s">
        <v>34</v>
      </c>
      <c r="T851" s="22"/>
      <c r="U851" s="22"/>
      <c r="V851" s="22"/>
      <c r="W851" s="22"/>
      <c r="X851" s="22" t="s">
        <v>35</v>
      </c>
      <c r="Y851" s="22"/>
      <c r="Z851" s="22"/>
      <c r="AA851" s="22"/>
      <c r="AB851" s="22"/>
      <c r="AC851" s="22" t="s">
        <v>1927</v>
      </c>
      <c r="AD851" s="22">
        <v>20170413</v>
      </c>
      <c r="AE851" s="22">
        <v>850</v>
      </c>
      <c r="AF851" s="22"/>
      <c r="AG851" s="22" t="str">
        <f>IFERROR(VLOOKUP(TblFeedFile[[#This Row],[Leave Type ]],LkupPayType[],2,FALSE),"TBD")</f>
        <v>Unpaid</v>
      </c>
      <c r="AH851" s="30" t="str">
        <f>IFERROR(VLOOKUP(TblFeedFile[[#This Row],[ Report Number ]],LkupPayrollCycle[],2,FALSE),"TBD")</f>
        <v>Bi-Weekly</v>
      </c>
      <c r="AI851" s="25" t="s">
        <v>35</v>
      </c>
      <c r="AJ851" s="25"/>
      <c r="AK851" s="2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1562"/>
  <sheetViews>
    <sheetView showGridLines="0" topLeftCell="V1" zoomScale="85" zoomScaleNormal="85" workbookViewId="0">
      <pane ySplit="1" topLeftCell="A2" activePane="bottomLeft" state="frozen"/>
      <selection pane="bottomLeft" activeCell="AH1" sqref="AH1"/>
    </sheetView>
  </sheetViews>
  <sheetFormatPr defaultRowHeight="15" x14ac:dyDescent="0.25"/>
  <cols>
    <col min="1" max="1" width="13.140625" customWidth="1"/>
    <col min="2" max="2" width="17" customWidth="1"/>
    <col min="3" max="3" width="24" customWidth="1"/>
    <col min="4" max="4" width="19.7109375" style="1" customWidth="1"/>
    <col min="5" max="5" width="14.85546875" bestFit="1" customWidth="1"/>
    <col min="6" max="6" width="23.42578125" bestFit="1" customWidth="1"/>
    <col min="7" max="7" width="17.7109375" customWidth="1"/>
    <col min="8" max="8" width="16.5703125" customWidth="1"/>
    <col min="9" max="9" width="36.7109375" bestFit="1" customWidth="1"/>
    <col min="10" max="10" width="21.7109375" customWidth="1"/>
    <col min="11" max="11" width="27" customWidth="1"/>
    <col min="12" max="12" width="26.28515625" customWidth="1"/>
    <col min="13" max="13" width="21.28515625" customWidth="1"/>
    <col min="14" max="14" width="22" customWidth="1"/>
    <col min="15" max="15" width="22.140625" customWidth="1"/>
    <col min="16" max="16" width="25" customWidth="1"/>
    <col min="17" max="17" width="22.85546875" customWidth="1"/>
    <col min="18" max="18" width="20.5703125" customWidth="1"/>
    <col min="19" max="19" width="22.7109375" customWidth="1"/>
    <col min="20" max="20" width="21" customWidth="1"/>
    <col min="21" max="21" width="20.85546875" customWidth="1"/>
    <col min="22" max="23" width="19" customWidth="1"/>
    <col min="24" max="24" width="23.7109375" customWidth="1"/>
    <col min="25" max="25" width="24.7109375" customWidth="1"/>
    <col min="26" max="26" width="22.85546875" customWidth="1"/>
    <col min="27" max="27" width="12.28515625" customWidth="1"/>
    <col min="28" max="28" width="11.28515625" customWidth="1"/>
    <col min="29" max="29" width="18.7109375" customWidth="1"/>
    <col min="32" max="32" width="7.85546875" customWidth="1"/>
    <col min="33" max="33" width="13.85546875" bestFit="1" customWidth="1"/>
  </cols>
  <sheetData>
    <row r="1" spans="1:34" x14ac:dyDescent="0.25">
      <c r="A1" t="s">
        <v>0</v>
      </c>
      <c r="B1" t="s">
        <v>1</v>
      </c>
      <c r="C1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s="4" t="s">
        <v>1877</v>
      </c>
      <c r="AE1" s="4" t="s">
        <v>1878</v>
      </c>
      <c r="AF1" s="4" t="s">
        <v>1875</v>
      </c>
      <c r="AG1" s="4" t="s">
        <v>1876</v>
      </c>
      <c r="AH1" t="s">
        <v>1879</v>
      </c>
    </row>
    <row r="2" spans="1:34" x14ac:dyDescent="0.25">
      <c r="A2" t="s">
        <v>29</v>
      </c>
      <c r="B2">
        <v>314301</v>
      </c>
      <c r="C2">
        <v>10007460</v>
      </c>
      <c r="D2" s="1" t="s">
        <v>30</v>
      </c>
      <c r="E2" t="s">
        <v>31</v>
      </c>
      <c r="F2" t="s">
        <v>32</v>
      </c>
      <c r="G2">
        <v>20170109</v>
      </c>
      <c r="H2">
        <v>20170109</v>
      </c>
      <c r="I2" t="s">
        <v>33</v>
      </c>
      <c r="L2" t="s">
        <v>34</v>
      </c>
      <c r="M2" t="s">
        <v>34</v>
      </c>
      <c r="N2" t="s">
        <v>35</v>
      </c>
      <c r="O2" t="s">
        <v>35</v>
      </c>
      <c r="P2" t="s">
        <v>35</v>
      </c>
      <c r="Q2" t="s">
        <v>35</v>
      </c>
      <c r="R2" t="s">
        <v>35</v>
      </c>
      <c r="S2" t="s">
        <v>34</v>
      </c>
      <c r="AC2" t="s">
        <v>35</v>
      </c>
      <c r="AD2">
        <v>20170124</v>
      </c>
      <c r="AF2" t="str">
        <f>IFERROR(VLOOKUP(RIGHT(TblFeedFile1[[#This Row],[Leave Type ]],6),LkupPayType[],2,FALSE),"TBD")</f>
        <v>TBD</v>
      </c>
      <c r="AG2" t="str">
        <f>IFERROR(VLOOKUP(TblFeedFile1[[#This Row],[ Report Number ]],LkupPayrollCycle[],2,FALSE),"TBD")</f>
        <v>Semi-Monthly</v>
      </c>
      <c r="AH2" t="str">
        <f>IF(TblFeedFile1[[#This Row],[Return to Work Date ]]="","","Y")</f>
        <v/>
      </c>
    </row>
    <row r="3" spans="1:34" x14ac:dyDescent="0.25">
      <c r="A3" t="s">
        <v>29</v>
      </c>
      <c r="B3">
        <v>314301</v>
      </c>
      <c r="C3">
        <v>10007460</v>
      </c>
      <c r="D3" s="1" t="s">
        <v>30</v>
      </c>
      <c r="E3" t="s">
        <v>31</v>
      </c>
      <c r="F3" t="s">
        <v>32</v>
      </c>
      <c r="G3">
        <v>20150102</v>
      </c>
      <c r="H3">
        <v>20170108</v>
      </c>
      <c r="I3" t="s">
        <v>36</v>
      </c>
      <c r="L3" t="s">
        <v>34</v>
      </c>
      <c r="M3" t="s">
        <v>34</v>
      </c>
      <c r="N3" t="s">
        <v>35</v>
      </c>
      <c r="O3" t="s">
        <v>35</v>
      </c>
      <c r="P3" t="s">
        <v>35</v>
      </c>
      <c r="Q3" t="s">
        <v>35</v>
      </c>
      <c r="R3" t="s">
        <v>35</v>
      </c>
      <c r="S3" t="s">
        <v>34</v>
      </c>
      <c r="AC3" t="s">
        <v>35</v>
      </c>
      <c r="AD3">
        <v>20170124</v>
      </c>
      <c r="AF3" t="str">
        <f>IFERROR(VLOOKUP(RIGHT(TblFeedFile1[[#This Row],[Leave Type ]],6),LkupPayType[],2,FALSE),"TBD")</f>
        <v>TBD</v>
      </c>
      <c r="AG3" t="str">
        <f>IFERROR(VLOOKUP(TblFeedFile1[[#This Row],[ Report Number ]],LkupPayrollCycle[],2,FALSE),"TBD")</f>
        <v>Semi-Monthly</v>
      </c>
      <c r="AH3" t="str">
        <f>IF(TblFeedFile1[[#This Row],[Return to Work Date ]]="","","Y")</f>
        <v/>
      </c>
    </row>
    <row r="4" spans="1:34" x14ac:dyDescent="0.25">
      <c r="A4" t="s">
        <v>37</v>
      </c>
      <c r="B4">
        <v>314307</v>
      </c>
      <c r="C4">
        <v>10007460</v>
      </c>
      <c r="D4" s="1" t="s">
        <v>30</v>
      </c>
      <c r="E4" t="s">
        <v>31</v>
      </c>
      <c r="F4" t="s">
        <v>32</v>
      </c>
      <c r="G4">
        <v>20150102</v>
      </c>
      <c r="H4">
        <v>20170507</v>
      </c>
      <c r="I4" t="s">
        <v>36</v>
      </c>
      <c r="L4" t="s">
        <v>34</v>
      </c>
      <c r="M4" t="s">
        <v>34</v>
      </c>
      <c r="N4" t="s">
        <v>35</v>
      </c>
      <c r="O4" t="s">
        <v>35</v>
      </c>
      <c r="P4" t="s">
        <v>35</v>
      </c>
      <c r="Q4" t="s">
        <v>35</v>
      </c>
      <c r="R4" t="s">
        <v>35</v>
      </c>
      <c r="S4" t="s">
        <v>34</v>
      </c>
      <c r="AC4" t="s">
        <v>35</v>
      </c>
      <c r="AD4">
        <v>20170124</v>
      </c>
      <c r="AF4" t="str">
        <f>IFERROR(VLOOKUP(RIGHT(TblFeedFile1[[#This Row],[Leave Type ]],6),LkupPayType[],2,FALSE),"TBD")</f>
        <v>TBD</v>
      </c>
      <c r="AG4" t="str">
        <f>IFERROR(VLOOKUP(TblFeedFile1[[#This Row],[ Report Number ]],LkupPayrollCycle[],2,FALSE),"TBD")</f>
        <v>Semi-Monthly</v>
      </c>
      <c r="AH4" t="str">
        <f>IF(TblFeedFile1[[#This Row],[Return to Work Date ]]="","","Y")</f>
        <v/>
      </c>
    </row>
    <row r="5" spans="1:34" x14ac:dyDescent="0.25">
      <c r="A5" t="s">
        <v>29</v>
      </c>
      <c r="B5">
        <v>314304</v>
      </c>
      <c r="C5">
        <v>10104320</v>
      </c>
      <c r="D5" s="1">
        <v>511701068369</v>
      </c>
      <c r="E5" t="s">
        <v>38</v>
      </c>
      <c r="F5" t="s">
        <v>39</v>
      </c>
      <c r="G5">
        <v>20170117</v>
      </c>
      <c r="H5">
        <v>20170214</v>
      </c>
      <c r="I5" t="s">
        <v>40</v>
      </c>
      <c r="L5" t="s">
        <v>34</v>
      </c>
      <c r="M5" t="s">
        <v>34</v>
      </c>
      <c r="N5" t="s">
        <v>35</v>
      </c>
      <c r="O5" t="s">
        <v>35</v>
      </c>
      <c r="P5" t="s">
        <v>35</v>
      </c>
      <c r="Q5" t="s">
        <v>35</v>
      </c>
      <c r="R5" t="s">
        <v>35</v>
      </c>
      <c r="S5" t="s">
        <v>34</v>
      </c>
      <c r="X5" t="s">
        <v>35</v>
      </c>
      <c r="AD5">
        <v>20170124</v>
      </c>
      <c r="AF5" t="str">
        <f>IFERROR(VLOOKUP(RIGHT(TblFeedFile1[[#This Row],[Leave Type ]],6),LkupPayType[],2,FALSE),"TBD")</f>
        <v>TBD</v>
      </c>
      <c r="AG5" t="str">
        <f>IFERROR(VLOOKUP(TblFeedFile1[[#This Row],[ Report Number ]],LkupPayrollCycle[],2,FALSE),"TBD")</f>
        <v>Bi-Weekly</v>
      </c>
      <c r="AH5" t="str">
        <f>IF(TblFeedFile1[[#This Row],[Return to Work Date ]]="","","Y")</f>
        <v/>
      </c>
    </row>
    <row r="6" spans="1:34" x14ac:dyDescent="0.25">
      <c r="A6" t="s">
        <v>37</v>
      </c>
      <c r="B6">
        <v>314304</v>
      </c>
      <c r="C6">
        <v>10104320</v>
      </c>
      <c r="D6" s="1">
        <v>511701068369</v>
      </c>
      <c r="E6" t="s">
        <v>38</v>
      </c>
      <c r="F6" t="s">
        <v>39</v>
      </c>
      <c r="G6">
        <v>20170117</v>
      </c>
      <c r="H6">
        <v>20170213</v>
      </c>
      <c r="I6" t="s">
        <v>40</v>
      </c>
      <c r="L6" t="s">
        <v>34</v>
      </c>
      <c r="M6" t="s">
        <v>34</v>
      </c>
      <c r="N6" t="s">
        <v>35</v>
      </c>
      <c r="O6" t="s">
        <v>35</v>
      </c>
      <c r="P6" t="s">
        <v>35</v>
      </c>
      <c r="Q6" t="s">
        <v>35</v>
      </c>
      <c r="R6" t="s">
        <v>35</v>
      </c>
      <c r="S6" t="s">
        <v>34</v>
      </c>
      <c r="X6" t="s">
        <v>35</v>
      </c>
      <c r="AD6">
        <v>20170124</v>
      </c>
      <c r="AF6" t="str">
        <f>IFERROR(VLOOKUP(RIGHT(TblFeedFile1[[#This Row],[Leave Type ]],6),LkupPayType[],2,FALSE),"TBD")</f>
        <v>TBD</v>
      </c>
      <c r="AG6" t="str">
        <f>IFERROR(VLOOKUP(TblFeedFile1[[#This Row],[ Report Number ]],LkupPayrollCycle[],2,FALSE),"TBD")</f>
        <v>Bi-Weekly</v>
      </c>
      <c r="AH6" t="str">
        <f>IF(TblFeedFile1[[#This Row],[Return to Work Date ]]="","","Y")</f>
        <v/>
      </c>
    </row>
    <row r="7" spans="1:34" x14ac:dyDescent="0.25">
      <c r="A7" t="s">
        <v>29</v>
      </c>
      <c r="B7">
        <v>314304</v>
      </c>
      <c r="C7">
        <v>10106677</v>
      </c>
      <c r="D7" s="1">
        <v>511701128409</v>
      </c>
      <c r="E7" t="s">
        <v>41</v>
      </c>
      <c r="F7" t="s">
        <v>42</v>
      </c>
      <c r="G7">
        <v>20170105</v>
      </c>
      <c r="H7">
        <v>20170105</v>
      </c>
      <c r="I7" t="s">
        <v>43</v>
      </c>
      <c r="L7" t="s">
        <v>34</v>
      </c>
      <c r="M7" t="s">
        <v>34</v>
      </c>
      <c r="N7" t="s">
        <v>35</v>
      </c>
      <c r="O7" t="s">
        <v>35</v>
      </c>
      <c r="P7" t="s">
        <v>35</v>
      </c>
      <c r="Q7" t="s">
        <v>35</v>
      </c>
      <c r="R7" t="s">
        <v>35</v>
      </c>
      <c r="S7" t="s">
        <v>34</v>
      </c>
      <c r="AD7">
        <v>20170124</v>
      </c>
      <c r="AF7" t="str">
        <f>IFERROR(VLOOKUP(RIGHT(TblFeedFile1[[#This Row],[Leave Type ]],6),LkupPayType[],2,FALSE),"TBD")</f>
        <v>TBD</v>
      </c>
      <c r="AG7" t="str">
        <f>IFERROR(VLOOKUP(TblFeedFile1[[#This Row],[ Report Number ]],LkupPayrollCycle[],2,FALSE),"TBD")</f>
        <v>Bi-Weekly</v>
      </c>
      <c r="AH7" t="str">
        <f>IF(TblFeedFile1[[#This Row],[Return to Work Date ]]="","","Y")</f>
        <v/>
      </c>
    </row>
    <row r="8" spans="1:34" x14ac:dyDescent="0.25">
      <c r="A8" t="s">
        <v>37</v>
      </c>
      <c r="B8">
        <v>314304</v>
      </c>
      <c r="C8">
        <v>10114653</v>
      </c>
      <c r="D8" s="1">
        <v>531701068513</v>
      </c>
      <c r="E8" t="s">
        <v>44</v>
      </c>
      <c r="F8" t="s">
        <v>45</v>
      </c>
      <c r="G8">
        <v>20170123</v>
      </c>
      <c r="H8">
        <v>20170303</v>
      </c>
      <c r="I8" t="s">
        <v>40</v>
      </c>
      <c r="L8" t="s">
        <v>34</v>
      </c>
      <c r="M8" t="s">
        <v>34</v>
      </c>
      <c r="N8" t="s">
        <v>35</v>
      </c>
      <c r="O8" t="s">
        <v>35</v>
      </c>
      <c r="P8" t="s">
        <v>35</v>
      </c>
      <c r="Q8" t="s">
        <v>35</v>
      </c>
      <c r="R8" t="s">
        <v>35</v>
      </c>
      <c r="S8" t="s">
        <v>34</v>
      </c>
      <c r="AD8">
        <v>20170124</v>
      </c>
      <c r="AF8" t="str">
        <f>IFERROR(VLOOKUP(RIGHT(TblFeedFile1[[#This Row],[Leave Type ]],6),LkupPayType[],2,FALSE),"TBD")</f>
        <v>TBD</v>
      </c>
      <c r="AG8" t="str">
        <f>IFERROR(VLOOKUP(TblFeedFile1[[#This Row],[ Report Number ]],LkupPayrollCycle[],2,FALSE),"TBD")</f>
        <v>Bi-Weekly</v>
      </c>
      <c r="AH8" t="str">
        <f>IF(TblFeedFile1[[#This Row],[Return to Work Date ]]="","","Y")</f>
        <v/>
      </c>
    </row>
    <row r="9" spans="1:34" x14ac:dyDescent="0.25">
      <c r="A9" t="s">
        <v>37</v>
      </c>
      <c r="B9">
        <v>314304</v>
      </c>
      <c r="C9">
        <v>10118819</v>
      </c>
      <c r="D9" s="1" t="s">
        <v>46</v>
      </c>
      <c r="E9" t="s">
        <v>47</v>
      </c>
      <c r="F9" t="s">
        <v>48</v>
      </c>
      <c r="G9">
        <v>20170123</v>
      </c>
      <c r="H9">
        <v>20170127</v>
      </c>
      <c r="I9" t="s">
        <v>49</v>
      </c>
      <c r="L9" t="s">
        <v>34</v>
      </c>
      <c r="M9" t="s">
        <v>34</v>
      </c>
      <c r="N9" t="s">
        <v>35</v>
      </c>
      <c r="O9" t="s">
        <v>35</v>
      </c>
      <c r="P9" t="s">
        <v>35</v>
      </c>
      <c r="Q9" t="s">
        <v>35</v>
      </c>
      <c r="R9" t="s">
        <v>35</v>
      </c>
      <c r="S9" t="s">
        <v>34</v>
      </c>
      <c r="AD9">
        <v>20170124</v>
      </c>
      <c r="AF9" t="str">
        <f>IFERROR(VLOOKUP(RIGHT(TblFeedFile1[[#This Row],[Leave Type ]],6),LkupPayType[],2,FALSE),"TBD")</f>
        <v>TBD</v>
      </c>
      <c r="AG9" t="str">
        <f>IFERROR(VLOOKUP(TblFeedFile1[[#This Row],[ Report Number ]],LkupPayrollCycle[],2,FALSE),"TBD")</f>
        <v>Bi-Weekly</v>
      </c>
      <c r="AH9" t="str">
        <f>IF(TblFeedFile1[[#This Row],[Return to Work Date ]]="","","Y")</f>
        <v/>
      </c>
    </row>
    <row r="10" spans="1:34" x14ac:dyDescent="0.25">
      <c r="A10" t="s">
        <v>29</v>
      </c>
      <c r="B10">
        <v>314304</v>
      </c>
      <c r="C10">
        <v>10127247</v>
      </c>
      <c r="D10" s="1" t="s">
        <v>50</v>
      </c>
      <c r="E10" t="s">
        <v>51</v>
      </c>
      <c r="F10" t="s">
        <v>52</v>
      </c>
      <c r="G10">
        <v>20170114</v>
      </c>
      <c r="H10">
        <v>20170114</v>
      </c>
      <c r="I10" t="s">
        <v>33</v>
      </c>
      <c r="L10" t="s">
        <v>34</v>
      </c>
      <c r="M10" t="s">
        <v>34</v>
      </c>
      <c r="N10" t="s">
        <v>35</v>
      </c>
      <c r="O10" t="s">
        <v>35</v>
      </c>
      <c r="P10" t="s">
        <v>35</v>
      </c>
      <c r="Q10" t="s">
        <v>35</v>
      </c>
      <c r="R10" t="s">
        <v>35</v>
      </c>
      <c r="S10" t="s">
        <v>34</v>
      </c>
      <c r="AD10">
        <v>20170124</v>
      </c>
      <c r="AF10" t="str">
        <f>IFERROR(VLOOKUP(RIGHT(TblFeedFile1[[#This Row],[Leave Type ]],6),LkupPayType[],2,FALSE),"TBD")</f>
        <v>TBD</v>
      </c>
      <c r="AG10" t="str">
        <f>IFERROR(VLOOKUP(TblFeedFile1[[#This Row],[ Report Number ]],LkupPayrollCycle[],2,FALSE),"TBD")</f>
        <v>Bi-Weekly</v>
      </c>
      <c r="AH10" t="str">
        <f>IF(TblFeedFile1[[#This Row],[Return to Work Date ]]="","","Y")</f>
        <v/>
      </c>
    </row>
    <row r="11" spans="1:34" x14ac:dyDescent="0.25">
      <c r="A11" t="s">
        <v>29</v>
      </c>
      <c r="B11">
        <v>314304</v>
      </c>
      <c r="C11">
        <v>10127247</v>
      </c>
      <c r="D11" s="1">
        <v>551701058325</v>
      </c>
      <c r="E11" t="s">
        <v>51</v>
      </c>
      <c r="F11" t="s">
        <v>52</v>
      </c>
      <c r="G11">
        <v>20170109</v>
      </c>
      <c r="H11">
        <v>20170118</v>
      </c>
      <c r="I11" t="s">
        <v>40</v>
      </c>
      <c r="L11" t="s">
        <v>34</v>
      </c>
      <c r="M11" t="s">
        <v>34</v>
      </c>
      <c r="N11" t="s">
        <v>35</v>
      </c>
      <c r="O11" t="s">
        <v>35</v>
      </c>
      <c r="P11" t="s">
        <v>35</v>
      </c>
      <c r="Q11" t="s">
        <v>35</v>
      </c>
      <c r="R11" t="s">
        <v>35</v>
      </c>
      <c r="S11" t="s">
        <v>34</v>
      </c>
      <c r="AD11">
        <v>20170124</v>
      </c>
      <c r="AF11" t="str">
        <f>IFERROR(VLOOKUP(RIGHT(TblFeedFile1[[#This Row],[Leave Type ]],6),LkupPayType[],2,FALSE),"TBD")</f>
        <v>TBD</v>
      </c>
      <c r="AG11" t="str">
        <f>IFERROR(VLOOKUP(TblFeedFile1[[#This Row],[ Report Number ]],LkupPayrollCycle[],2,FALSE),"TBD")</f>
        <v>Bi-Weekly</v>
      </c>
      <c r="AH11" t="str">
        <f>IF(TblFeedFile1[[#This Row],[Return to Work Date ]]="","","Y")</f>
        <v/>
      </c>
    </row>
    <row r="12" spans="1:34" x14ac:dyDescent="0.25">
      <c r="A12" t="s">
        <v>29</v>
      </c>
      <c r="B12">
        <v>314304</v>
      </c>
      <c r="C12">
        <v>10127247</v>
      </c>
      <c r="D12" s="1">
        <v>551701058325</v>
      </c>
      <c r="E12" t="s">
        <v>51</v>
      </c>
      <c r="F12" t="s">
        <v>52</v>
      </c>
      <c r="G12">
        <v>20170102</v>
      </c>
      <c r="H12">
        <v>20170118</v>
      </c>
      <c r="I12" t="s">
        <v>53</v>
      </c>
      <c r="L12" t="s">
        <v>34</v>
      </c>
      <c r="M12" t="s">
        <v>34</v>
      </c>
      <c r="N12" t="s">
        <v>35</v>
      </c>
      <c r="O12" t="s">
        <v>35</v>
      </c>
      <c r="P12" t="s">
        <v>35</v>
      </c>
      <c r="Q12" t="s">
        <v>35</v>
      </c>
      <c r="R12" t="s">
        <v>35</v>
      </c>
      <c r="S12" t="s">
        <v>34</v>
      </c>
      <c r="AD12">
        <v>20170124</v>
      </c>
      <c r="AF12" t="str">
        <f>IFERROR(VLOOKUP(RIGHT(TblFeedFile1[[#This Row],[Leave Type ]],6),LkupPayType[],2,FALSE),"TBD")</f>
        <v>TBD</v>
      </c>
      <c r="AG12" t="str">
        <f>IFERROR(VLOOKUP(TblFeedFile1[[#This Row],[ Report Number ]],LkupPayrollCycle[],2,FALSE),"TBD")</f>
        <v>Bi-Weekly</v>
      </c>
      <c r="AH12" t="str">
        <f>IF(TblFeedFile1[[#This Row],[Return to Work Date ]]="","","Y")</f>
        <v/>
      </c>
    </row>
    <row r="13" spans="1:34" x14ac:dyDescent="0.25">
      <c r="A13" t="s">
        <v>37</v>
      </c>
      <c r="B13">
        <v>314304</v>
      </c>
      <c r="C13">
        <v>10127247</v>
      </c>
      <c r="D13" s="1">
        <v>551701058325</v>
      </c>
      <c r="E13" t="s">
        <v>51</v>
      </c>
      <c r="F13" t="s">
        <v>52</v>
      </c>
      <c r="G13">
        <v>20170102</v>
      </c>
      <c r="H13">
        <v>20170102</v>
      </c>
      <c r="I13" t="s">
        <v>43</v>
      </c>
      <c r="L13" t="s">
        <v>34</v>
      </c>
      <c r="M13" t="s">
        <v>34</v>
      </c>
      <c r="N13" t="s">
        <v>35</v>
      </c>
      <c r="O13" t="s">
        <v>35</v>
      </c>
      <c r="P13" t="s">
        <v>35</v>
      </c>
      <c r="Q13" t="s">
        <v>35</v>
      </c>
      <c r="R13" t="s">
        <v>35</v>
      </c>
      <c r="S13" t="s">
        <v>34</v>
      </c>
      <c r="AD13">
        <v>20170124</v>
      </c>
      <c r="AF13" t="str">
        <f>IFERROR(VLOOKUP(RIGHT(TblFeedFile1[[#This Row],[Leave Type ]],6),LkupPayType[],2,FALSE),"TBD")</f>
        <v>TBD</v>
      </c>
      <c r="AG13" t="str">
        <f>IFERROR(VLOOKUP(TblFeedFile1[[#This Row],[ Report Number ]],LkupPayrollCycle[],2,FALSE),"TBD")</f>
        <v>Bi-Weekly</v>
      </c>
      <c r="AH13" t="str">
        <f>IF(TblFeedFile1[[#This Row],[Return to Work Date ]]="","","Y")</f>
        <v/>
      </c>
    </row>
    <row r="14" spans="1:34" x14ac:dyDescent="0.25">
      <c r="A14" t="s">
        <v>29</v>
      </c>
      <c r="B14">
        <v>314304</v>
      </c>
      <c r="C14">
        <v>10150592</v>
      </c>
      <c r="D14" s="1" t="s">
        <v>54</v>
      </c>
      <c r="E14" t="s">
        <v>55</v>
      </c>
      <c r="F14" t="s">
        <v>56</v>
      </c>
      <c r="G14">
        <v>20170106</v>
      </c>
      <c r="H14">
        <v>20170113</v>
      </c>
      <c r="I14" t="s">
        <v>36</v>
      </c>
      <c r="L14" t="s">
        <v>34</v>
      </c>
      <c r="M14" t="s">
        <v>34</v>
      </c>
      <c r="N14" t="s">
        <v>35</v>
      </c>
      <c r="O14" t="s">
        <v>35</v>
      </c>
      <c r="P14" t="s">
        <v>35</v>
      </c>
      <c r="Q14" t="s">
        <v>35</v>
      </c>
      <c r="R14" t="s">
        <v>35</v>
      </c>
      <c r="S14" t="s">
        <v>34</v>
      </c>
      <c r="AD14">
        <v>20170124</v>
      </c>
      <c r="AF14" t="str">
        <f>IFERROR(VLOOKUP(RIGHT(TblFeedFile1[[#This Row],[Leave Type ]],6),LkupPayType[],2,FALSE),"TBD")</f>
        <v>TBD</v>
      </c>
      <c r="AG14" t="str">
        <f>IFERROR(VLOOKUP(TblFeedFile1[[#This Row],[ Report Number ]],LkupPayrollCycle[],2,FALSE),"TBD")</f>
        <v>Bi-Weekly</v>
      </c>
      <c r="AH14" t="str">
        <f>IF(TblFeedFile1[[#This Row],[Return to Work Date ]]="","","Y")</f>
        <v/>
      </c>
    </row>
    <row r="15" spans="1:34" x14ac:dyDescent="0.25">
      <c r="A15" t="s">
        <v>37</v>
      </c>
      <c r="B15">
        <v>314304</v>
      </c>
      <c r="C15">
        <v>10157427</v>
      </c>
      <c r="D15" s="1">
        <v>561701178916</v>
      </c>
      <c r="E15" t="s">
        <v>57</v>
      </c>
      <c r="F15" t="s">
        <v>58</v>
      </c>
      <c r="G15">
        <v>20170124</v>
      </c>
      <c r="H15">
        <v>20170228</v>
      </c>
      <c r="I15" t="s">
        <v>40</v>
      </c>
      <c r="L15" t="s">
        <v>34</v>
      </c>
      <c r="M15" t="s">
        <v>34</v>
      </c>
      <c r="N15" t="s">
        <v>35</v>
      </c>
      <c r="O15" t="s">
        <v>35</v>
      </c>
      <c r="P15" t="s">
        <v>35</v>
      </c>
      <c r="Q15" t="s">
        <v>35</v>
      </c>
      <c r="R15" t="s">
        <v>35</v>
      </c>
      <c r="S15" t="s">
        <v>34</v>
      </c>
      <c r="AD15">
        <v>20170124</v>
      </c>
      <c r="AF15" t="str">
        <f>IFERROR(VLOOKUP(RIGHT(TblFeedFile1[[#This Row],[Leave Type ]],6),LkupPayType[],2,FALSE),"TBD")</f>
        <v>TBD</v>
      </c>
      <c r="AG15" t="str">
        <f>IFERROR(VLOOKUP(TblFeedFile1[[#This Row],[ Report Number ]],LkupPayrollCycle[],2,FALSE),"TBD")</f>
        <v>Bi-Weekly</v>
      </c>
      <c r="AH15" t="str">
        <f>IF(TblFeedFile1[[#This Row],[Return to Work Date ]]="","","Y")</f>
        <v/>
      </c>
    </row>
    <row r="16" spans="1:34" x14ac:dyDescent="0.25">
      <c r="A16" t="s">
        <v>29</v>
      </c>
      <c r="B16">
        <v>314305</v>
      </c>
      <c r="C16">
        <v>10161209</v>
      </c>
      <c r="D16" s="1" t="s">
        <v>59</v>
      </c>
      <c r="E16" t="s">
        <v>60</v>
      </c>
      <c r="F16" t="s">
        <v>61</v>
      </c>
      <c r="G16">
        <v>20160811</v>
      </c>
      <c r="H16">
        <v>20180209</v>
      </c>
      <c r="I16" t="s">
        <v>36</v>
      </c>
      <c r="L16" t="s">
        <v>34</v>
      </c>
      <c r="M16" t="s">
        <v>34</v>
      </c>
      <c r="N16" t="s">
        <v>35</v>
      </c>
      <c r="O16" t="s">
        <v>35</v>
      </c>
      <c r="P16" t="s">
        <v>35</v>
      </c>
      <c r="Q16" t="s">
        <v>35</v>
      </c>
      <c r="R16" t="s">
        <v>35</v>
      </c>
      <c r="S16" t="s">
        <v>34</v>
      </c>
      <c r="AC16" t="s">
        <v>35</v>
      </c>
      <c r="AD16">
        <v>20170124</v>
      </c>
      <c r="AF16" t="str">
        <f>IFERROR(VLOOKUP(RIGHT(TblFeedFile1[[#This Row],[Leave Type ]],6),LkupPayType[],2,FALSE),"TBD")</f>
        <v>TBD</v>
      </c>
      <c r="AG16" t="str">
        <f>IFERROR(VLOOKUP(TblFeedFile1[[#This Row],[ Report Number ]],LkupPayrollCycle[],2,FALSE),"TBD")</f>
        <v>Bi-Weekly</v>
      </c>
      <c r="AH16" t="str">
        <f>IF(TblFeedFile1[[#This Row],[Return to Work Date ]]="","","Y")</f>
        <v/>
      </c>
    </row>
    <row r="17" spans="1:34" x14ac:dyDescent="0.25">
      <c r="A17" t="s">
        <v>37</v>
      </c>
      <c r="B17">
        <v>314305</v>
      </c>
      <c r="C17">
        <v>10161209</v>
      </c>
      <c r="D17" s="1" t="s">
        <v>59</v>
      </c>
      <c r="E17" t="s">
        <v>60</v>
      </c>
      <c r="F17" t="s">
        <v>61</v>
      </c>
      <c r="G17">
        <v>20160811</v>
      </c>
      <c r="H17">
        <v>20180210</v>
      </c>
      <c r="I17" t="s">
        <v>36</v>
      </c>
      <c r="L17" t="s">
        <v>34</v>
      </c>
      <c r="M17" t="s">
        <v>34</v>
      </c>
      <c r="N17" t="s">
        <v>35</v>
      </c>
      <c r="O17" t="s">
        <v>35</v>
      </c>
      <c r="P17" t="s">
        <v>35</v>
      </c>
      <c r="Q17" t="s">
        <v>35</v>
      </c>
      <c r="R17" t="s">
        <v>35</v>
      </c>
      <c r="S17" t="s">
        <v>34</v>
      </c>
      <c r="AC17" t="s">
        <v>35</v>
      </c>
      <c r="AD17">
        <v>20170124</v>
      </c>
      <c r="AF17" t="str">
        <f>IFERROR(VLOOKUP(RIGHT(TblFeedFile1[[#This Row],[Leave Type ]],6),LkupPayType[],2,FALSE),"TBD")</f>
        <v>TBD</v>
      </c>
      <c r="AG17" t="str">
        <f>IFERROR(VLOOKUP(TblFeedFile1[[#This Row],[ Report Number ]],LkupPayrollCycle[],2,FALSE),"TBD")</f>
        <v>Bi-Weekly</v>
      </c>
      <c r="AH17" t="str">
        <f>IF(TblFeedFile1[[#This Row],[Return to Work Date ]]="","","Y")</f>
        <v/>
      </c>
    </row>
    <row r="18" spans="1:34" x14ac:dyDescent="0.25">
      <c r="A18" t="s">
        <v>37</v>
      </c>
      <c r="B18">
        <v>314304</v>
      </c>
      <c r="C18">
        <v>10175633</v>
      </c>
      <c r="D18" s="1" t="s">
        <v>62</v>
      </c>
      <c r="E18" t="s">
        <v>63</v>
      </c>
      <c r="F18" t="s">
        <v>64</v>
      </c>
      <c r="G18">
        <v>20160513</v>
      </c>
      <c r="H18">
        <v>20160715</v>
      </c>
      <c r="I18" t="s">
        <v>36</v>
      </c>
      <c r="L18" t="s">
        <v>34</v>
      </c>
      <c r="M18" t="s">
        <v>34</v>
      </c>
      <c r="N18" t="s">
        <v>35</v>
      </c>
      <c r="O18" t="s">
        <v>35</v>
      </c>
      <c r="P18" t="s">
        <v>35</v>
      </c>
      <c r="Q18" t="s">
        <v>35</v>
      </c>
      <c r="R18" t="s">
        <v>35</v>
      </c>
      <c r="S18" t="s">
        <v>34</v>
      </c>
      <c r="AD18">
        <v>20170124</v>
      </c>
      <c r="AF18" t="str">
        <f>IFERROR(VLOOKUP(RIGHT(TblFeedFile1[[#This Row],[Leave Type ]],6),LkupPayType[],2,FALSE),"TBD")</f>
        <v>TBD</v>
      </c>
      <c r="AG18" t="str">
        <f>IFERROR(VLOOKUP(TblFeedFile1[[#This Row],[ Report Number ]],LkupPayrollCycle[],2,FALSE),"TBD")</f>
        <v>Bi-Weekly</v>
      </c>
      <c r="AH18" t="str">
        <f>IF(TblFeedFile1[[#This Row],[Return to Work Date ]]="","","Y")</f>
        <v/>
      </c>
    </row>
    <row r="19" spans="1:34" x14ac:dyDescent="0.25">
      <c r="A19" t="s">
        <v>29</v>
      </c>
      <c r="B19">
        <v>314304</v>
      </c>
      <c r="C19">
        <v>10207123</v>
      </c>
      <c r="D19" s="1">
        <v>501701148838</v>
      </c>
      <c r="E19" t="s">
        <v>65</v>
      </c>
      <c r="F19" t="s">
        <v>66</v>
      </c>
      <c r="G19">
        <v>20170103</v>
      </c>
      <c r="H19">
        <v>20170205</v>
      </c>
      <c r="I19" t="s">
        <v>53</v>
      </c>
      <c r="L19" t="s">
        <v>34</v>
      </c>
      <c r="M19" t="s">
        <v>34</v>
      </c>
      <c r="N19" t="s">
        <v>35</v>
      </c>
      <c r="O19" t="s">
        <v>35</v>
      </c>
      <c r="P19" t="s">
        <v>35</v>
      </c>
      <c r="Q19" t="s">
        <v>35</v>
      </c>
      <c r="R19" t="s">
        <v>35</v>
      </c>
      <c r="S19" t="s">
        <v>34</v>
      </c>
      <c r="AD19">
        <v>20170124</v>
      </c>
      <c r="AF19" t="str">
        <f>IFERROR(VLOOKUP(RIGHT(TblFeedFile1[[#This Row],[Leave Type ]],6),LkupPayType[],2,FALSE),"TBD")</f>
        <v>TBD</v>
      </c>
      <c r="AG19" t="str">
        <f>IFERROR(VLOOKUP(TblFeedFile1[[#This Row],[ Report Number ]],LkupPayrollCycle[],2,FALSE),"TBD")</f>
        <v>Bi-Weekly</v>
      </c>
      <c r="AH19" t="str">
        <f>IF(TblFeedFile1[[#This Row],[Return to Work Date ]]="","","Y")</f>
        <v/>
      </c>
    </row>
    <row r="20" spans="1:34" x14ac:dyDescent="0.25">
      <c r="A20" t="s">
        <v>37</v>
      </c>
      <c r="B20">
        <v>314304</v>
      </c>
      <c r="C20">
        <v>10207123</v>
      </c>
      <c r="D20" s="1">
        <v>501701148838</v>
      </c>
      <c r="E20" t="s">
        <v>65</v>
      </c>
      <c r="F20" t="s">
        <v>66</v>
      </c>
      <c r="G20">
        <v>20170102</v>
      </c>
      <c r="H20">
        <v>20170102</v>
      </c>
      <c r="I20" t="s">
        <v>43</v>
      </c>
      <c r="L20" t="s">
        <v>34</v>
      </c>
      <c r="M20" t="s">
        <v>34</v>
      </c>
      <c r="N20" t="s">
        <v>35</v>
      </c>
      <c r="O20" t="s">
        <v>35</v>
      </c>
      <c r="P20" t="s">
        <v>35</v>
      </c>
      <c r="Q20" t="s">
        <v>35</v>
      </c>
      <c r="R20" t="s">
        <v>35</v>
      </c>
      <c r="S20" t="s">
        <v>34</v>
      </c>
      <c r="AD20">
        <v>20170124</v>
      </c>
      <c r="AF20" t="str">
        <f>IFERROR(VLOOKUP(RIGHT(TblFeedFile1[[#This Row],[Leave Type ]],6),LkupPayType[],2,FALSE),"TBD")</f>
        <v>TBD</v>
      </c>
      <c r="AG20" t="str">
        <f>IFERROR(VLOOKUP(TblFeedFile1[[#This Row],[ Report Number ]],LkupPayrollCycle[],2,FALSE),"TBD")</f>
        <v>Bi-Weekly</v>
      </c>
      <c r="AH20" t="str">
        <f>IF(TblFeedFile1[[#This Row],[Return to Work Date ]]="","","Y")</f>
        <v/>
      </c>
    </row>
    <row r="21" spans="1:34" x14ac:dyDescent="0.25">
      <c r="A21" t="s">
        <v>37</v>
      </c>
      <c r="B21">
        <v>314304</v>
      </c>
      <c r="C21">
        <v>10208094</v>
      </c>
      <c r="D21" s="1" t="s">
        <v>67</v>
      </c>
      <c r="E21" t="s">
        <v>68</v>
      </c>
      <c r="F21" t="s">
        <v>69</v>
      </c>
      <c r="G21">
        <v>20170119</v>
      </c>
      <c r="H21">
        <v>20170427</v>
      </c>
      <c r="I21" t="s">
        <v>36</v>
      </c>
      <c r="L21" t="s">
        <v>34</v>
      </c>
      <c r="M21" t="s">
        <v>34</v>
      </c>
      <c r="N21" t="s">
        <v>35</v>
      </c>
      <c r="O21" t="s">
        <v>35</v>
      </c>
      <c r="P21" t="s">
        <v>35</v>
      </c>
      <c r="Q21" t="s">
        <v>35</v>
      </c>
      <c r="R21" t="s">
        <v>35</v>
      </c>
      <c r="S21" t="s">
        <v>34</v>
      </c>
      <c r="AD21">
        <v>20170124</v>
      </c>
      <c r="AF21" t="str">
        <f>IFERROR(VLOOKUP(RIGHT(TblFeedFile1[[#This Row],[Leave Type ]],6),LkupPayType[],2,FALSE),"TBD")</f>
        <v>TBD</v>
      </c>
      <c r="AG21" t="str">
        <f>IFERROR(VLOOKUP(TblFeedFile1[[#This Row],[ Report Number ]],LkupPayrollCycle[],2,FALSE),"TBD")</f>
        <v>Bi-Weekly</v>
      </c>
      <c r="AH21" t="str">
        <f>IF(TblFeedFile1[[#This Row],[Return to Work Date ]]="","","Y")</f>
        <v/>
      </c>
    </row>
    <row r="22" spans="1:34" x14ac:dyDescent="0.25">
      <c r="A22" t="s">
        <v>37</v>
      </c>
      <c r="B22">
        <v>314304</v>
      </c>
      <c r="C22">
        <v>10225249</v>
      </c>
      <c r="D22" s="1">
        <v>501701238330</v>
      </c>
      <c r="E22" t="s">
        <v>70</v>
      </c>
      <c r="F22" t="s">
        <v>66</v>
      </c>
      <c r="G22">
        <v>20170123</v>
      </c>
      <c r="H22">
        <v>20170208</v>
      </c>
      <c r="I22" t="s">
        <v>53</v>
      </c>
      <c r="L22" t="s">
        <v>34</v>
      </c>
      <c r="M22" t="s">
        <v>34</v>
      </c>
      <c r="N22" t="s">
        <v>35</v>
      </c>
      <c r="O22" t="s">
        <v>35</v>
      </c>
      <c r="P22" t="s">
        <v>35</v>
      </c>
      <c r="Q22" t="s">
        <v>35</v>
      </c>
      <c r="R22" t="s">
        <v>35</v>
      </c>
      <c r="S22" t="s">
        <v>34</v>
      </c>
      <c r="AD22">
        <v>20170124</v>
      </c>
      <c r="AF22" t="str">
        <f>IFERROR(VLOOKUP(RIGHT(TblFeedFile1[[#This Row],[Leave Type ]],6),LkupPayType[],2,FALSE),"TBD")</f>
        <v>TBD</v>
      </c>
      <c r="AG22" t="str">
        <f>IFERROR(VLOOKUP(TblFeedFile1[[#This Row],[ Report Number ]],LkupPayrollCycle[],2,FALSE),"TBD")</f>
        <v>Bi-Weekly</v>
      </c>
      <c r="AH22" t="str">
        <f>IF(TblFeedFile1[[#This Row],[Return to Work Date ]]="","","Y")</f>
        <v/>
      </c>
    </row>
    <row r="23" spans="1:34" x14ac:dyDescent="0.25">
      <c r="A23" t="s">
        <v>37</v>
      </c>
      <c r="B23">
        <v>314304</v>
      </c>
      <c r="C23">
        <v>10230806</v>
      </c>
      <c r="D23" s="1">
        <v>511701058131</v>
      </c>
      <c r="E23" t="s">
        <v>71</v>
      </c>
      <c r="F23" t="s">
        <v>72</v>
      </c>
      <c r="G23">
        <v>20170124</v>
      </c>
      <c r="H23">
        <v>20170303</v>
      </c>
      <c r="I23" t="s">
        <v>40</v>
      </c>
      <c r="L23" t="s">
        <v>34</v>
      </c>
      <c r="M23" t="s">
        <v>34</v>
      </c>
      <c r="N23" t="s">
        <v>35</v>
      </c>
      <c r="O23" t="s">
        <v>35</v>
      </c>
      <c r="P23" t="s">
        <v>35</v>
      </c>
      <c r="Q23" t="s">
        <v>35</v>
      </c>
      <c r="R23" t="s">
        <v>35</v>
      </c>
      <c r="S23" t="s">
        <v>34</v>
      </c>
      <c r="AD23">
        <v>20170124</v>
      </c>
      <c r="AF23" t="str">
        <f>IFERROR(VLOOKUP(RIGHT(TblFeedFile1[[#This Row],[Leave Type ]],6),LkupPayType[],2,FALSE),"TBD")</f>
        <v>TBD</v>
      </c>
      <c r="AG23" t="str">
        <f>IFERROR(VLOOKUP(TblFeedFile1[[#This Row],[ Report Number ]],LkupPayrollCycle[],2,FALSE),"TBD")</f>
        <v>Bi-Weekly</v>
      </c>
      <c r="AH23" t="str">
        <f>IF(TblFeedFile1[[#This Row],[Return to Work Date ]]="","","Y")</f>
        <v/>
      </c>
    </row>
    <row r="24" spans="1:34" x14ac:dyDescent="0.25">
      <c r="A24" t="s">
        <v>37</v>
      </c>
      <c r="B24">
        <v>314304</v>
      </c>
      <c r="C24">
        <v>10234800</v>
      </c>
      <c r="D24" s="1">
        <v>551701178945</v>
      </c>
      <c r="E24" t="s">
        <v>73</v>
      </c>
      <c r="F24" t="s">
        <v>74</v>
      </c>
      <c r="G24">
        <v>20170123</v>
      </c>
      <c r="H24">
        <v>20170202</v>
      </c>
      <c r="I24" t="s">
        <v>40</v>
      </c>
      <c r="L24" t="s">
        <v>34</v>
      </c>
      <c r="M24" t="s">
        <v>34</v>
      </c>
      <c r="N24" t="s">
        <v>35</v>
      </c>
      <c r="O24" t="s">
        <v>35</v>
      </c>
      <c r="P24" t="s">
        <v>35</v>
      </c>
      <c r="Q24" t="s">
        <v>35</v>
      </c>
      <c r="R24" t="s">
        <v>35</v>
      </c>
      <c r="S24" t="s">
        <v>34</v>
      </c>
      <c r="AD24">
        <v>20170124</v>
      </c>
      <c r="AF24" t="str">
        <f>IFERROR(VLOOKUP(RIGHT(TblFeedFile1[[#This Row],[Leave Type ]],6),LkupPayType[],2,FALSE),"TBD")</f>
        <v>TBD</v>
      </c>
      <c r="AG24" t="str">
        <f>IFERROR(VLOOKUP(TblFeedFile1[[#This Row],[ Report Number ]],LkupPayrollCycle[],2,FALSE),"TBD")</f>
        <v>Bi-Weekly</v>
      </c>
      <c r="AH24" t="str">
        <f>IF(TblFeedFile1[[#This Row],[Return to Work Date ]]="","","Y")</f>
        <v/>
      </c>
    </row>
    <row r="25" spans="1:34" x14ac:dyDescent="0.25">
      <c r="A25" t="s">
        <v>29</v>
      </c>
      <c r="B25">
        <v>314304</v>
      </c>
      <c r="C25">
        <v>10235690</v>
      </c>
      <c r="D25" s="1">
        <v>511612278989</v>
      </c>
      <c r="E25" t="s">
        <v>75</v>
      </c>
      <c r="F25" t="s">
        <v>76</v>
      </c>
      <c r="G25">
        <v>20170118</v>
      </c>
      <c r="H25">
        <v>20170127</v>
      </c>
      <c r="I25" t="s">
        <v>40</v>
      </c>
      <c r="L25" t="s">
        <v>34</v>
      </c>
      <c r="M25" t="s">
        <v>34</v>
      </c>
      <c r="N25" t="s">
        <v>35</v>
      </c>
      <c r="O25" t="s">
        <v>35</v>
      </c>
      <c r="P25" t="s">
        <v>35</v>
      </c>
      <c r="Q25" t="s">
        <v>35</v>
      </c>
      <c r="R25" t="s">
        <v>35</v>
      </c>
      <c r="S25" t="s">
        <v>34</v>
      </c>
      <c r="T25">
        <v>20170117</v>
      </c>
      <c r="AD25">
        <v>20170124</v>
      </c>
      <c r="AF25" t="str">
        <f>IFERROR(VLOOKUP(RIGHT(TblFeedFile1[[#This Row],[Leave Type ]],6),LkupPayType[],2,FALSE),"TBD")</f>
        <v>TBD</v>
      </c>
      <c r="AG25" t="str">
        <f>IFERROR(VLOOKUP(TblFeedFile1[[#This Row],[ Report Number ]],LkupPayrollCycle[],2,FALSE),"TBD")</f>
        <v>Bi-Weekly</v>
      </c>
      <c r="AH25" t="str">
        <f>IF(TblFeedFile1[[#This Row],[Return to Work Date ]]="","","Y")</f>
        <v>Y</v>
      </c>
    </row>
    <row r="26" spans="1:34" x14ac:dyDescent="0.25">
      <c r="A26" t="s">
        <v>29</v>
      </c>
      <c r="B26">
        <v>314304</v>
      </c>
      <c r="C26">
        <v>10235690</v>
      </c>
      <c r="D26" s="1">
        <v>511612278989</v>
      </c>
      <c r="E26" t="s">
        <v>75</v>
      </c>
      <c r="F26" t="s">
        <v>76</v>
      </c>
      <c r="G26">
        <v>20170111</v>
      </c>
      <c r="H26">
        <v>20170131</v>
      </c>
      <c r="I26" t="s">
        <v>53</v>
      </c>
      <c r="L26" t="s">
        <v>34</v>
      </c>
      <c r="M26" t="s">
        <v>34</v>
      </c>
      <c r="N26" t="s">
        <v>35</v>
      </c>
      <c r="O26" t="s">
        <v>35</v>
      </c>
      <c r="P26" t="s">
        <v>35</v>
      </c>
      <c r="Q26" t="s">
        <v>35</v>
      </c>
      <c r="R26" t="s">
        <v>35</v>
      </c>
      <c r="S26" t="s">
        <v>34</v>
      </c>
      <c r="AD26">
        <v>20170124</v>
      </c>
      <c r="AF26" t="str">
        <f>IFERROR(VLOOKUP(RIGHT(TblFeedFile1[[#This Row],[Leave Type ]],6),LkupPayType[],2,FALSE),"TBD")</f>
        <v>TBD</v>
      </c>
      <c r="AG26" t="str">
        <f>IFERROR(VLOOKUP(TblFeedFile1[[#This Row],[ Report Number ]],LkupPayrollCycle[],2,FALSE),"TBD")</f>
        <v>Bi-Weekly</v>
      </c>
      <c r="AH26" t="str">
        <f>IF(TblFeedFile1[[#This Row],[Return to Work Date ]]="","","Y")</f>
        <v/>
      </c>
    </row>
    <row r="27" spans="1:34" x14ac:dyDescent="0.25">
      <c r="A27" t="s">
        <v>37</v>
      </c>
      <c r="B27">
        <v>314304</v>
      </c>
      <c r="C27">
        <v>10235690</v>
      </c>
      <c r="D27" s="1" t="s">
        <v>77</v>
      </c>
      <c r="E27" t="s">
        <v>75</v>
      </c>
      <c r="F27" t="s">
        <v>76</v>
      </c>
      <c r="G27">
        <v>20170111</v>
      </c>
      <c r="H27">
        <v>20170116</v>
      </c>
      <c r="I27" t="s">
        <v>78</v>
      </c>
      <c r="K27" t="s">
        <v>79</v>
      </c>
      <c r="L27" t="s">
        <v>34</v>
      </c>
      <c r="M27" t="s">
        <v>34</v>
      </c>
      <c r="N27" t="s">
        <v>35</v>
      </c>
      <c r="O27" t="s">
        <v>35</v>
      </c>
      <c r="P27" t="s">
        <v>35</v>
      </c>
      <c r="Q27" t="s">
        <v>35</v>
      </c>
      <c r="R27" t="s">
        <v>35</v>
      </c>
      <c r="S27" t="s">
        <v>34</v>
      </c>
      <c r="T27">
        <v>20170117</v>
      </c>
      <c r="AD27">
        <v>20170124</v>
      </c>
      <c r="AF27" t="str">
        <f>IFERROR(VLOOKUP(RIGHT(TblFeedFile1[[#This Row],[Leave Type ]],6),LkupPayType[],2,FALSE),"TBD")</f>
        <v>TBD</v>
      </c>
      <c r="AG27" t="str">
        <f>IFERROR(VLOOKUP(TblFeedFile1[[#This Row],[ Report Number ]],LkupPayrollCycle[],2,FALSE),"TBD")</f>
        <v>Bi-Weekly</v>
      </c>
      <c r="AH27" t="str">
        <f>IF(TblFeedFile1[[#This Row],[Return to Work Date ]]="","","Y")</f>
        <v>Y</v>
      </c>
    </row>
    <row r="28" spans="1:34" x14ac:dyDescent="0.25">
      <c r="A28" t="s">
        <v>37</v>
      </c>
      <c r="B28">
        <v>314304</v>
      </c>
      <c r="C28">
        <v>10237338</v>
      </c>
      <c r="D28" s="1">
        <v>501701208968</v>
      </c>
      <c r="E28" t="s">
        <v>80</v>
      </c>
      <c r="F28" t="s">
        <v>81</v>
      </c>
      <c r="G28">
        <v>20170103</v>
      </c>
      <c r="H28">
        <v>20170301</v>
      </c>
      <c r="I28" t="s">
        <v>53</v>
      </c>
      <c r="L28" t="s">
        <v>34</v>
      </c>
      <c r="M28" t="s">
        <v>34</v>
      </c>
      <c r="N28" t="s">
        <v>35</v>
      </c>
      <c r="O28" t="s">
        <v>35</v>
      </c>
      <c r="P28" t="s">
        <v>35</v>
      </c>
      <c r="Q28" t="s">
        <v>35</v>
      </c>
      <c r="R28" t="s">
        <v>35</v>
      </c>
      <c r="S28" t="s">
        <v>34</v>
      </c>
      <c r="AD28">
        <v>20170124</v>
      </c>
      <c r="AF28" t="str">
        <f>IFERROR(VLOOKUP(RIGHT(TblFeedFile1[[#This Row],[Leave Type ]],6),LkupPayType[],2,FALSE),"TBD")</f>
        <v>TBD</v>
      </c>
      <c r="AG28" t="str">
        <f>IFERROR(VLOOKUP(TblFeedFile1[[#This Row],[ Report Number ]],LkupPayrollCycle[],2,FALSE),"TBD")</f>
        <v>Bi-Weekly</v>
      </c>
      <c r="AH28" t="str">
        <f>IF(TblFeedFile1[[#This Row],[Return to Work Date ]]="","","Y")</f>
        <v/>
      </c>
    </row>
    <row r="29" spans="1:34" x14ac:dyDescent="0.25">
      <c r="A29" t="s">
        <v>37</v>
      </c>
      <c r="B29">
        <v>314304</v>
      </c>
      <c r="C29">
        <v>10237338</v>
      </c>
      <c r="D29" s="1">
        <v>501701208968</v>
      </c>
      <c r="E29" t="s">
        <v>80</v>
      </c>
      <c r="F29" t="s">
        <v>81</v>
      </c>
      <c r="G29">
        <v>20170110</v>
      </c>
      <c r="H29">
        <v>20170301</v>
      </c>
      <c r="I29" t="s">
        <v>40</v>
      </c>
      <c r="L29" t="s">
        <v>34</v>
      </c>
      <c r="M29" t="s">
        <v>34</v>
      </c>
      <c r="N29" t="s">
        <v>35</v>
      </c>
      <c r="O29" t="s">
        <v>35</v>
      </c>
      <c r="P29" t="s">
        <v>35</v>
      </c>
      <c r="Q29" t="s">
        <v>35</v>
      </c>
      <c r="R29" t="s">
        <v>35</v>
      </c>
      <c r="S29" t="s">
        <v>34</v>
      </c>
      <c r="AD29">
        <v>20170124</v>
      </c>
      <c r="AF29" t="str">
        <f>IFERROR(VLOOKUP(RIGHT(TblFeedFile1[[#This Row],[Leave Type ]],6),LkupPayType[],2,FALSE),"TBD")</f>
        <v>TBD</v>
      </c>
      <c r="AG29" t="str">
        <f>IFERROR(VLOOKUP(TblFeedFile1[[#This Row],[ Report Number ]],LkupPayrollCycle[],2,FALSE),"TBD")</f>
        <v>Bi-Weekly</v>
      </c>
      <c r="AH29" t="str">
        <f>IF(TblFeedFile1[[#This Row],[Return to Work Date ]]="","","Y")</f>
        <v/>
      </c>
    </row>
    <row r="30" spans="1:34" x14ac:dyDescent="0.25">
      <c r="A30" t="s">
        <v>29</v>
      </c>
      <c r="B30">
        <v>314301</v>
      </c>
      <c r="C30">
        <v>10250662</v>
      </c>
      <c r="D30" s="1">
        <v>541701068484</v>
      </c>
      <c r="E30" t="s">
        <v>82</v>
      </c>
      <c r="F30" t="s">
        <v>83</v>
      </c>
      <c r="G30">
        <v>20170116</v>
      </c>
      <c r="H30">
        <v>20170203</v>
      </c>
      <c r="I30" t="s">
        <v>40</v>
      </c>
      <c r="L30" t="s">
        <v>34</v>
      </c>
      <c r="M30" t="s">
        <v>34</v>
      </c>
      <c r="N30" t="s">
        <v>35</v>
      </c>
      <c r="O30" t="s">
        <v>35</v>
      </c>
      <c r="P30" t="s">
        <v>35</v>
      </c>
      <c r="Q30" t="s">
        <v>35</v>
      </c>
      <c r="R30" t="s">
        <v>35</v>
      </c>
      <c r="S30" t="s">
        <v>34</v>
      </c>
      <c r="AD30">
        <v>20170124</v>
      </c>
      <c r="AF30" t="str">
        <f>IFERROR(VLOOKUP(RIGHT(TblFeedFile1[[#This Row],[Leave Type ]],6),LkupPayType[],2,FALSE),"TBD")</f>
        <v>TBD</v>
      </c>
      <c r="AG30" t="str">
        <f>IFERROR(VLOOKUP(TblFeedFile1[[#This Row],[ Report Number ]],LkupPayrollCycle[],2,FALSE),"TBD")</f>
        <v>Semi-Monthly</v>
      </c>
      <c r="AH30" t="str">
        <f>IF(TblFeedFile1[[#This Row],[Return to Work Date ]]="","","Y")</f>
        <v/>
      </c>
    </row>
    <row r="31" spans="1:34" x14ac:dyDescent="0.25">
      <c r="A31" t="s">
        <v>29</v>
      </c>
      <c r="B31">
        <v>314301</v>
      </c>
      <c r="C31">
        <v>10250662</v>
      </c>
      <c r="D31" s="1">
        <v>541701068484</v>
      </c>
      <c r="E31" t="s">
        <v>82</v>
      </c>
      <c r="F31" t="s">
        <v>83</v>
      </c>
      <c r="G31">
        <v>20170109</v>
      </c>
      <c r="H31">
        <v>20170203</v>
      </c>
      <c r="I31" t="s">
        <v>53</v>
      </c>
      <c r="L31" t="s">
        <v>34</v>
      </c>
      <c r="M31" t="s">
        <v>34</v>
      </c>
      <c r="N31" t="s">
        <v>35</v>
      </c>
      <c r="O31" t="s">
        <v>35</v>
      </c>
      <c r="P31" t="s">
        <v>35</v>
      </c>
      <c r="Q31" t="s">
        <v>35</v>
      </c>
      <c r="R31" t="s">
        <v>35</v>
      </c>
      <c r="S31" t="s">
        <v>34</v>
      </c>
      <c r="AD31">
        <v>20170124</v>
      </c>
      <c r="AF31" t="str">
        <f>IFERROR(VLOOKUP(RIGHT(TblFeedFile1[[#This Row],[Leave Type ]],6),LkupPayType[],2,FALSE),"TBD")</f>
        <v>TBD</v>
      </c>
      <c r="AG31" t="str">
        <f>IFERROR(VLOOKUP(TblFeedFile1[[#This Row],[ Report Number ]],LkupPayrollCycle[],2,FALSE),"TBD")</f>
        <v>Semi-Monthly</v>
      </c>
      <c r="AH31" t="str">
        <f>IF(TblFeedFile1[[#This Row],[Return to Work Date ]]="","","Y")</f>
        <v/>
      </c>
    </row>
    <row r="32" spans="1:34" x14ac:dyDescent="0.25">
      <c r="A32" t="s">
        <v>37</v>
      </c>
      <c r="B32">
        <v>314301</v>
      </c>
      <c r="C32">
        <v>10250662</v>
      </c>
      <c r="D32" s="1">
        <v>541701068484</v>
      </c>
      <c r="E32" t="s">
        <v>82</v>
      </c>
      <c r="F32" t="s">
        <v>83</v>
      </c>
      <c r="G32">
        <v>20170103</v>
      </c>
      <c r="H32">
        <v>20170703</v>
      </c>
      <c r="I32" t="s">
        <v>53</v>
      </c>
      <c r="L32" t="s">
        <v>34</v>
      </c>
      <c r="M32" t="s">
        <v>34</v>
      </c>
      <c r="N32" t="s">
        <v>35</v>
      </c>
      <c r="O32" t="s">
        <v>35</v>
      </c>
      <c r="P32" t="s">
        <v>35</v>
      </c>
      <c r="Q32" t="s">
        <v>35</v>
      </c>
      <c r="R32" t="s">
        <v>35</v>
      </c>
      <c r="S32" t="s">
        <v>34</v>
      </c>
      <c r="AD32">
        <v>20170124</v>
      </c>
      <c r="AF32" t="str">
        <f>IFERROR(VLOOKUP(RIGHT(TblFeedFile1[[#This Row],[Leave Type ]],6),LkupPayType[],2,FALSE),"TBD")</f>
        <v>TBD</v>
      </c>
      <c r="AG32" t="str">
        <f>IFERROR(VLOOKUP(TblFeedFile1[[#This Row],[ Report Number ]],LkupPayrollCycle[],2,FALSE),"TBD")</f>
        <v>Semi-Monthly</v>
      </c>
      <c r="AH32" t="str">
        <f>IF(TblFeedFile1[[#This Row],[Return to Work Date ]]="","","Y")</f>
        <v/>
      </c>
    </row>
    <row r="33" spans="1:34" x14ac:dyDescent="0.25">
      <c r="A33" t="s">
        <v>37</v>
      </c>
      <c r="B33">
        <v>314301</v>
      </c>
      <c r="C33">
        <v>10250662</v>
      </c>
      <c r="D33" s="1">
        <v>541701068484</v>
      </c>
      <c r="E33" t="s">
        <v>82</v>
      </c>
      <c r="F33" t="s">
        <v>83</v>
      </c>
      <c r="G33">
        <v>20170110</v>
      </c>
      <c r="H33">
        <v>20170703</v>
      </c>
      <c r="I33" t="s">
        <v>40</v>
      </c>
      <c r="L33" t="s">
        <v>34</v>
      </c>
      <c r="M33" t="s">
        <v>34</v>
      </c>
      <c r="N33" t="s">
        <v>35</v>
      </c>
      <c r="O33" t="s">
        <v>35</v>
      </c>
      <c r="P33" t="s">
        <v>35</v>
      </c>
      <c r="Q33" t="s">
        <v>35</v>
      </c>
      <c r="R33" t="s">
        <v>35</v>
      </c>
      <c r="S33" t="s">
        <v>34</v>
      </c>
      <c r="AD33">
        <v>20170124</v>
      </c>
      <c r="AF33" t="str">
        <f>IFERROR(VLOOKUP(RIGHT(TblFeedFile1[[#This Row],[Leave Type ]],6),LkupPayType[],2,FALSE),"TBD")</f>
        <v>TBD</v>
      </c>
      <c r="AG33" t="str">
        <f>IFERROR(VLOOKUP(TblFeedFile1[[#This Row],[ Report Number ]],LkupPayrollCycle[],2,FALSE),"TBD")</f>
        <v>Semi-Monthly</v>
      </c>
      <c r="AH33" t="str">
        <f>IF(TblFeedFile1[[#This Row],[Return to Work Date ]]="","","Y")</f>
        <v/>
      </c>
    </row>
    <row r="34" spans="1:34" x14ac:dyDescent="0.25">
      <c r="A34" t="s">
        <v>37</v>
      </c>
      <c r="B34">
        <v>314301</v>
      </c>
      <c r="C34">
        <v>10254570</v>
      </c>
      <c r="D34" s="1">
        <v>511701068581</v>
      </c>
      <c r="E34" t="s">
        <v>84</v>
      </c>
      <c r="F34" t="s">
        <v>85</v>
      </c>
      <c r="G34">
        <v>20170123</v>
      </c>
      <c r="H34">
        <v>20170523</v>
      </c>
      <c r="I34" t="s">
        <v>53</v>
      </c>
      <c r="L34" t="s">
        <v>34</v>
      </c>
      <c r="M34" t="s">
        <v>34</v>
      </c>
      <c r="N34" t="s">
        <v>35</v>
      </c>
      <c r="O34" t="s">
        <v>35</v>
      </c>
      <c r="P34" t="s">
        <v>35</v>
      </c>
      <c r="Q34" t="s">
        <v>35</v>
      </c>
      <c r="R34" t="s">
        <v>35</v>
      </c>
      <c r="S34" t="s">
        <v>34</v>
      </c>
      <c r="AD34">
        <v>20170124</v>
      </c>
      <c r="AF34" t="str">
        <f>IFERROR(VLOOKUP(RIGHT(TblFeedFile1[[#This Row],[Leave Type ]],6),LkupPayType[],2,FALSE),"TBD")</f>
        <v>TBD</v>
      </c>
      <c r="AG34" t="str">
        <f>IFERROR(VLOOKUP(TblFeedFile1[[#This Row],[ Report Number ]],LkupPayrollCycle[],2,FALSE),"TBD")</f>
        <v>Semi-Monthly</v>
      </c>
      <c r="AH34" t="str">
        <f>IF(TblFeedFile1[[#This Row],[Return to Work Date ]]="","","Y")</f>
        <v/>
      </c>
    </row>
    <row r="35" spans="1:34" x14ac:dyDescent="0.25">
      <c r="A35" t="s">
        <v>37</v>
      </c>
      <c r="B35">
        <v>314301</v>
      </c>
      <c r="C35">
        <v>10254570</v>
      </c>
      <c r="D35" s="1">
        <v>511701068581</v>
      </c>
      <c r="E35" t="s">
        <v>84</v>
      </c>
      <c r="F35" t="s">
        <v>85</v>
      </c>
      <c r="G35">
        <v>20170130</v>
      </c>
      <c r="H35">
        <v>20170523</v>
      </c>
      <c r="I35" t="s">
        <v>40</v>
      </c>
      <c r="L35" t="s">
        <v>34</v>
      </c>
      <c r="M35" t="s">
        <v>34</v>
      </c>
      <c r="N35" t="s">
        <v>35</v>
      </c>
      <c r="O35" t="s">
        <v>35</v>
      </c>
      <c r="P35" t="s">
        <v>35</v>
      </c>
      <c r="Q35" t="s">
        <v>35</v>
      </c>
      <c r="R35" t="s">
        <v>35</v>
      </c>
      <c r="S35" t="s">
        <v>34</v>
      </c>
      <c r="AD35">
        <v>20170124</v>
      </c>
      <c r="AF35" t="str">
        <f>IFERROR(VLOOKUP(RIGHT(TblFeedFile1[[#This Row],[Leave Type ]],6),LkupPayType[],2,FALSE),"TBD")</f>
        <v>TBD</v>
      </c>
      <c r="AG35" t="str">
        <f>IFERROR(VLOOKUP(TblFeedFile1[[#This Row],[ Report Number ]],LkupPayrollCycle[],2,FALSE),"TBD")</f>
        <v>Semi-Monthly</v>
      </c>
      <c r="AH35" t="str">
        <f>IF(TblFeedFile1[[#This Row],[Return to Work Date ]]="","","Y")</f>
        <v/>
      </c>
    </row>
    <row r="36" spans="1:34" x14ac:dyDescent="0.25">
      <c r="A36" t="s">
        <v>29</v>
      </c>
      <c r="B36">
        <v>314304</v>
      </c>
      <c r="C36">
        <v>10254645</v>
      </c>
      <c r="D36" s="1" t="s">
        <v>86</v>
      </c>
      <c r="E36" t="s">
        <v>87</v>
      </c>
      <c r="F36" t="s">
        <v>88</v>
      </c>
      <c r="G36">
        <v>20161121</v>
      </c>
      <c r="H36">
        <v>20161121</v>
      </c>
      <c r="I36" t="s">
        <v>43</v>
      </c>
      <c r="L36" t="s">
        <v>34</v>
      </c>
      <c r="M36" t="s">
        <v>34</v>
      </c>
      <c r="N36" t="s">
        <v>35</v>
      </c>
      <c r="O36" t="s">
        <v>35</v>
      </c>
      <c r="P36" t="s">
        <v>35</v>
      </c>
      <c r="Q36" t="s">
        <v>35</v>
      </c>
      <c r="R36" t="s">
        <v>35</v>
      </c>
      <c r="S36" t="s">
        <v>34</v>
      </c>
      <c r="AC36" t="s">
        <v>35</v>
      </c>
      <c r="AD36">
        <v>20170124</v>
      </c>
      <c r="AF36" t="str">
        <f>IFERROR(VLOOKUP(RIGHT(TblFeedFile1[[#This Row],[Leave Type ]],6),LkupPayType[],2,FALSE),"TBD")</f>
        <v>TBD</v>
      </c>
      <c r="AG36" t="str">
        <f>IFERROR(VLOOKUP(TblFeedFile1[[#This Row],[ Report Number ]],LkupPayrollCycle[],2,FALSE),"TBD")</f>
        <v>Bi-Weekly</v>
      </c>
      <c r="AH36" t="str">
        <f>IF(TblFeedFile1[[#This Row],[Return to Work Date ]]="","","Y")</f>
        <v/>
      </c>
    </row>
    <row r="37" spans="1:34" x14ac:dyDescent="0.25">
      <c r="A37" t="s">
        <v>37</v>
      </c>
      <c r="B37">
        <v>314304</v>
      </c>
      <c r="C37">
        <v>10254645</v>
      </c>
      <c r="D37" s="1" t="s">
        <v>86</v>
      </c>
      <c r="E37" t="s">
        <v>87</v>
      </c>
      <c r="F37" t="s">
        <v>88</v>
      </c>
      <c r="G37">
        <v>20161118</v>
      </c>
      <c r="H37">
        <v>20170120</v>
      </c>
      <c r="I37" t="s">
        <v>36</v>
      </c>
      <c r="L37" t="s">
        <v>34</v>
      </c>
      <c r="M37" t="s">
        <v>34</v>
      </c>
      <c r="N37" t="s">
        <v>35</v>
      </c>
      <c r="O37" t="s">
        <v>35</v>
      </c>
      <c r="P37" t="s">
        <v>35</v>
      </c>
      <c r="Q37" t="s">
        <v>35</v>
      </c>
      <c r="R37" t="s">
        <v>35</v>
      </c>
      <c r="S37" t="s">
        <v>34</v>
      </c>
      <c r="T37">
        <v>20170123</v>
      </c>
      <c r="AC37" t="s">
        <v>35</v>
      </c>
      <c r="AD37">
        <v>20170124</v>
      </c>
      <c r="AF37" t="str">
        <f>IFERROR(VLOOKUP(RIGHT(TblFeedFile1[[#This Row],[Leave Type ]],6),LkupPayType[],2,FALSE),"TBD")</f>
        <v>TBD</v>
      </c>
      <c r="AG37" t="str">
        <f>IFERROR(VLOOKUP(TblFeedFile1[[#This Row],[ Report Number ]],LkupPayrollCycle[],2,FALSE),"TBD")</f>
        <v>Bi-Weekly</v>
      </c>
      <c r="AH37" t="str">
        <f>IF(TblFeedFile1[[#This Row],[Return to Work Date ]]="","","Y")</f>
        <v>Y</v>
      </c>
    </row>
    <row r="38" spans="1:34" x14ac:dyDescent="0.25">
      <c r="A38" t="s">
        <v>37</v>
      </c>
      <c r="B38">
        <v>314305</v>
      </c>
      <c r="C38">
        <v>10255239</v>
      </c>
      <c r="D38" s="1">
        <v>571701238347</v>
      </c>
      <c r="E38" t="s">
        <v>89</v>
      </c>
      <c r="F38" t="s">
        <v>90</v>
      </c>
      <c r="G38">
        <v>20170115</v>
      </c>
      <c r="I38" t="s">
        <v>53</v>
      </c>
      <c r="L38" t="s">
        <v>34</v>
      </c>
      <c r="M38" t="s">
        <v>34</v>
      </c>
      <c r="N38" t="s">
        <v>35</v>
      </c>
      <c r="O38" t="s">
        <v>35</v>
      </c>
      <c r="P38" t="s">
        <v>35</v>
      </c>
      <c r="Q38" t="s">
        <v>35</v>
      </c>
      <c r="R38" t="s">
        <v>35</v>
      </c>
      <c r="S38" t="s">
        <v>34</v>
      </c>
      <c r="AD38">
        <v>20170124</v>
      </c>
      <c r="AF38" t="str">
        <f>IFERROR(VLOOKUP(RIGHT(TblFeedFile1[[#This Row],[Leave Type ]],6),LkupPayType[],2,FALSE),"TBD")</f>
        <v>TBD</v>
      </c>
      <c r="AG38" t="str">
        <f>IFERROR(VLOOKUP(TblFeedFile1[[#This Row],[ Report Number ]],LkupPayrollCycle[],2,FALSE),"TBD")</f>
        <v>Bi-Weekly</v>
      </c>
      <c r="AH38" t="str">
        <f>IF(TblFeedFile1[[#This Row],[Return to Work Date ]]="","","Y")</f>
        <v/>
      </c>
    </row>
    <row r="39" spans="1:34" x14ac:dyDescent="0.25">
      <c r="A39" t="s">
        <v>37</v>
      </c>
      <c r="B39">
        <v>314305</v>
      </c>
      <c r="C39">
        <v>10255239</v>
      </c>
      <c r="D39" s="1" t="s">
        <v>91</v>
      </c>
      <c r="E39" t="s">
        <v>89</v>
      </c>
      <c r="F39" t="s">
        <v>90</v>
      </c>
      <c r="G39">
        <v>20170116</v>
      </c>
      <c r="H39">
        <v>20170329</v>
      </c>
      <c r="I39" t="s">
        <v>78</v>
      </c>
      <c r="K39" t="s">
        <v>79</v>
      </c>
      <c r="L39" t="s">
        <v>34</v>
      </c>
      <c r="M39" t="s">
        <v>34</v>
      </c>
      <c r="N39" t="s">
        <v>35</v>
      </c>
      <c r="O39" t="s">
        <v>35</v>
      </c>
      <c r="P39" t="s">
        <v>35</v>
      </c>
      <c r="Q39" t="s">
        <v>35</v>
      </c>
      <c r="R39" t="s">
        <v>35</v>
      </c>
      <c r="S39" t="s">
        <v>34</v>
      </c>
      <c r="AD39">
        <v>20170124</v>
      </c>
      <c r="AF39" t="str">
        <f>IFERROR(VLOOKUP(RIGHT(TblFeedFile1[[#This Row],[Leave Type ]],6),LkupPayType[],2,FALSE),"TBD")</f>
        <v>TBD</v>
      </c>
      <c r="AG39" t="str">
        <f>IFERROR(VLOOKUP(TblFeedFile1[[#This Row],[ Report Number ]],LkupPayrollCycle[],2,FALSE),"TBD")</f>
        <v>Bi-Weekly</v>
      </c>
      <c r="AH39" t="str">
        <f>IF(TblFeedFile1[[#This Row],[Return to Work Date ]]="","","Y")</f>
        <v/>
      </c>
    </row>
    <row r="40" spans="1:34" x14ac:dyDescent="0.25">
      <c r="A40" t="s">
        <v>29</v>
      </c>
      <c r="B40">
        <v>314304</v>
      </c>
      <c r="C40">
        <v>10262699</v>
      </c>
      <c r="D40" s="1">
        <v>561701118366</v>
      </c>
      <c r="E40" t="s">
        <v>92</v>
      </c>
      <c r="F40" t="s">
        <v>93</v>
      </c>
      <c r="G40">
        <v>20170118</v>
      </c>
      <c r="H40">
        <v>20170203</v>
      </c>
      <c r="I40" t="s">
        <v>40</v>
      </c>
      <c r="L40" t="s">
        <v>34</v>
      </c>
      <c r="M40" t="s">
        <v>34</v>
      </c>
      <c r="N40" t="s">
        <v>34</v>
      </c>
      <c r="O40" t="s">
        <v>35</v>
      </c>
      <c r="P40" t="s">
        <v>35</v>
      </c>
      <c r="Q40" t="s">
        <v>35</v>
      </c>
      <c r="R40" t="s">
        <v>35</v>
      </c>
      <c r="S40" t="s">
        <v>35</v>
      </c>
      <c r="AD40">
        <v>20170124</v>
      </c>
      <c r="AF40" t="str">
        <f>IFERROR(VLOOKUP(RIGHT(TblFeedFile1[[#This Row],[Leave Type ]],6),LkupPayType[],2,FALSE),"TBD")</f>
        <v>TBD</v>
      </c>
      <c r="AG40" t="str">
        <f>IFERROR(VLOOKUP(TblFeedFile1[[#This Row],[ Report Number ]],LkupPayrollCycle[],2,FALSE),"TBD")</f>
        <v>Bi-Weekly</v>
      </c>
      <c r="AH40" t="str">
        <f>IF(TblFeedFile1[[#This Row],[Return to Work Date ]]="","","Y")</f>
        <v/>
      </c>
    </row>
    <row r="41" spans="1:34" x14ac:dyDescent="0.25">
      <c r="A41" t="s">
        <v>37</v>
      </c>
      <c r="B41">
        <v>314304</v>
      </c>
      <c r="C41">
        <v>10262699</v>
      </c>
      <c r="D41" s="1">
        <v>561701118366</v>
      </c>
      <c r="E41" t="s">
        <v>92</v>
      </c>
      <c r="F41" t="s">
        <v>93</v>
      </c>
      <c r="G41">
        <v>20170118</v>
      </c>
      <c r="H41">
        <v>20170211</v>
      </c>
      <c r="I41" t="s">
        <v>40</v>
      </c>
      <c r="L41" t="s">
        <v>34</v>
      </c>
      <c r="M41" t="s">
        <v>34</v>
      </c>
      <c r="N41" t="s">
        <v>34</v>
      </c>
      <c r="O41" t="s">
        <v>35</v>
      </c>
      <c r="P41" t="s">
        <v>35</v>
      </c>
      <c r="Q41" t="s">
        <v>35</v>
      </c>
      <c r="R41" t="s">
        <v>35</v>
      </c>
      <c r="S41" t="s">
        <v>35</v>
      </c>
      <c r="AD41">
        <v>20170124</v>
      </c>
      <c r="AF41" t="str">
        <f>IFERROR(VLOOKUP(RIGHT(TblFeedFile1[[#This Row],[Leave Type ]],6),LkupPayType[],2,FALSE),"TBD")</f>
        <v>TBD</v>
      </c>
      <c r="AG41" t="str">
        <f>IFERROR(VLOOKUP(TblFeedFile1[[#This Row],[ Report Number ]],LkupPayrollCycle[],2,FALSE),"TBD")</f>
        <v>Bi-Weekly</v>
      </c>
      <c r="AH41" t="str">
        <f>IF(TblFeedFile1[[#This Row],[Return to Work Date ]]="","","Y")</f>
        <v/>
      </c>
    </row>
    <row r="42" spans="1:34" x14ac:dyDescent="0.25">
      <c r="A42" t="s">
        <v>37</v>
      </c>
      <c r="B42">
        <v>314304</v>
      </c>
      <c r="C42">
        <v>10273957</v>
      </c>
      <c r="D42" s="1" t="s">
        <v>94</v>
      </c>
      <c r="E42" t="s">
        <v>95</v>
      </c>
      <c r="F42" t="s">
        <v>96</v>
      </c>
      <c r="G42">
        <v>20170124</v>
      </c>
      <c r="H42">
        <v>20170221</v>
      </c>
      <c r="I42" t="s">
        <v>36</v>
      </c>
      <c r="L42" t="s">
        <v>34</v>
      </c>
      <c r="M42" t="s">
        <v>34</v>
      </c>
      <c r="N42" t="s">
        <v>35</v>
      </c>
      <c r="O42" t="s">
        <v>35</v>
      </c>
      <c r="P42" t="s">
        <v>35</v>
      </c>
      <c r="Q42" t="s">
        <v>35</v>
      </c>
      <c r="R42" t="s">
        <v>35</v>
      </c>
      <c r="S42" t="s">
        <v>34</v>
      </c>
      <c r="AD42">
        <v>20170124</v>
      </c>
      <c r="AF42" t="str">
        <f>IFERROR(VLOOKUP(RIGHT(TblFeedFile1[[#This Row],[Leave Type ]],6),LkupPayType[],2,FALSE),"TBD")</f>
        <v>TBD</v>
      </c>
      <c r="AG42" t="str">
        <f>IFERROR(VLOOKUP(TblFeedFile1[[#This Row],[ Report Number ]],LkupPayrollCycle[],2,FALSE),"TBD")</f>
        <v>Bi-Weekly</v>
      </c>
      <c r="AH42" t="str">
        <f>IF(TblFeedFile1[[#This Row],[Return to Work Date ]]="","","Y")</f>
        <v/>
      </c>
    </row>
    <row r="43" spans="1:34" x14ac:dyDescent="0.25">
      <c r="A43" t="s">
        <v>29</v>
      </c>
      <c r="B43">
        <v>314304</v>
      </c>
      <c r="C43">
        <v>10290275</v>
      </c>
      <c r="D43" s="1" t="s">
        <v>97</v>
      </c>
      <c r="E43" t="s">
        <v>98</v>
      </c>
      <c r="F43" t="s">
        <v>99</v>
      </c>
      <c r="G43">
        <v>20150504</v>
      </c>
      <c r="H43">
        <v>20150505</v>
      </c>
      <c r="I43" t="s">
        <v>36</v>
      </c>
      <c r="L43" t="s">
        <v>34</v>
      </c>
      <c r="M43" t="s">
        <v>34</v>
      </c>
      <c r="N43" t="s">
        <v>35</v>
      </c>
      <c r="O43" t="s">
        <v>35</v>
      </c>
      <c r="P43" t="s">
        <v>35</v>
      </c>
      <c r="Q43" t="s">
        <v>35</v>
      </c>
      <c r="R43" t="s">
        <v>35</v>
      </c>
      <c r="S43" t="s">
        <v>34</v>
      </c>
      <c r="AC43" t="s">
        <v>35</v>
      </c>
      <c r="AD43">
        <v>20170124</v>
      </c>
      <c r="AF43" t="str">
        <f>IFERROR(VLOOKUP(RIGHT(TblFeedFile1[[#This Row],[Leave Type ]],6),LkupPayType[],2,FALSE),"TBD")</f>
        <v>TBD</v>
      </c>
      <c r="AG43" t="str">
        <f>IFERROR(VLOOKUP(TblFeedFile1[[#This Row],[ Report Number ]],LkupPayrollCycle[],2,FALSE),"TBD")</f>
        <v>Bi-Weekly</v>
      </c>
      <c r="AH43" t="str">
        <f>IF(TblFeedFile1[[#This Row],[Return to Work Date ]]="","","Y")</f>
        <v/>
      </c>
    </row>
    <row r="44" spans="1:34" x14ac:dyDescent="0.25">
      <c r="A44" t="s">
        <v>37</v>
      </c>
      <c r="B44">
        <v>314304</v>
      </c>
      <c r="C44">
        <v>10290275</v>
      </c>
      <c r="D44" s="1" t="s">
        <v>97</v>
      </c>
      <c r="E44" t="s">
        <v>98</v>
      </c>
      <c r="F44" t="s">
        <v>99</v>
      </c>
      <c r="G44">
        <v>20150313</v>
      </c>
      <c r="H44">
        <v>20150505</v>
      </c>
      <c r="I44" t="s">
        <v>36</v>
      </c>
      <c r="L44" t="s">
        <v>34</v>
      </c>
      <c r="M44" t="s">
        <v>34</v>
      </c>
      <c r="N44" t="s">
        <v>35</v>
      </c>
      <c r="O44" t="s">
        <v>35</v>
      </c>
      <c r="P44" t="s">
        <v>35</v>
      </c>
      <c r="Q44" t="s">
        <v>35</v>
      </c>
      <c r="R44" t="s">
        <v>35</v>
      </c>
      <c r="S44" t="s">
        <v>34</v>
      </c>
      <c r="AD44">
        <v>20170124</v>
      </c>
      <c r="AF44" t="str">
        <f>IFERROR(VLOOKUP(RIGHT(TblFeedFile1[[#This Row],[Leave Type ]],6),LkupPayType[],2,FALSE),"TBD")</f>
        <v>TBD</v>
      </c>
      <c r="AG44" t="str">
        <f>IFERROR(VLOOKUP(TblFeedFile1[[#This Row],[ Report Number ]],LkupPayrollCycle[],2,FALSE),"TBD")</f>
        <v>Bi-Weekly</v>
      </c>
      <c r="AH44" t="str">
        <f>IF(TblFeedFile1[[#This Row],[Return to Work Date ]]="","","Y")</f>
        <v/>
      </c>
    </row>
    <row r="45" spans="1:34" x14ac:dyDescent="0.25">
      <c r="A45" t="s">
        <v>37</v>
      </c>
      <c r="B45">
        <v>314304</v>
      </c>
      <c r="C45">
        <v>10291082</v>
      </c>
      <c r="D45" s="1">
        <v>571701248567</v>
      </c>
      <c r="E45" t="s">
        <v>100</v>
      </c>
      <c r="F45" t="s">
        <v>101</v>
      </c>
      <c r="G45">
        <v>20170115</v>
      </c>
      <c r="I45" t="s">
        <v>53</v>
      </c>
      <c r="L45" t="s">
        <v>35</v>
      </c>
      <c r="AD45">
        <v>20170124</v>
      </c>
      <c r="AF45" t="str">
        <f>IFERROR(VLOOKUP(RIGHT(TblFeedFile1[[#This Row],[Leave Type ]],6),LkupPayType[],2,FALSE),"TBD")</f>
        <v>TBD</v>
      </c>
      <c r="AG45" t="str">
        <f>IFERROR(VLOOKUP(TblFeedFile1[[#This Row],[ Report Number ]],LkupPayrollCycle[],2,FALSE),"TBD")</f>
        <v>Bi-Weekly</v>
      </c>
      <c r="AH45" t="str">
        <f>IF(TblFeedFile1[[#This Row],[Return to Work Date ]]="","","Y")</f>
        <v/>
      </c>
    </row>
    <row r="46" spans="1:34" x14ac:dyDescent="0.25">
      <c r="A46" t="s">
        <v>37</v>
      </c>
      <c r="B46">
        <v>314304</v>
      </c>
      <c r="C46">
        <v>10291082</v>
      </c>
      <c r="D46" s="1" t="s">
        <v>102</v>
      </c>
      <c r="E46" t="s">
        <v>100</v>
      </c>
      <c r="F46" t="s">
        <v>101</v>
      </c>
      <c r="G46">
        <v>20170123</v>
      </c>
      <c r="H46">
        <v>20170515</v>
      </c>
      <c r="I46" t="s">
        <v>78</v>
      </c>
      <c r="K46" t="s">
        <v>79</v>
      </c>
      <c r="L46" t="s">
        <v>35</v>
      </c>
      <c r="AD46">
        <v>20170124</v>
      </c>
      <c r="AF46" t="str">
        <f>IFERROR(VLOOKUP(RIGHT(TblFeedFile1[[#This Row],[Leave Type ]],6),LkupPayType[],2,FALSE),"TBD")</f>
        <v>TBD</v>
      </c>
      <c r="AG46" t="str">
        <f>IFERROR(VLOOKUP(TblFeedFile1[[#This Row],[ Report Number ]],LkupPayrollCycle[],2,FALSE),"TBD")</f>
        <v>Bi-Weekly</v>
      </c>
      <c r="AH46" t="str">
        <f>IF(TblFeedFile1[[#This Row],[Return to Work Date ]]="","","Y")</f>
        <v/>
      </c>
    </row>
    <row r="47" spans="1:34" x14ac:dyDescent="0.25">
      <c r="A47" t="s">
        <v>37</v>
      </c>
      <c r="B47">
        <v>314304</v>
      </c>
      <c r="C47">
        <v>10294256</v>
      </c>
      <c r="D47" s="1">
        <v>511701248591</v>
      </c>
      <c r="E47" t="s">
        <v>103</v>
      </c>
      <c r="F47" t="s">
        <v>104</v>
      </c>
      <c r="G47">
        <v>20170114</v>
      </c>
      <c r="I47" t="s">
        <v>53</v>
      </c>
      <c r="L47" t="s">
        <v>34</v>
      </c>
      <c r="M47" t="s">
        <v>34</v>
      </c>
      <c r="N47" t="s">
        <v>35</v>
      </c>
      <c r="O47" t="s">
        <v>35</v>
      </c>
      <c r="P47" t="s">
        <v>35</v>
      </c>
      <c r="Q47" t="s">
        <v>35</v>
      </c>
      <c r="R47" t="s">
        <v>35</v>
      </c>
      <c r="S47" t="s">
        <v>34</v>
      </c>
      <c r="AD47">
        <v>20170124</v>
      </c>
      <c r="AF47" t="str">
        <f>IFERROR(VLOOKUP(RIGHT(TblFeedFile1[[#This Row],[Leave Type ]],6),LkupPayType[],2,FALSE),"TBD")</f>
        <v>TBD</v>
      </c>
      <c r="AG47" t="str">
        <f>IFERROR(VLOOKUP(TblFeedFile1[[#This Row],[ Report Number ]],LkupPayrollCycle[],2,FALSE),"TBD")</f>
        <v>Bi-Weekly</v>
      </c>
      <c r="AH47" t="str">
        <f>IF(TblFeedFile1[[#This Row],[Return to Work Date ]]="","","Y")</f>
        <v/>
      </c>
    </row>
    <row r="48" spans="1:34" x14ac:dyDescent="0.25">
      <c r="A48" t="s">
        <v>37</v>
      </c>
      <c r="B48">
        <v>314304</v>
      </c>
      <c r="C48">
        <v>10294256</v>
      </c>
      <c r="D48" s="1" t="s">
        <v>105</v>
      </c>
      <c r="E48" t="s">
        <v>103</v>
      </c>
      <c r="F48" t="s">
        <v>104</v>
      </c>
      <c r="G48">
        <v>20170116</v>
      </c>
      <c r="H48">
        <v>20170317</v>
      </c>
      <c r="I48" t="s">
        <v>78</v>
      </c>
      <c r="K48" t="s">
        <v>79</v>
      </c>
      <c r="L48" t="s">
        <v>34</v>
      </c>
      <c r="M48" t="s">
        <v>34</v>
      </c>
      <c r="N48" t="s">
        <v>35</v>
      </c>
      <c r="O48" t="s">
        <v>35</v>
      </c>
      <c r="P48" t="s">
        <v>35</v>
      </c>
      <c r="Q48" t="s">
        <v>35</v>
      </c>
      <c r="R48" t="s">
        <v>35</v>
      </c>
      <c r="S48" t="s">
        <v>34</v>
      </c>
      <c r="AD48">
        <v>20170124</v>
      </c>
      <c r="AF48" t="str">
        <f>IFERROR(VLOOKUP(RIGHT(TblFeedFile1[[#This Row],[Leave Type ]],6),LkupPayType[],2,FALSE),"TBD")</f>
        <v>TBD</v>
      </c>
      <c r="AG48" t="str">
        <f>IFERROR(VLOOKUP(TblFeedFile1[[#This Row],[ Report Number ]],LkupPayrollCycle[],2,FALSE),"TBD")</f>
        <v>Bi-Weekly</v>
      </c>
      <c r="AH48" t="str">
        <f>IF(TblFeedFile1[[#This Row],[Return to Work Date ]]="","","Y")</f>
        <v/>
      </c>
    </row>
    <row r="49" spans="1:34" x14ac:dyDescent="0.25">
      <c r="A49" t="s">
        <v>37</v>
      </c>
      <c r="B49">
        <v>314305</v>
      </c>
      <c r="C49">
        <v>10306504</v>
      </c>
      <c r="D49" s="1" t="s">
        <v>106</v>
      </c>
      <c r="E49" t="s">
        <v>107</v>
      </c>
      <c r="F49" t="s">
        <v>108</v>
      </c>
      <c r="G49">
        <v>20170124</v>
      </c>
      <c r="H49">
        <v>20170124</v>
      </c>
      <c r="I49" t="s">
        <v>43</v>
      </c>
      <c r="L49" t="s">
        <v>34</v>
      </c>
      <c r="M49" t="s">
        <v>34</v>
      </c>
      <c r="N49" t="s">
        <v>35</v>
      </c>
      <c r="O49" t="s">
        <v>35</v>
      </c>
      <c r="P49" t="s">
        <v>35</v>
      </c>
      <c r="Q49" t="s">
        <v>35</v>
      </c>
      <c r="R49" t="s">
        <v>35</v>
      </c>
      <c r="S49" t="s">
        <v>34</v>
      </c>
      <c r="AD49">
        <v>20170124</v>
      </c>
      <c r="AF49" t="str">
        <f>IFERROR(VLOOKUP(RIGHT(TblFeedFile1[[#This Row],[Leave Type ]],6),LkupPayType[],2,FALSE),"TBD")</f>
        <v>TBD</v>
      </c>
      <c r="AG49" t="str">
        <f>IFERROR(VLOOKUP(TblFeedFile1[[#This Row],[ Report Number ]],LkupPayrollCycle[],2,FALSE),"TBD")</f>
        <v>Bi-Weekly</v>
      </c>
      <c r="AH49" t="str">
        <f>IF(TblFeedFile1[[#This Row],[Return to Work Date ]]="","","Y")</f>
        <v/>
      </c>
    </row>
    <row r="50" spans="1:34" x14ac:dyDescent="0.25">
      <c r="A50" t="s">
        <v>37</v>
      </c>
      <c r="B50">
        <v>314304</v>
      </c>
      <c r="C50">
        <v>10312509</v>
      </c>
      <c r="D50" s="1">
        <v>501701238078</v>
      </c>
      <c r="E50" t="s">
        <v>109</v>
      </c>
      <c r="F50" t="s">
        <v>110</v>
      </c>
      <c r="G50">
        <v>20170123</v>
      </c>
      <c r="H50">
        <v>20170303</v>
      </c>
      <c r="I50" t="s">
        <v>53</v>
      </c>
      <c r="L50" t="s">
        <v>34</v>
      </c>
      <c r="M50" t="s">
        <v>34</v>
      </c>
      <c r="N50" t="s">
        <v>35</v>
      </c>
      <c r="O50" t="s">
        <v>35</v>
      </c>
      <c r="P50" t="s">
        <v>35</v>
      </c>
      <c r="Q50" t="s">
        <v>35</v>
      </c>
      <c r="R50" t="s">
        <v>35</v>
      </c>
      <c r="S50" t="s">
        <v>34</v>
      </c>
      <c r="AD50">
        <v>20170124</v>
      </c>
      <c r="AF50" t="str">
        <f>IFERROR(VLOOKUP(RIGHT(TblFeedFile1[[#This Row],[Leave Type ]],6),LkupPayType[],2,FALSE),"TBD")</f>
        <v>TBD</v>
      </c>
      <c r="AG50" t="str">
        <f>IFERROR(VLOOKUP(TblFeedFile1[[#This Row],[ Report Number ]],LkupPayrollCycle[],2,FALSE),"TBD")</f>
        <v>Bi-Weekly</v>
      </c>
      <c r="AH50" t="str">
        <f>IF(TblFeedFile1[[#This Row],[Return to Work Date ]]="","","Y")</f>
        <v/>
      </c>
    </row>
    <row r="51" spans="1:34" x14ac:dyDescent="0.25">
      <c r="A51" t="s">
        <v>29</v>
      </c>
      <c r="B51">
        <v>314304</v>
      </c>
      <c r="C51">
        <v>10312671</v>
      </c>
      <c r="D51" s="1" t="s">
        <v>111</v>
      </c>
      <c r="E51" t="s">
        <v>112</v>
      </c>
      <c r="F51" t="s">
        <v>113</v>
      </c>
      <c r="G51">
        <v>20170119</v>
      </c>
      <c r="H51">
        <v>20170303</v>
      </c>
      <c r="I51" t="s">
        <v>36</v>
      </c>
      <c r="L51" t="s">
        <v>34</v>
      </c>
      <c r="M51" t="s">
        <v>34</v>
      </c>
      <c r="N51" t="s">
        <v>35</v>
      </c>
      <c r="O51" t="s">
        <v>35</v>
      </c>
      <c r="P51" t="s">
        <v>35</v>
      </c>
      <c r="Q51" t="s">
        <v>35</v>
      </c>
      <c r="R51" t="s">
        <v>35</v>
      </c>
      <c r="S51" t="s">
        <v>34</v>
      </c>
      <c r="AD51">
        <v>20170124</v>
      </c>
      <c r="AF51" t="str">
        <f>IFERROR(VLOOKUP(RIGHT(TblFeedFile1[[#This Row],[Leave Type ]],6),LkupPayType[],2,FALSE),"TBD")</f>
        <v>TBD</v>
      </c>
      <c r="AG51" t="str">
        <f>IFERROR(VLOOKUP(TblFeedFile1[[#This Row],[ Report Number ]],LkupPayrollCycle[],2,FALSE),"TBD")</f>
        <v>Bi-Weekly</v>
      </c>
      <c r="AH51" t="str">
        <f>IF(TblFeedFile1[[#This Row],[Return to Work Date ]]="","","Y")</f>
        <v/>
      </c>
    </row>
    <row r="52" spans="1:34" x14ac:dyDescent="0.25">
      <c r="A52" t="s">
        <v>37</v>
      </c>
      <c r="B52">
        <v>314304</v>
      </c>
      <c r="C52">
        <v>10312671</v>
      </c>
      <c r="D52" s="1" t="s">
        <v>111</v>
      </c>
      <c r="E52" t="s">
        <v>112</v>
      </c>
      <c r="F52" t="s">
        <v>113</v>
      </c>
      <c r="G52">
        <v>20170119</v>
      </c>
      <c r="H52">
        <v>20170303</v>
      </c>
      <c r="I52" t="s">
        <v>78</v>
      </c>
      <c r="K52" t="s">
        <v>79</v>
      </c>
      <c r="L52" t="s">
        <v>34</v>
      </c>
      <c r="M52" t="s">
        <v>34</v>
      </c>
      <c r="N52" t="s">
        <v>35</v>
      </c>
      <c r="O52" t="s">
        <v>35</v>
      </c>
      <c r="P52" t="s">
        <v>35</v>
      </c>
      <c r="Q52" t="s">
        <v>35</v>
      </c>
      <c r="R52" t="s">
        <v>35</v>
      </c>
      <c r="S52" t="s">
        <v>34</v>
      </c>
      <c r="AD52">
        <v>20170124</v>
      </c>
      <c r="AF52" t="str">
        <f>IFERROR(VLOOKUP(RIGHT(TblFeedFile1[[#This Row],[Leave Type ]],6),LkupPayType[],2,FALSE),"TBD")</f>
        <v>TBD</v>
      </c>
      <c r="AG52" t="str">
        <f>IFERROR(VLOOKUP(TblFeedFile1[[#This Row],[ Report Number ]],LkupPayrollCycle[],2,FALSE),"TBD")</f>
        <v>Bi-Weekly</v>
      </c>
      <c r="AH52" t="str">
        <f>IF(TblFeedFile1[[#This Row],[Return to Work Date ]]="","","Y")</f>
        <v/>
      </c>
    </row>
    <row r="53" spans="1:34" x14ac:dyDescent="0.25">
      <c r="A53" t="s">
        <v>37</v>
      </c>
      <c r="B53">
        <v>314304</v>
      </c>
      <c r="C53">
        <v>10312671</v>
      </c>
      <c r="D53" s="1">
        <v>511701218061</v>
      </c>
      <c r="E53" t="s">
        <v>112</v>
      </c>
      <c r="F53" t="s">
        <v>113</v>
      </c>
      <c r="G53">
        <v>20170120</v>
      </c>
      <c r="H53">
        <v>20170303</v>
      </c>
      <c r="I53" t="s">
        <v>53</v>
      </c>
      <c r="L53" t="s">
        <v>34</v>
      </c>
      <c r="M53" t="s">
        <v>34</v>
      </c>
      <c r="N53" t="s">
        <v>35</v>
      </c>
      <c r="O53" t="s">
        <v>35</v>
      </c>
      <c r="P53" t="s">
        <v>35</v>
      </c>
      <c r="Q53" t="s">
        <v>35</v>
      </c>
      <c r="R53" t="s">
        <v>35</v>
      </c>
      <c r="S53" t="s">
        <v>34</v>
      </c>
      <c r="AD53">
        <v>20170124</v>
      </c>
      <c r="AF53" t="str">
        <f>IFERROR(VLOOKUP(RIGHT(TblFeedFile1[[#This Row],[Leave Type ]],6),LkupPayType[],2,FALSE),"TBD")</f>
        <v>TBD</v>
      </c>
      <c r="AG53" t="str">
        <f>IFERROR(VLOOKUP(TblFeedFile1[[#This Row],[ Report Number ]],LkupPayrollCycle[],2,FALSE),"TBD")</f>
        <v>Bi-Weekly</v>
      </c>
      <c r="AH53" t="str">
        <f>IF(TblFeedFile1[[#This Row],[Return to Work Date ]]="","","Y")</f>
        <v/>
      </c>
    </row>
    <row r="54" spans="1:34" x14ac:dyDescent="0.25">
      <c r="A54" t="s">
        <v>29</v>
      </c>
      <c r="B54">
        <v>314304</v>
      </c>
      <c r="C54">
        <v>10312711</v>
      </c>
      <c r="D54" s="1">
        <v>501701198808</v>
      </c>
      <c r="E54" t="s">
        <v>114</v>
      </c>
      <c r="F54" t="s">
        <v>115</v>
      </c>
      <c r="G54">
        <v>20170111</v>
      </c>
      <c r="I54" t="s">
        <v>53</v>
      </c>
      <c r="L54" t="s">
        <v>34</v>
      </c>
      <c r="M54" t="s">
        <v>34</v>
      </c>
      <c r="N54" t="s">
        <v>35</v>
      </c>
      <c r="O54" t="s">
        <v>35</v>
      </c>
      <c r="P54" t="s">
        <v>35</v>
      </c>
      <c r="Q54" t="s">
        <v>35</v>
      </c>
      <c r="R54" t="s">
        <v>35</v>
      </c>
      <c r="S54" t="s">
        <v>34</v>
      </c>
      <c r="X54" t="s">
        <v>35</v>
      </c>
      <c r="AD54">
        <v>20170124</v>
      </c>
      <c r="AF54" t="str">
        <f>IFERROR(VLOOKUP(RIGHT(TblFeedFile1[[#This Row],[Leave Type ]],6),LkupPayType[],2,FALSE),"TBD")</f>
        <v>TBD</v>
      </c>
      <c r="AG54" t="str">
        <f>IFERROR(VLOOKUP(TblFeedFile1[[#This Row],[ Report Number ]],LkupPayrollCycle[],2,FALSE),"TBD")</f>
        <v>Bi-Weekly</v>
      </c>
      <c r="AH54" t="str">
        <f>IF(TblFeedFile1[[#This Row],[Return to Work Date ]]="","","Y")</f>
        <v/>
      </c>
    </row>
    <row r="55" spans="1:34" x14ac:dyDescent="0.25">
      <c r="A55" t="s">
        <v>37</v>
      </c>
      <c r="B55">
        <v>314304</v>
      </c>
      <c r="C55">
        <v>10312711</v>
      </c>
      <c r="D55" s="1">
        <v>501701198808</v>
      </c>
      <c r="E55" t="s">
        <v>114</v>
      </c>
      <c r="F55" t="s">
        <v>115</v>
      </c>
      <c r="G55">
        <v>20170111</v>
      </c>
      <c r="H55">
        <v>20170208</v>
      </c>
      <c r="I55" t="s">
        <v>53</v>
      </c>
      <c r="L55" t="s">
        <v>34</v>
      </c>
      <c r="M55" t="s">
        <v>34</v>
      </c>
      <c r="N55" t="s">
        <v>35</v>
      </c>
      <c r="O55" t="s">
        <v>35</v>
      </c>
      <c r="P55" t="s">
        <v>35</v>
      </c>
      <c r="Q55" t="s">
        <v>35</v>
      </c>
      <c r="R55" t="s">
        <v>35</v>
      </c>
      <c r="S55" t="s">
        <v>34</v>
      </c>
      <c r="X55" t="s">
        <v>35</v>
      </c>
      <c r="AD55">
        <v>20170124</v>
      </c>
      <c r="AF55" t="str">
        <f>IFERROR(VLOOKUP(RIGHT(TblFeedFile1[[#This Row],[Leave Type ]],6),LkupPayType[],2,FALSE),"TBD")</f>
        <v>TBD</v>
      </c>
      <c r="AG55" t="str">
        <f>IFERROR(VLOOKUP(TblFeedFile1[[#This Row],[ Report Number ]],LkupPayrollCycle[],2,FALSE),"TBD")</f>
        <v>Bi-Weekly</v>
      </c>
      <c r="AH55" t="str">
        <f>IF(TblFeedFile1[[#This Row],[Return to Work Date ]]="","","Y")</f>
        <v/>
      </c>
    </row>
    <row r="56" spans="1:34" x14ac:dyDescent="0.25">
      <c r="A56" t="s">
        <v>37</v>
      </c>
      <c r="B56">
        <v>314304</v>
      </c>
      <c r="C56">
        <v>10312711</v>
      </c>
      <c r="D56" s="1">
        <v>501701198808</v>
      </c>
      <c r="E56" t="s">
        <v>114</v>
      </c>
      <c r="F56" t="s">
        <v>115</v>
      </c>
      <c r="G56">
        <v>20170118</v>
      </c>
      <c r="H56">
        <v>20170208</v>
      </c>
      <c r="I56" t="s">
        <v>40</v>
      </c>
      <c r="L56" t="s">
        <v>34</v>
      </c>
      <c r="M56" t="s">
        <v>34</v>
      </c>
      <c r="N56" t="s">
        <v>35</v>
      </c>
      <c r="O56" t="s">
        <v>35</v>
      </c>
      <c r="P56" t="s">
        <v>35</v>
      </c>
      <c r="Q56" t="s">
        <v>35</v>
      </c>
      <c r="R56" t="s">
        <v>35</v>
      </c>
      <c r="S56" t="s">
        <v>34</v>
      </c>
      <c r="X56" t="s">
        <v>35</v>
      </c>
      <c r="AD56">
        <v>20170124</v>
      </c>
      <c r="AF56" t="str">
        <f>IFERROR(VLOOKUP(RIGHT(TblFeedFile1[[#This Row],[Leave Type ]],6),LkupPayType[],2,FALSE),"TBD")</f>
        <v>TBD</v>
      </c>
      <c r="AG56" t="str">
        <f>IFERROR(VLOOKUP(TblFeedFile1[[#This Row],[ Report Number ]],LkupPayrollCycle[],2,FALSE),"TBD")</f>
        <v>Bi-Weekly</v>
      </c>
      <c r="AH56" t="str">
        <f>IF(TblFeedFile1[[#This Row],[Return to Work Date ]]="","","Y")</f>
        <v/>
      </c>
    </row>
    <row r="57" spans="1:34" x14ac:dyDescent="0.25">
      <c r="A57" t="s">
        <v>37</v>
      </c>
      <c r="B57">
        <v>314301</v>
      </c>
      <c r="C57">
        <v>10403688</v>
      </c>
      <c r="D57" s="1">
        <v>511701238289</v>
      </c>
      <c r="E57" t="s">
        <v>116</v>
      </c>
      <c r="F57" t="s">
        <v>117</v>
      </c>
      <c r="G57">
        <v>20170117</v>
      </c>
      <c r="H57">
        <v>20170208</v>
      </c>
      <c r="I57" t="s">
        <v>53</v>
      </c>
      <c r="L57" t="s">
        <v>34</v>
      </c>
      <c r="M57" t="s">
        <v>34</v>
      </c>
      <c r="N57" t="s">
        <v>35</v>
      </c>
      <c r="O57" t="s">
        <v>35</v>
      </c>
      <c r="P57" t="s">
        <v>35</v>
      </c>
      <c r="Q57" t="s">
        <v>35</v>
      </c>
      <c r="R57" t="s">
        <v>35</v>
      </c>
      <c r="S57" t="s">
        <v>34</v>
      </c>
      <c r="AD57">
        <v>20170124</v>
      </c>
      <c r="AF57" t="str">
        <f>IFERROR(VLOOKUP(RIGHT(TblFeedFile1[[#This Row],[Leave Type ]],6),LkupPayType[],2,FALSE),"TBD")</f>
        <v>TBD</v>
      </c>
      <c r="AG57" t="str">
        <f>IFERROR(VLOOKUP(TblFeedFile1[[#This Row],[ Report Number ]],LkupPayrollCycle[],2,FALSE),"TBD")</f>
        <v>Semi-Monthly</v>
      </c>
      <c r="AH57" t="str">
        <f>IF(TblFeedFile1[[#This Row],[Return to Work Date ]]="","","Y")</f>
        <v/>
      </c>
    </row>
    <row r="58" spans="1:34" x14ac:dyDescent="0.25">
      <c r="A58" t="s">
        <v>37</v>
      </c>
      <c r="B58">
        <v>314301</v>
      </c>
      <c r="C58">
        <v>10403688</v>
      </c>
      <c r="D58" s="1">
        <v>511701238289</v>
      </c>
      <c r="E58" t="s">
        <v>116</v>
      </c>
      <c r="F58" t="s">
        <v>117</v>
      </c>
      <c r="G58">
        <v>20170124</v>
      </c>
      <c r="H58">
        <v>20170208</v>
      </c>
      <c r="I58" t="s">
        <v>40</v>
      </c>
      <c r="L58" t="s">
        <v>34</v>
      </c>
      <c r="M58" t="s">
        <v>34</v>
      </c>
      <c r="N58" t="s">
        <v>35</v>
      </c>
      <c r="O58" t="s">
        <v>35</v>
      </c>
      <c r="P58" t="s">
        <v>35</v>
      </c>
      <c r="Q58" t="s">
        <v>35</v>
      </c>
      <c r="R58" t="s">
        <v>35</v>
      </c>
      <c r="S58" t="s">
        <v>34</v>
      </c>
      <c r="AD58">
        <v>20170124</v>
      </c>
      <c r="AF58" t="str">
        <f>IFERROR(VLOOKUP(RIGHT(TblFeedFile1[[#This Row],[Leave Type ]],6),LkupPayType[],2,FALSE),"TBD")</f>
        <v>TBD</v>
      </c>
      <c r="AG58" t="str">
        <f>IFERROR(VLOOKUP(TblFeedFile1[[#This Row],[ Report Number ]],LkupPayrollCycle[],2,FALSE),"TBD")</f>
        <v>Semi-Monthly</v>
      </c>
      <c r="AH58" t="str">
        <f>IF(TblFeedFile1[[#This Row],[Return to Work Date ]]="","","Y")</f>
        <v/>
      </c>
    </row>
    <row r="59" spans="1:34" x14ac:dyDescent="0.25">
      <c r="A59" t="s">
        <v>29</v>
      </c>
      <c r="B59">
        <v>314301</v>
      </c>
      <c r="C59">
        <v>10421673</v>
      </c>
      <c r="D59" s="1" t="s">
        <v>118</v>
      </c>
      <c r="E59" t="s">
        <v>119</v>
      </c>
      <c r="F59" t="s">
        <v>120</v>
      </c>
      <c r="G59">
        <v>20160708</v>
      </c>
      <c r="H59">
        <v>20180106</v>
      </c>
      <c r="I59" t="s">
        <v>36</v>
      </c>
      <c r="L59" t="s">
        <v>34</v>
      </c>
      <c r="M59" t="s">
        <v>34</v>
      </c>
      <c r="N59" t="s">
        <v>35</v>
      </c>
      <c r="O59" t="s">
        <v>35</v>
      </c>
      <c r="P59" t="s">
        <v>35</v>
      </c>
      <c r="Q59" t="s">
        <v>35</v>
      </c>
      <c r="R59" t="s">
        <v>35</v>
      </c>
      <c r="S59" t="s">
        <v>34</v>
      </c>
      <c r="AC59" t="s">
        <v>35</v>
      </c>
      <c r="AD59">
        <v>20170124</v>
      </c>
      <c r="AF59" t="str">
        <f>IFERROR(VLOOKUP(RIGHT(TblFeedFile1[[#This Row],[Leave Type ]],6),LkupPayType[],2,FALSE),"TBD")</f>
        <v>TBD</v>
      </c>
      <c r="AG59" t="str">
        <f>IFERROR(VLOOKUP(TblFeedFile1[[#This Row],[ Report Number ]],LkupPayrollCycle[],2,FALSE),"TBD")</f>
        <v>Semi-Monthly</v>
      </c>
      <c r="AH59" t="str">
        <f>IF(TblFeedFile1[[#This Row],[Return to Work Date ]]="","","Y")</f>
        <v/>
      </c>
    </row>
    <row r="60" spans="1:34" x14ac:dyDescent="0.25">
      <c r="A60" t="s">
        <v>29</v>
      </c>
      <c r="B60">
        <v>314301</v>
      </c>
      <c r="C60">
        <v>10421673</v>
      </c>
      <c r="D60" s="1" t="s">
        <v>118</v>
      </c>
      <c r="E60" t="s">
        <v>119</v>
      </c>
      <c r="F60" t="s">
        <v>120</v>
      </c>
      <c r="G60">
        <v>20160104</v>
      </c>
      <c r="H60">
        <v>20160104</v>
      </c>
      <c r="I60" t="s">
        <v>33</v>
      </c>
      <c r="L60" t="s">
        <v>34</v>
      </c>
      <c r="M60" t="s">
        <v>34</v>
      </c>
      <c r="N60" t="s">
        <v>35</v>
      </c>
      <c r="O60" t="s">
        <v>35</v>
      </c>
      <c r="P60" t="s">
        <v>35</v>
      </c>
      <c r="Q60" t="s">
        <v>35</v>
      </c>
      <c r="R60" t="s">
        <v>35</v>
      </c>
      <c r="S60" t="s">
        <v>34</v>
      </c>
      <c r="AC60" t="s">
        <v>35</v>
      </c>
      <c r="AD60">
        <v>20170124</v>
      </c>
      <c r="AF60" t="str">
        <f>IFERROR(VLOOKUP(RIGHT(TblFeedFile1[[#This Row],[Leave Type ]],6),LkupPayType[],2,FALSE),"TBD")</f>
        <v>TBD</v>
      </c>
      <c r="AG60" t="str">
        <f>IFERROR(VLOOKUP(TblFeedFile1[[#This Row],[ Report Number ]],LkupPayrollCycle[],2,FALSE),"TBD")</f>
        <v>Semi-Monthly</v>
      </c>
      <c r="AH60" t="str">
        <f>IF(TblFeedFile1[[#This Row],[Return to Work Date ]]="","","Y")</f>
        <v/>
      </c>
    </row>
    <row r="61" spans="1:34" x14ac:dyDescent="0.25">
      <c r="A61" t="s">
        <v>37</v>
      </c>
      <c r="B61">
        <v>314301</v>
      </c>
      <c r="C61">
        <v>10421673</v>
      </c>
      <c r="D61" s="1" t="s">
        <v>118</v>
      </c>
      <c r="E61" t="s">
        <v>119</v>
      </c>
      <c r="F61" t="s">
        <v>120</v>
      </c>
      <c r="G61">
        <v>20160708</v>
      </c>
      <c r="H61">
        <v>20170105</v>
      </c>
      <c r="I61" t="s">
        <v>36</v>
      </c>
      <c r="L61" t="s">
        <v>34</v>
      </c>
      <c r="M61" t="s">
        <v>34</v>
      </c>
      <c r="N61" t="s">
        <v>35</v>
      </c>
      <c r="O61" t="s">
        <v>35</v>
      </c>
      <c r="P61" t="s">
        <v>35</v>
      </c>
      <c r="Q61" t="s">
        <v>35</v>
      </c>
      <c r="R61" t="s">
        <v>35</v>
      </c>
      <c r="S61" t="s">
        <v>34</v>
      </c>
      <c r="T61">
        <v>20170106</v>
      </c>
      <c r="AC61" t="s">
        <v>35</v>
      </c>
      <c r="AD61">
        <v>20170124</v>
      </c>
      <c r="AF61" t="str">
        <f>IFERROR(VLOOKUP(RIGHT(TblFeedFile1[[#This Row],[Leave Type ]],6),LkupPayType[],2,FALSE),"TBD")</f>
        <v>TBD</v>
      </c>
      <c r="AG61" t="str">
        <f>IFERROR(VLOOKUP(TblFeedFile1[[#This Row],[ Report Number ]],LkupPayrollCycle[],2,FALSE),"TBD")</f>
        <v>Semi-Monthly</v>
      </c>
      <c r="AH61" t="str">
        <f>IF(TblFeedFile1[[#This Row],[Return to Work Date ]]="","","Y")</f>
        <v>Y</v>
      </c>
    </row>
    <row r="62" spans="1:34" x14ac:dyDescent="0.25">
      <c r="A62" t="s">
        <v>37</v>
      </c>
      <c r="B62">
        <v>314305</v>
      </c>
      <c r="C62">
        <v>10423707</v>
      </c>
      <c r="D62" s="1" t="s">
        <v>121</v>
      </c>
      <c r="E62" t="s">
        <v>122</v>
      </c>
      <c r="F62" t="s">
        <v>123</v>
      </c>
      <c r="G62">
        <v>20160226</v>
      </c>
      <c r="H62">
        <v>20160718</v>
      </c>
      <c r="I62" t="s">
        <v>36</v>
      </c>
      <c r="L62" t="s">
        <v>34</v>
      </c>
      <c r="M62" t="s">
        <v>34</v>
      </c>
      <c r="N62" t="s">
        <v>35</v>
      </c>
      <c r="O62" t="s">
        <v>35</v>
      </c>
      <c r="P62" t="s">
        <v>35</v>
      </c>
      <c r="Q62" t="s">
        <v>35</v>
      </c>
      <c r="R62" t="s">
        <v>35</v>
      </c>
      <c r="S62" t="s">
        <v>34</v>
      </c>
      <c r="AD62">
        <v>20170124</v>
      </c>
      <c r="AF62" t="str">
        <f>IFERROR(VLOOKUP(RIGHT(TblFeedFile1[[#This Row],[Leave Type ]],6),LkupPayType[],2,FALSE),"TBD")</f>
        <v>TBD</v>
      </c>
      <c r="AG62" t="str">
        <f>IFERROR(VLOOKUP(TblFeedFile1[[#This Row],[ Report Number ]],LkupPayrollCycle[],2,FALSE),"TBD")</f>
        <v>Bi-Weekly</v>
      </c>
      <c r="AH62" t="str">
        <f>IF(TblFeedFile1[[#This Row],[Return to Work Date ]]="","","Y")</f>
        <v/>
      </c>
    </row>
    <row r="63" spans="1:34" x14ac:dyDescent="0.25">
      <c r="A63" t="s">
        <v>37</v>
      </c>
      <c r="B63">
        <v>314304</v>
      </c>
      <c r="C63">
        <v>10430930</v>
      </c>
      <c r="D63" s="1" t="s">
        <v>124</v>
      </c>
      <c r="E63" t="s">
        <v>125</v>
      </c>
      <c r="F63" t="s">
        <v>126</v>
      </c>
      <c r="G63">
        <v>20170124</v>
      </c>
      <c r="H63">
        <v>20170212</v>
      </c>
      <c r="I63" t="s">
        <v>127</v>
      </c>
      <c r="L63" t="s">
        <v>35</v>
      </c>
      <c r="AD63">
        <v>20170124</v>
      </c>
      <c r="AF63" t="str">
        <f>IFERROR(VLOOKUP(RIGHT(TblFeedFile1[[#This Row],[Leave Type ]],6),LkupPayType[],2,FALSE),"TBD")</f>
        <v>TBD</v>
      </c>
      <c r="AG63" t="str">
        <f>IFERROR(VLOOKUP(TblFeedFile1[[#This Row],[ Report Number ]],LkupPayrollCycle[],2,FALSE),"TBD")</f>
        <v>Bi-Weekly</v>
      </c>
      <c r="AH63" t="str">
        <f>IF(TblFeedFile1[[#This Row],[Return to Work Date ]]="","","Y")</f>
        <v/>
      </c>
    </row>
    <row r="64" spans="1:34" x14ac:dyDescent="0.25">
      <c r="A64" t="s">
        <v>29</v>
      </c>
      <c r="B64">
        <v>314304</v>
      </c>
      <c r="C64">
        <v>10448152</v>
      </c>
      <c r="D64" s="1" t="s">
        <v>128</v>
      </c>
      <c r="E64" t="s">
        <v>129</v>
      </c>
      <c r="F64" t="s">
        <v>130</v>
      </c>
      <c r="G64">
        <v>20161127</v>
      </c>
      <c r="H64">
        <v>20170123</v>
      </c>
      <c r="I64" t="s">
        <v>36</v>
      </c>
      <c r="L64" t="s">
        <v>34</v>
      </c>
      <c r="M64" t="s">
        <v>34</v>
      </c>
      <c r="N64" t="s">
        <v>35</v>
      </c>
      <c r="O64" t="s">
        <v>35</v>
      </c>
      <c r="P64" t="s">
        <v>35</v>
      </c>
      <c r="Q64" t="s">
        <v>35</v>
      </c>
      <c r="R64" t="s">
        <v>35</v>
      </c>
      <c r="S64" t="s">
        <v>34</v>
      </c>
      <c r="AC64" t="s">
        <v>35</v>
      </c>
      <c r="AD64">
        <v>20170124</v>
      </c>
      <c r="AF64" t="str">
        <f>IFERROR(VLOOKUP(RIGHT(TblFeedFile1[[#This Row],[Leave Type ]],6),LkupPayType[],2,FALSE),"TBD")</f>
        <v>TBD</v>
      </c>
      <c r="AG64" t="str">
        <f>IFERROR(VLOOKUP(TblFeedFile1[[#This Row],[ Report Number ]],LkupPayrollCycle[],2,FALSE),"TBD")</f>
        <v>Bi-Weekly</v>
      </c>
      <c r="AH64" t="str">
        <f>IF(TblFeedFile1[[#This Row],[Return to Work Date ]]="","","Y")</f>
        <v/>
      </c>
    </row>
    <row r="65" spans="1:34" x14ac:dyDescent="0.25">
      <c r="A65" t="s">
        <v>37</v>
      </c>
      <c r="B65">
        <v>314304</v>
      </c>
      <c r="C65">
        <v>10448152</v>
      </c>
      <c r="D65" s="1" t="s">
        <v>128</v>
      </c>
      <c r="E65" t="s">
        <v>129</v>
      </c>
      <c r="F65" t="s">
        <v>130</v>
      </c>
      <c r="G65">
        <v>20161127</v>
      </c>
      <c r="H65">
        <v>20170126</v>
      </c>
      <c r="I65" t="s">
        <v>36</v>
      </c>
      <c r="L65" t="s">
        <v>34</v>
      </c>
      <c r="M65" t="s">
        <v>34</v>
      </c>
      <c r="N65" t="s">
        <v>35</v>
      </c>
      <c r="O65" t="s">
        <v>35</v>
      </c>
      <c r="P65" t="s">
        <v>35</v>
      </c>
      <c r="Q65" t="s">
        <v>35</v>
      </c>
      <c r="R65" t="s">
        <v>35</v>
      </c>
      <c r="S65" t="s">
        <v>34</v>
      </c>
      <c r="AC65" t="s">
        <v>35</v>
      </c>
      <c r="AD65">
        <v>20170124</v>
      </c>
      <c r="AF65" t="str">
        <f>IFERROR(VLOOKUP(RIGHT(TblFeedFile1[[#This Row],[Leave Type ]],6),LkupPayType[],2,FALSE),"TBD")</f>
        <v>TBD</v>
      </c>
      <c r="AG65" t="str">
        <f>IFERROR(VLOOKUP(TblFeedFile1[[#This Row],[ Report Number ]],LkupPayrollCycle[],2,FALSE),"TBD")</f>
        <v>Bi-Weekly</v>
      </c>
      <c r="AH65" t="str">
        <f>IF(TblFeedFile1[[#This Row],[Return to Work Date ]]="","","Y")</f>
        <v/>
      </c>
    </row>
    <row r="66" spans="1:34" x14ac:dyDescent="0.25">
      <c r="A66" t="s">
        <v>29</v>
      </c>
      <c r="B66">
        <v>314304</v>
      </c>
      <c r="C66">
        <v>10456321</v>
      </c>
      <c r="D66" s="1" t="s">
        <v>131</v>
      </c>
      <c r="E66" t="s">
        <v>132</v>
      </c>
      <c r="F66" t="s">
        <v>133</v>
      </c>
      <c r="G66">
        <v>20161219</v>
      </c>
      <c r="H66">
        <v>20170216</v>
      </c>
      <c r="I66" t="s">
        <v>49</v>
      </c>
      <c r="L66" t="s">
        <v>34</v>
      </c>
      <c r="M66" t="s">
        <v>34</v>
      </c>
      <c r="N66" t="s">
        <v>35</v>
      </c>
      <c r="O66" t="s">
        <v>35</v>
      </c>
      <c r="P66" t="s">
        <v>35</v>
      </c>
      <c r="Q66" t="s">
        <v>35</v>
      </c>
      <c r="R66" t="s">
        <v>35</v>
      </c>
      <c r="S66" t="s">
        <v>34</v>
      </c>
      <c r="AC66" t="s">
        <v>35</v>
      </c>
      <c r="AD66">
        <v>20170124</v>
      </c>
      <c r="AF66" t="str">
        <f>IFERROR(VLOOKUP(RIGHT(TblFeedFile1[[#This Row],[Leave Type ]],6),LkupPayType[],2,FALSE),"TBD")</f>
        <v>TBD</v>
      </c>
      <c r="AG66" t="str">
        <f>IFERROR(VLOOKUP(TblFeedFile1[[#This Row],[ Report Number ]],LkupPayrollCycle[],2,FALSE),"TBD")</f>
        <v>Bi-Weekly</v>
      </c>
      <c r="AH66" t="str">
        <f>IF(TblFeedFile1[[#This Row],[Return to Work Date ]]="","","Y")</f>
        <v/>
      </c>
    </row>
    <row r="67" spans="1:34" x14ac:dyDescent="0.25">
      <c r="A67" t="s">
        <v>37</v>
      </c>
      <c r="B67">
        <v>314304</v>
      </c>
      <c r="C67">
        <v>10456321</v>
      </c>
      <c r="D67" s="1" t="s">
        <v>131</v>
      </c>
      <c r="E67" t="s">
        <v>132</v>
      </c>
      <c r="F67" t="s">
        <v>133</v>
      </c>
      <c r="G67">
        <v>20161219</v>
      </c>
      <c r="H67">
        <v>20170112</v>
      </c>
      <c r="I67" t="s">
        <v>49</v>
      </c>
      <c r="L67" t="s">
        <v>34</v>
      </c>
      <c r="M67" t="s">
        <v>34</v>
      </c>
      <c r="N67" t="s">
        <v>35</v>
      </c>
      <c r="O67" t="s">
        <v>35</v>
      </c>
      <c r="P67" t="s">
        <v>35</v>
      </c>
      <c r="Q67" t="s">
        <v>35</v>
      </c>
      <c r="R67" t="s">
        <v>35</v>
      </c>
      <c r="S67" t="s">
        <v>34</v>
      </c>
      <c r="T67">
        <v>20170113</v>
      </c>
      <c r="AC67" t="s">
        <v>35</v>
      </c>
      <c r="AD67">
        <v>20170124</v>
      </c>
      <c r="AF67" t="str">
        <f>IFERROR(VLOOKUP(RIGHT(TblFeedFile1[[#This Row],[Leave Type ]],6),LkupPayType[],2,FALSE),"TBD")</f>
        <v>TBD</v>
      </c>
      <c r="AG67" t="str">
        <f>IFERROR(VLOOKUP(TblFeedFile1[[#This Row],[ Report Number ]],LkupPayrollCycle[],2,FALSE),"TBD")</f>
        <v>Bi-Weekly</v>
      </c>
      <c r="AH67" t="str">
        <f>IF(TblFeedFile1[[#This Row],[Return to Work Date ]]="","","Y")</f>
        <v>Y</v>
      </c>
    </row>
    <row r="68" spans="1:34" x14ac:dyDescent="0.25">
      <c r="A68" t="s">
        <v>37</v>
      </c>
      <c r="B68">
        <v>314305</v>
      </c>
      <c r="C68">
        <v>10463265</v>
      </c>
      <c r="D68" s="1" t="s">
        <v>134</v>
      </c>
      <c r="E68" t="s">
        <v>135</v>
      </c>
      <c r="F68" t="s">
        <v>136</v>
      </c>
      <c r="G68">
        <v>20170104</v>
      </c>
      <c r="H68">
        <v>20170122</v>
      </c>
      <c r="I68" t="s">
        <v>127</v>
      </c>
      <c r="L68" t="s">
        <v>34</v>
      </c>
      <c r="M68" t="s">
        <v>34</v>
      </c>
      <c r="N68" t="s">
        <v>35</v>
      </c>
      <c r="O68" t="s">
        <v>35</v>
      </c>
      <c r="P68" t="s">
        <v>35</v>
      </c>
      <c r="Q68" t="s">
        <v>35</v>
      </c>
      <c r="R68" t="s">
        <v>35</v>
      </c>
      <c r="S68" t="s">
        <v>34</v>
      </c>
      <c r="T68">
        <v>20170123</v>
      </c>
      <c r="AD68">
        <v>20170124</v>
      </c>
      <c r="AF68" t="str">
        <f>IFERROR(VLOOKUP(RIGHT(TblFeedFile1[[#This Row],[Leave Type ]],6),LkupPayType[],2,FALSE),"TBD")</f>
        <v>TBD</v>
      </c>
      <c r="AG68" t="str">
        <f>IFERROR(VLOOKUP(TblFeedFile1[[#This Row],[ Report Number ]],LkupPayrollCycle[],2,FALSE),"TBD")</f>
        <v>Bi-Weekly</v>
      </c>
      <c r="AH68" t="str">
        <f>IF(TblFeedFile1[[#This Row],[Return to Work Date ]]="","","Y")</f>
        <v>Y</v>
      </c>
    </row>
    <row r="69" spans="1:34" x14ac:dyDescent="0.25">
      <c r="A69" t="s">
        <v>29</v>
      </c>
      <c r="B69">
        <v>314301</v>
      </c>
      <c r="C69">
        <v>10464715</v>
      </c>
      <c r="D69" s="1" t="s">
        <v>137</v>
      </c>
      <c r="E69" t="s">
        <v>138</v>
      </c>
      <c r="F69" t="s">
        <v>139</v>
      </c>
      <c r="G69">
        <v>20170114</v>
      </c>
      <c r="H69">
        <v>20170114</v>
      </c>
      <c r="I69" t="s">
        <v>33</v>
      </c>
      <c r="L69" t="s">
        <v>34</v>
      </c>
      <c r="M69" t="s">
        <v>34</v>
      </c>
      <c r="N69" t="s">
        <v>35</v>
      </c>
      <c r="O69" t="s">
        <v>35</v>
      </c>
      <c r="P69" t="s">
        <v>35</v>
      </c>
      <c r="Q69" t="s">
        <v>35</v>
      </c>
      <c r="R69" t="s">
        <v>35</v>
      </c>
      <c r="S69" t="s">
        <v>34</v>
      </c>
      <c r="AC69" t="s">
        <v>35</v>
      </c>
      <c r="AD69">
        <v>20170124</v>
      </c>
      <c r="AF69" t="str">
        <f>IFERROR(VLOOKUP(RIGHT(TblFeedFile1[[#This Row],[Leave Type ]],6),LkupPayType[],2,FALSE),"TBD")</f>
        <v>TBD</v>
      </c>
      <c r="AG69" t="str">
        <f>IFERROR(VLOOKUP(TblFeedFile1[[#This Row],[ Report Number ]],LkupPayrollCycle[],2,FALSE),"TBD")</f>
        <v>Semi-Monthly</v>
      </c>
      <c r="AH69" t="str">
        <f>IF(TblFeedFile1[[#This Row],[Return to Work Date ]]="","","Y")</f>
        <v/>
      </c>
    </row>
    <row r="70" spans="1:34" x14ac:dyDescent="0.25">
      <c r="A70" t="s">
        <v>29</v>
      </c>
      <c r="B70">
        <v>314301</v>
      </c>
      <c r="C70">
        <v>10464715</v>
      </c>
      <c r="D70" s="1" t="s">
        <v>137</v>
      </c>
      <c r="E70" t="s">
        <v>138</v>
      </c>
      <c r="F70" t="s">
        <v>139</v>
      </c>
      <c r="G70">
        <v>20160718</v>
      </c>
      <c r="H70">
        <v>20170113</v>
      </c>
      <c r="I70" t="s">
        <v>49</v>
      </c>
      <c r="L70" t="s">
        <v>34</v>
      </c>
      <c r="M70" t="s">
        <v>34</v>
      </c>
      <c r="N70" t="s">
        <v>35</v>
      </c>
      <c r="O70" t="s">
        <v>35</v>
      </c>
      <c r="P70" t="s">
        <v>35</v>
      </c>
      <c r="Q70" t="s">
        <v>35</v>
      </c>
      <c r="R70" t="s">
        <v>35</v>
      </c>
      <c r="S70" t="s">
        <v>34</v>
      </c>
      <c r="AC70" t="s">
        <v>35</v>
      </c>
      <c r="AD70">
        <v>20170124</v>
      </c>
      <c r="AF70" t="str">
        <f>IFERROR(VLOOKUP(RIGHT(TblFeedFile1[[#This Row],[Leave Type ]],6),LkupPayType[],2,FALSE),"TBD")</f>
        <v>TBD</v>
      </c>
      <c r="AG70" t="str">
        <f>IFERROR(VLOOKUP(TblFeedFile1[[#This Row],[ Report Number ]],LkupPayrollCycle[],2,FALSE),"TBD")</f>
        <v>Semi-Monthly</v>
      </c>
      <c r="AH70" t="str">
        <f>IF(TblFeedFile1[[#This Row],[Return to Work Date ]]="","","Y")</f>
        <v/>
      </c>
    </row>
    <row r="71" spans="1:34" x14ac:dyDescent="0.25">
      <c r="A71" t="s">
        <v>37</v>
      </c>
      <c r="B71">
        <v>314301</v>
      </c>
      <c r="C71">
        <v>10464715</v>
      </c>
      <c r="D71" s="1" t="s">
        <v>137</v>
      </c>
      <c r="E71" t="s">
        <v>138</v>
      </c>
      <c r="F71" t="s">
        <v>139</v>
      </c>
      <c r="G71">
        <v>20160718</v>
      </c>
      <c r="H71">
        <v>20170116</v>
      </c>
      <c r="I71" t="s">
        <v>49</v>
      </c>
      <c r="L71" t="s">
        <v>34</v>
      </c>
      <c r="M71" t="s">
        <v>34</v>
      </c>
      <c r="N71" t="s">
        <v>35</v>
      </c>
      <c r="O71" t="s">
        <v>35</v>
      </c>
      <c r="P71" t="s">
        <v>35</v>
      </c>
      <c r="Q71" t="s">
        <v>35</v>
      </c>
      <c r="R71" t="s">
        <v>35</v>
      </c>
      <c r="S71" t="s">
        <v>34</v>
      </c>
      <c r="AC71" t="s">
        <v>35</v>
      </c>
      <c r="AD71">
        <v>20170124</v>
      </c>
      <c r="AF71" t="str">
        <f>IFERROR(VLOOKUP(RIGHT(TblFeedFile1[[#This Row],[Leave Type ]],6),LkupPayType[],2,FALSE),"TBD")</f>
        <v>TBD</v>
      </c>
      <c r="AG71" t="str">
        <f>IFERROR(VLOOKUP(TblFeedFile1[[#This Row],[ Report Number ]],LkupPayrollCycle[],2,FALSE),"TBD")</f>
        <v>Semi-Monthly</v>
      </c>
      <c r="AH71" t="str">
        <f>IF(TblFeedFile1[[#This Row],[Return to Work Date ]]="","","Y")</f>
        <v/>
      </c>
    </row>
    <row r="72" spans="1:34" x14ac:dyDescent="0.25">
      <c r="A72" t="s">
        <v>37</v>
      </c>
      <c r="B72">
        <v>314301</v>
      </c>
      <c r="C72">
        <v>10464715</v>
      </c>
      <c r="D72" s="1" t="s">
        <v>137</v>
      </c>
      <c r="E72" t="s">
        <v>138</v>
      </c>
      <c r="F72" t="s">
        <v>139</v>
      </c>
      <c r="G72">
        <v>20170117</v>
      </c>
      <c r="H72">
        <v>20170117</v>
      </c>
      <c r="I72" t="s">
        <v>33</v>
      </c>
      <c r="L72" t="s">
        <v>34</v>
      </c>
      <c r="M72" t="s">
        <v>34</v>
      </c>
      <c r="N72" t="s">
        <v>35</v>
      </c>
      <c r="O72" t="s">
        <v>35</v>
      </c>
      <c r="P72" t="s">
        <v>35</v>
      </c>
      <c r="Q72" t="s">
        <v>35</v>
      </c>
      <c r="R72" t="s">
        <v>35</v>
      </c>
      <c r="S72" t="s">
        <v>34</v>
      </c>
      <c r="AC72" t="s">
        <v>35</v>
      </c>
      <c r="AD72">
        <v>20170124</v>
      </c>
      <c r="AF72" t="str">
        <f>IFERROR(VLOOKUP(RIGHT(TblFeedFile1[[#This Row],[Leave Type ]],6),LkupPayType[],2,FALSE),"TBD")</f>
        <v>TBD</v>
      </c>
      <c r="AG72" t="str">
        <f>IFERROR(VLOOKUP(TblFeedFile1[[#This Row],[ Report Number ]],LkupPayrollCycle[],2,FALSE),"TBD")</f>
        <v>Semi-Monthly</v>
      </c>
      <c r="AH72" t="str">
        <f>IF(TblFeedFile1[[#This Row],[Return to Work Date ]]="","","Y")</f>
        <v/>
      </c>
    </row>
    <row r="73" spans="1:34" x14ac:dyDescent="0.25">
      <c r="A73" t="s">
        <v>37</v>
      </c>
      <c r="B73">
        <v>314304</v>
      </c>
      <c r="C73">
        <v>10466880</v>
      </c>
      <c r="D73" s="1">
        <v>511701178221</v>
      </c>
      <c r="E73" t="s">
        <v>140</v>
      </c>
      <c r="F73" t="s">
        <v>141</v>
      </c>
      <c r="G73">
        <v>20170124</v>
      </c>
      <c r="H73">
        <v>20170203</v>
      </c>
      <c r="I73" t="s">
        <v>40</v>
      </c>
      <c r="L73" t="s">
        <v>34</v>
      </c>
      <c r="M73" t="s">
        <v>34</v>
      </c>
      <c r="N73" t="s">
        <v>34</v>
      </c>
      <c r="O73" t="s">
        <v>35</v>
      </c>
      <c r="P73" t="s">
        <v>35</v>
      </c>
      <c r="Q73" t="s">
        <v>35</v>
      </c>
      <c r="R73" t="s">
        <v>35</v>
      </c>
      <c r="S73" t="s">
        <v>35</v>
      </c>
      <c r="AD73">
        <v>20170124</v>
      </c>
      <c r="AF73" t="str">
        <f>IFERROR(VLOOKUP(RIGHT(TblFeedFile1[[#This Row],[Leave Type ]],6),LkupPayType[],2,FALSE),"TBD")</f>
        <v>TBD</v>
      </c>
      <c r="AG73" t="str">
        <f>IFERROR(VLOOKUP(TblFeedFile1[[#This Row],[ Report Number ]],LkupPayrollCycle[],2,FALSE),"TBD")</f>
        <v>Bi-Weekly</v>
      </c>
      <c r="AH73" t="str">
        <f>IF(TblFeedFile1[[#This Row],[Return to Work Date ]]="","","Y")</f>
        <v/>
      </c>
    </row>
    <row r="74" spans="1:34" x14ac:dyDescent="0.25">
      <c r="A74" t="s">
        <v>37</v>
      </c>
      <c r="B74">
        <v>314304</v>
      </c>
      <c r="C74">
        <v>10468892</v>
      </c>
      <c r="D74" s="1">
        <v>501701208050</v>
      </c>
      <c r="E74" t="s">
        <v>142</v>
      </c>
      <c r="F74" t="s">
        <v>143</v>
      </c>
      <c r="G74">
        <v>20170117</v>
      </c>
      <c r="H74">
        <v>20170624</v>
      </c>
      <c r="I74" t="s">
        <v>53</v>
      </c>
      <c r="L74" t="s">
        <v>34</v>
      </c>
      <c r="M74" t="s">
        <v>34</v>
      </c>
      <c r="N74" t="s">
        <v>35</v>
      </c>
      <c r="O74" t="s">
        <v>35</v>
      </c>
      <c r="P74" t="s">
        <v>35</v>
      </c>
      <c r="Q74" t="s">
        <v>35</v>
      </c>
      <c r="R74" t="s">
        <v>35</v>
      </c>
      <c r="S74" t="s">
        <v>34</v>
      </c>
      <c r="AD74">
        <v>20170124</v>
      </c>
      <c r="AF74" t="str">
        <f>IFERROR(VLOOKUP(RIGHT(TblFeedFile1[[#This Row],[Leave Type ]],6),LkupPayType[],2,FALSE),"TBD")</f>
        <v>TBD</v>
      </c>
      <c r="AG74" t="str">
        <f>IFERROR(VLOOKUP(TblFeedFile1[[#This Row],[ Report Number ]],LkupPayrollCycle[],2,FALSE),"TBD")</f>
        <v>Bi-Weekly</v>
      </c>
      <c r="AH74" t="str">
        <f>IF(TblFeedFile1[[#This Row],[Return to Work Date ]]="","","Y")</f>
        <v/>
      </c>
    </row>
    <row r="75" spans="1:34" x14ac:dyDescent="0.25">
      <c r="A75" t="s">
        <v>37</v>
      </c>
      <c r="B75">
        <v>314304</v>
      </c>
      <c r="C75">
        <v>10468892</v>
      </c>
      <c r="D75" s="1">
        <v>501701208050</v>
      </c>
      <c r="E75" t="s">
        <v>142</v>
      </c>
      <c r="F75" t="s">
        <v>143</v>
      </c>
      <c r="G75">
        <v>20170124</v>
      </c>
      <c r="H75">
        <v>20170624</v>
      </c>
      <c r="I75" t="s">
        <v>40</v>
      </c>
      <c r="L75" t="s">
        <v>34</v>
      </c>
      <c r="M75" t="s">
        <v>34</v>
      </c>
      <c r="N75" t="s">
        <v>35</v>
      </c>
      <c r="O75" t="s">
        <v>35</v>
      </c>
      <c r="P75" t="s">
        <v>35</v>
      </c>
      <c r="Q75" t="s">
        <v>35</v>
      </c>
      <c r="R75" t="s">
        <v>35</v>
      </c>
      <c r="S75" t="s">
        <v>34</v>
      </c>
      <c r="AD75">
        <v>20170124</v>
      </c>
      <c r="AF75" t="str">
        <f>IFERROR(VLOOKUP(RIGHT(TblFeedFile1[[#This Row],[Leave Type ]],6),LkupPayType[],2,FALSE),"TBD")</f>
        <v>TBD</v>
      </c>
      <c r="AG75" t="str">
        <f>IFERROR(VLOOKUP(TblFeedFile1[[#This Row],[ Report Number ]],LkupPayrollCycle[],2,FALSE),"TBD")</f>
        <v>Bi-Weekly</v>
      </c>
      <c r="AH75" t="str">
        <f>IF(TblFeedFile1[[#This Row],[Return to Work Date ]]="","","Y")</f>
        <v/>
      </c>
    </row>
    <row r="76" spans="1:34" x14ac:dyDescent="0.25">
      <c r="A76" t="s">
        <v>37</v>
      </c>
      <c r="B76">
        <v>314301</v>
      </c>
      <c r="C76">
        <v>10473162</v>
      </c>
      <c r="D76" s="1" t="s">
        <v>144</v>
      </c>
      <c r="E76" t="s">
        <v>145</v>
      </c>
      <c r="F76" t="s">
        <v>146</v>
      </c>
      <c r="G76">
        <v>20170130</v>
      </c>
      <c r="H76">
        <v>20170312</v>
      </c>
      <c r="I76" t="s">
        <v>36</v>
      </c>
      <c r="L76" t="s">
        <v>34</v>
      </c>
      <c r="M76" t="s">
        <v>34</v>
      </c>
      <c r="N76" t="s">
        <v>35</v>
      </c>
      <c r="O76" t="s">
        <v>35</v>
      </c>
      <c r="P76" t="s">
        <v>35</v>
      </c>
      <c r="Q76" t="s">
        <v>35</v>
      </c>
      <c r="R76" t="s">
        <v>35</v>
      </c>
      <c r="S76" t="s">
        <v>34</v>
      </c>
      <c r="AD76">
        <v>20170124</v>
      </c>
      <c r="AF76" t="str">
        <f>IFERROR(VLOOKUP(RIGHT(TblFeedFile1[[#This Row],[Leave Type ]],6),LkupPayType[],2,FALSE),"TBD")</f>
        <v>TBD</v>
      </c>
      <c r="AG76" t="str">
        <f>IFERROR(VLOOKUP(TblFeedFile1[[#This Row],[ Report Number ]],LkupPayrollCycle[],2,FALSE),"TBD")</f>
        <v>Semi-Monthly</v>
      </c>
      <c r="AH76" t="str">
        <f>IF(TblFeedFile1[[#This Row],[Return to Work Date ]]="","","Y")</f>
        <v/>
      </c>
    </row>
    <row r="77" spans="1:34" x14ac:dyDescent="0.25">
      <c r="A77" t="s">
        <v>37</v>
      </c>
      <c r="B77">
        <v>314304</v>
      </c>
      <c r="C77">
        <v>10483200</v>
      </c>
      <c r="D77" s="1">
        <v>551701198785</v>
      </c>
      <c r="E77" t="s">
        <v>147</v>
      </c>
      <c r="F77" t="s">
        <v>148</v>
      </c>
      <c r="G77">
        <v>20170123</v>
      </c>
      <c r="H77">
        <v>20170208</v>
      </c>
      <c r="I77" t="s">
        <v>53</v>
      </c>
      <c r="L77" t="s">
        <v>34</v>
      </c>
      <c r="M77" t="s">
        <v>34</v>
      </c>
      <c r="N77" t="s">
        <v>35</v>
      </c>
      <c r="O77" t="s">
        <v>35</v>
      </c>
      <c r="P77" t="s">
        <v>35</v>
      </c>
      <c r="Q77" t="s">
        <v>35</v>
      </c>
      <c r="R77" t="s">
        <v>35</v>
      </c>
      <c r="S77" t="s">
        <v>34</v>
      </c>
      <c r="AD77">
        <v>20170124</v>
      </c>
      <c r="AF77" t="str">
        <f>IFERROR(VLOOKUP(RIGHT(TblFeedFile1[[#This Row],[Leave Type ]],6),LkupPayType[],2,FALSE),"TBD")</f>
        <v>TBD</v>
      </c>
      <c r="AG77" t="str">
        <f>IFERROR(VLOOKUP(TblFeedFile1[[#This Row],[ Report Number ]],LkupPayrollCycle[],2,FALSE),"TBD")</f>
        <v>Bi-Weekly</v>
      </c>
      <c r="AH77" t="str">
        <f>IF(TblFeedFile1[[#This Row],[Return to Work Date ]]="","","Y")</f>
        <v/>
      </c>
    </row>
    <row r="78" spans="1:34" x14ac:dyDescent="0.25">
      <c r="A78" t="s">
        <v>37</v>
      </c>
      <c r="B78">
        <v>314304</v>
      </c>
      <c r="C78">
        <v>10486584</v>
      </c>
      <c r="D78" s="1" t="s">
        <v>149</v>
      </c>
      <c r="E78" t="s">
        <v>150</v>
      </c>
      <c r="F78" t="s">
        <v>151</v>
      </c>
      <c r="G78">
        <v>20170123</v>
      </c>
      <c r="H78">
        <v>20170206</v>
      </c>
      <c r="I78" t="s">
        <v>36</v>
      </c>
      <c r="L78" t="s">
        <v>35</v>
      </c>
      <c r="AD78">
        <v>20170124</v>
      </c>
      <c r="AF78" t="str">
        <f>IFERROR(VLOOKUP(RIGHT(TblFeedFile1[[#This Row],[Leave Type ]],6),LkupPayType[],2,FALSE),"TBD")</f>
        <v>TBD</v>
      </c>
      <c r="AG78" t="str">
        <f>IFERROR(VLOOKUP(TblFeedFile1[[#This Row],[ Report Number ]],LkupPayrollCycle[],2,FALSE),"TBD")</f>
        <v>Bi-Weekly</v>
      </c>
      <c r="AH78" t="str">
        <f>IF(TblFeedFile1[[#This Row],[Return to Work Date ]]="","","Y")</f>
        <v/>
      </c>
    </row>
    <row r="79" spans="1:34" x14ac:dyDescent="0.25">
      <c r="A79" t="s">
        <v>29</v>
      </c>
      <c r="B79">
        <v>314305</v>
      </c>
      <c r="C79">
        <v>10492354</v>
      </c>
      <c r="D79" s="1" t="s">
        <v>152</v>
      </c>
      <c r="E79" t="s">
        <v>153</v>
      </c>
      <c r="F79" t="s">
        <v>154</v>
      </c>
      <c r="G79">
        <v>20161123</v>
      </c>
      <c r="H79">
        <v>20170131</v>
      </c>
      <c r="I79" t="s">
        <v>36</v>
      </c>
      <c r="L79" t="s">
        <v>34</v>
      </c>
      <c r="M79" t="s">
        <v>34</v>
      </c>
      <c r="N79" t="s">
        <v>35</v>
      </c>
      <c r="O79" t="s">
        <v>35</v>
      </c>
      <c r="P79" t="s">
        <v>35</v>
      </c>
      <c r="Q79" t="s">
        <v>35</v>
      </c>
      <c r="R79" t="s">
        <v>35</v>
      </c>
      <c r="S79" t="s">
        <v>34</v>
      </c>
      <c r="AC79" t="s">
        <v>35</v>
      </c>
      <c r="AD79">
        <v>20170124</v>
      </c>
      <c r="AF79" t="str">
        <f>IFERROR(VLOOKUP(RIGHT(TblFeedFile1[[#This Row],[Leave Type ]],6),LkupPayType[],2,FALSE),"TBD")</f>
        <v>TBD</v>
      </c>
      <c r="AG79" t="str">
        <f>IFERROR(VLOOKUP(TblFeedFile1[[#This Row],[ Report Number ]],LkupPayrollCycle[],2,FALSE),"TBD")</f>
        <v>Bi-Weekly</v>
      </c>
      <c r="AH79" t="str">
        <f>IF(TblFeedFile1[[#This Row],[Return to Work Date ]]="","","Y")</f>
        <v/>
      </c>
    </row>
    <row r="80" spans="1:34" x14ac:dyDescent="0.25">
      <c r="A80" t="s">
        <v>29</v>
      </c>
      <c r="B80">
        <v>314305</v>
      </c>
      <c r="C80">
        <v>10492354</v>
      </c>
      <c r="D80" s="1" t="s">
        <v>152</v>
      </c>
      <c r="E80" t="s">
        <v>153</v>
      </c>
      <c r="F80" t="s">
        <v>154</v>
      </c>
      <c r="G80">
        <v>20161009</v>
      </c>
      <c r="H80">
        <v>20170131</v>
      </c>
      <c r="I80" t="s">
        <v>155</v>
      </c>
      <c r="L80" t="s">
        <v>34</v>
      </c>
      <c r="M80" t="s">
        <v>34</v>
      </c>
      <c r="N80" t="s">
        <v>35</v>
      </c>
      <c r="O80" t="s">
        <v>35</v>
      </c>
      <c r="P80" t="s">
        <v>35</v>
      </c>
      <c r="Q80" t="s">
        <v>35</v>
      </c>
      <c r="R80" t="s">
        <v>35</v>
      </c>
      <c r="S80" t="s">
        <v>34</v>
      </c>
      <c r="AC80" t="s">
        <v>35</v>
      </c>
      <c r="AD80">
        <v>20170124</v>
      </c>
      <c r="AF80" t="str">
        <f>IFERROR(VLOOKUP(RIGHT(TblFeedFile1[[#This Row],[Leave Type ]],6),LkupPayType[],2,FALSE),"TBD")</f>
        <v>TBD</v>
      </c>
      <c r="AG80" t="str">
        <f>IFERROR(VLOOKUP(TblFeedFile1[[#This Row],[ Report Number ]],LkupPayrollCycle[],2,FALSE),"TBD")</f>
        <v>Bi-Weekly</v>
      </c>
      <c r="AH80" t="str">
        <f>IF(TblFeedFile1[[#This Row],[Return to Work Date ]]="","","Y")</f>
        <v/>
      </c>
    </row>
    <row r="81" spans="1:34" x14ac:dyDescent="0.25">
      <c r="A81" t="s">
        <v>29</v>
      </c>
      <c r="B81">
        <v>314305</v>
      </c>
      <c r="C81">
        <v>10492354</v>
      </c>
      <c r="D81" s="1" t="s">
        <v>152</v>
      </c>
      <c r="E81" t="s">
        <v>153</v>
      </c>
      <c r="F81" t="s">
        <v>154</v>
      </c>
      <c r="G81">
        <v>20161009</v>
      </c>
      <c r="H81">
        <v>20170131</v>
      </c>
      <c r="I81" t="s">
        <v>156</v>
      </c>
      <c r="L81" t="s">
        <v>34</v>
      </c>
      <c r="M81" t="s">
        <v>34</v>
      </c>
      <c r="N81" t="s">
        <v>35</v>
      </c>
      <c r="O81" t="s">
        <v>35</v>
      </c>
      <c r="P81" t="s">
        <v>35</v>
      </c>
      <c r="Q81" t="s">
        <v>35</v>
      </c>
      <c r="R81" t="s">
        <v>35</v>
      </c>
      <c r="S81" t="s">
        <v>34</v>
      </c>
      <c r="AC81" t="s">
        <v>35</v>
      </c>
      <c r="AD81">
        <v>20170124</v>
      </c>
      <c r="AF81" t="str">
        <f>IFERROR(VLOOKUP(RIGHT(TblFeedFile1[[#This Row],[Leave Type ]],6),LkupPayType[],2,FALSE),"TBD")</f>
        <v>TBD</v>
      </c>
      <c r="AG81" t="str">
        <f>IFERROR(VLOOKUP(TblFeedFile1[[#This Row],[ Report Number ]],LkupPayrollCycle[],2,FALSE),"TBD")</f>
        <v>Bi-Weekly</v>
      </c>
      <c r="AH81" t="str">
        <f>IF(TblFeedFile1[[#This Row],[Return to Work Date ]]="","","Y")</f>
        <v/>
      </c>
    </row>
    <row r="82" spans="1:34" x14ac:dyDescent="0.25">
      <c r="A82" t="s">
        <v>37</v>
      </c>
      <c r="B82">
        <v>314305</v>
      </c>
      <c r="C82">
        <v>10492354</v>
      </c>
      <c r="D82" s="1" t="s">
        <v>152</v>
      </c>
      <c r="E82" t="s">
        <v>153</v>
      </c>
      <c r="F82" t="s">
        <v>154</v>
      </c>
      <c r="G82">
        <v>20161123</v>
      </c>
      <c r="H82">
        <v>20170410</v>
      </c>
      <c r="I82" t="s">
        <v>36</v>
      </c>
      <c r="L82" t="s">
        <v>34</v>
      </c>
      <c r="M82" t="s">
        <v>34</v>
      </c>
      <c r="N82" t="s">
        <v>35</v>
      </c>
      <c r="O82" t="s">
        <v>35</v>
      </c>
      <c r="P82" t="s">
        <v>35</v>
      </c>
      <c r="Q82" t="s">
        <v>35</v>
      </c>
      <c r="R82" t="s">
        <v>35</v>
      </c>
      <c r="S82" t="s">
        <v>34</v>
      </c>
      <c r="AC82" t="s">
        <v>35</v>
      </c>
      <c r="AD82">
        <v>20170124</v>
      </c>
      <c r="AF82" t="str">
        <f>IFERROR(VLOOKUP(RIGHT(TblFeedFile1[[#This Row],[Leave Type ]],6),LkupPayType[],2,FALSE),"TBD")</f>
        <v>TBD</v>
      </c>
      <c r="AG82" t="str">
        <f>IFERROR(VLOOKUP(TblFeedFile1[[#This Row],[ Report Number ]],LkupPayrollCycle[],2,FALSE),"TBD")</f>
        <v>Bi-Weekly</v>
      </c>
      <c r="AH82" t="str">
        <f>IF(TblFeedFile1[[#This Row],[Return to Work Date ]]="","","Y")</f>
        <v/>
      </c>
    </row>
    <row r="83" spans="1:34" x14ac:dyDescent="0.25">
      <c r="A83" t="s">
        <v>37</v>
      </c>
      <c r="B83">
        <v>314301</v>
      </c>
      <c r="C83">
        <v>10507084</v>
      </c>
      <c r="D83" s="1" t="s">
        <v>157</v>
      </c>
      <c r="E83" t="s">
        <v>158</v>
      </c>
      <c r="F83" t="s">
        <v>159</v>
      </c>
      <c r="G83">
        <v>20170113</v>
      </c>
      <c r="H83">
        <v>20170402</v>
      </c>
      <c r="I83" t="s">
        <v>49</v>
      </c>
      <c r="L83" t="s">
        <v>34</v>
      </c>
      <c r="M83" t="s">
        <v>34</v>
      </c>
      <c r="N83" t="s">
        <v>35</v>
      </c>
      <c r="O83" t="s">
        <v>35</v>
      </c>
      <c r="P83" t="s">
        <v>35</v>
      </c>
      <c r="Q83" t="s">
        <v>35</v>
      </c>
      <c r="R83" t="s">
        <v>35</v>
      </c>
      <c r="S83" t="s">
        <v>34</v>
      </c>
      <c r="AD83">
        <v>20170124</v>
      </c>
      <c r="AF83" t="str">
        <f>IFERROR(VLOOKUP(RIGHT(TblFeedFile1[[#This Row],[Leave Type ]],6),LkupPayType[],2,FALSE),"TBD")</f>
        <v>TBD</v>
      </c>
      <c r="AG83" t="str">
        <f>IFERROR(VLOOKUP(TblFeedFile1[[#This Row],[ Report Number ]],LkupPayrollCycle[],2,FALSE),"TBD")</f>
        <v>Semi-Monthly</v>
      </c>
      <c r="AH83" t="str">
        <f>IF(TblFeedFile1[[#This Row],[Return to Work Date ]]="","","Y")</f>
        <v/>
      </c>
    </row>
    <row r="84" spans="1:34" x14ac:dyDescent="0.25">
      <c r="A84" t="s">
        <v>29</v>
      </c>
      <c r="B84">
        <v>314304</v>
      </c>
      <c r="C84">
        <v>10508380</v>
      </c>
      <c r="D84" s="1" t="s">
        <v>160</v>
      </c>
      <c r="E84" t="s">
        <v>161</v>
      </c>
      <c r="F84" t="s">
        <v>162</v>
      </c>
      <c r="G84">
        <v>20161212</v>
      </c>
      <c r="H84">
        <v>20170412</v>
      </c>
      <c r="I84" t="s">
        <v>36</v>
      </c>
      <c r="L84" t="s">
        <v>34</v>
      </c>
      <c r="M84" t="s">
        <v>34</v>
      </c>
      <c r="N84" t="s">
        <v>35</v>
      </c>
      <c r="O84" t="s">
        <v>35</v>
      </c>
      <c r="P84" t="s">
        <v>35</v>
      </c>
      <c r="Q84" t="s">
        <v>35</v>
      </c>
      <c r="R84" t="s">
        <v>35</v>
      </c>
      <c r="S84" t="s">
        <v>34</v>
      </c>
      <c r="AD84">
        <v>20170124</v>
      </c>
      <c r="AF84" t="str">
        <f>IFERROR(VLOOKUP(RIGHT(TblFeedFile1[[#This Row],[Leave Type ]],6),LkupPayType[],2,FALSE),"TBD")</f>
        <v>TBD</v>
      </c>
      <c r="AG84" t="str">
        <f>IFERROR(VLOOKUP(TblFeedFile1[[#This Row],[ Report Number ]],LkupPayrollCycle[],2,FALSE),"TBD")</f>
        <v>Bi-Weekly</v>
      </c>
      <c r="AH84" t="str">
        <f>IF(TblFeedFile1[[#This Row],[Return to Work Date ]]="","","Y")</f>
        <v/>
      </c>
    </row>
    <row r="85" spans="1:34" x14ac:dyDescent="0.25">
      <c r="A85" t="s">
        <v>37</v>
      </c>
      <c r="B85">
        <v>314304</v>
      </c>
      <c r="C85">
        <v>10508380</v>
      </c>
      <c r="D85" s="1" t="s">
        <v>160</v>
      </c>
      <c r="E85" t="s">
        <v>161</v>
      </c>
      <c r="F85" t="s">
        <v>162</v>
      </c>
      <c r="G85">
        <v>20161219</v>
      </c>
      <c r="H85">
        <v>20170403</v>
      </c>
      <c r="I85" t="s">
        <v>36</v>
      </c>
      <c r="L85" t="s">
        <v>34</v>
      </c>
      <c r="M85" t="s">
        <v>34</v>
      </c>
      <c r="N85" t="s">
        <v>35</v>
      </c>
      <c r="O85" t="s">
        <v>35</v>
      </c>
      <c r="P85" t="s">
        <v>35</v>
      </c>
      <c r="Q85" t="s">
        <v>35</v>
      </c>
      <c r="R85" t="s">
        <v>35</v>
      </c>
      <c r="S85" t="s">
        <v>34</v>
      </c>
      <c r="AD85">
        <v>20170124</v>
      </c>
      <c r="AF85" t="str">
        <f>IFERROR(VLOOKUP(RIGHT(TblFeedFile1[[#This Row],[Leave Type ]],6),LkupPayType[],2,FALSE),"TBD")</f>
        <v>TBD</v>
      </c>
      <c r="AG85" t="str">
        <f>IFERROR(VLOOKUP(TblFeedFile1[[#This Row],[ Report Number ]],LkupPayrollCycle[],2,FALSE),"TBD")</f>
        <v>Bi-Weekly</v>
      </c>
      <c r="AH85" t="str">
        <f>IF(TblFeedFile1[[#This Row],[Return to Work Date ]]="","","Y")</f>
        <v/>
      </c>
    </row>
    <row r="86" spans="1:34" x14ac:dyDescent="0.25">
      <c r="A86" t="s">
        <v>29</v>
      </c>
      <c r="B86">
        <v>314304</v>
      </c>
      <c r="C86">
        <v>10509604</v>
      </c>
      <c r="D86" s="1" t="s">
        <v>163</v>
      </c>
      <c r="E86" t="s">
        <v>164</v>
      </c>
      <c r="F86" t="s">
        <v>165</v>
      </c>
      <c r="G86">
        <v>20170110</v>
      </c>
      <c r="H86">
        <v>20170203</v>
      </c>
      <c r="I86" t="s">
        <v>49</v>
      </c>
      <c r="L86" t="s">
        <v>34</v>
      </c>
      <c r="M86" t="s">
        <v>34</v>
      </c>
      <c r="N86" t="s">
        <v>35</v>
      </c>
      <c r="O86" t="s">
        <v>35</v>
      </c>
      <c r="P86" t="s">
        <v>35</v>
      </c>
      <c r="Q86" t="s">
        <v>35</v>
      </c>
      <c r="R86" t="s">
        <v>35</v>
      </c>
      <c r="S86" t="s">
        <v>34</v>
      </c>
      <c r="AD86">
        <v>20170124</v>
      </c>
      <c r="AF86" t="str">
        <f>IFERROR(VLOOKUP(RIGHT(TblFeedFile1[[#This Row],[Leave Type ]],6),LkupPayType[],2,FALSE),"TBD")</f>
        <v>TBD</v>
      </c>
      <c r="AG86" t="str">
        <f>IFERROR(VLOOKUP(TblFeedFile1[[#This Row],[ Report Number ]],LkupPayrollCycle[],2,FALSE),"TBD")</f>
        <v>Bi-Weekly</v>
      </c>
      <c r="AH86" t="str">
        <f>IF(TblFeedFile1[[#This Row],[Return to Work Date ]]="","","Y")</f>
        <v/>
      </c>
    </row>
    <row r="87" spans="1:34" x14ac:dyDescent="0.25">
      <c r="A87" t="s">
        <v>37</v>
      </c>
      <c r="B87">
        <v>314304</v>
      </c>
      <c r="C87">
        <v>10509604</v>
      </c>
      <c r="D87" s="1" t="s">
        <v>163</v>
      </c>
      <c r="E87" t="s">
        <v>164</v>
      </c>
      <c r="F87" t="s">
        <v>165</v>
      </c>
      <c r="G87">
        <v>20170110</v>
      </c>
      <c r="H87">
        <v>20170201</v>
      </c>
      <c r="I87" t="s">
        <v>49</v>
      </c>
      <c r="L87" t="s">
        <v>34</v>
      </c>
      <c r="M87" t="s">
        <v>34</v>
      </c>
      <c r="N87" t="s">
        <v>35</v>
      </c>
      <c r="O87" t="s">
        <v>35</v>
      </c>
      <c r="P87" t="s">
        <v>35</v>
      </c>
      <c r="Q87" t="s">
        <v>35</v>
      </c>
      <c r="R87" t="s">
        <v>35</v>
      </c>
      <c r="S87" t="s">
        <v>34</v>
      </c>
      <c r="AD87">
        <v>20170124</v>
      </c>
      <c r="AF87" t="str">
        <f>IFERROR(VLOOKUP(RIGHT(TblFeedFile1[[#This Row],[Leave Type ]],6),LkupPayType[],2,FALSE),"TBD")</f>
        <v>TBD</v>
      </c>
      <c r="AG87" t="str">
        <f>IFERROR(VLOOKUP(TblFeedFile1[[#This Row],[ Report Number ]],LkupPayrollCycle[],2,FALSE),"TBD")</f>
        <v>Bi-Weekly</v>
      </c>
      <c r="AH87" t="str">
        <f>IF(TblFeedFile1[[#This Row],[Return to Work Date ]]="","","Y")</f>
        <v/>
      </c>
    </row>
    <row r="88" spans="1:34" x14ac:dyDescent="0.25">
      <c r="A88" t="s">
        <v>37</v>
      </c>
      <c r="B88">
        <v>314301</v>
      </c>
      <c r="C88">
        <v>10514553</v>
      </c>
      <c r="D88" s="1" t="s">
        <v>166</v>
      </c>
      <c r="E88" t="s">
        <v>167</v>
      </c>
      <c r="F88" t="s">
        <v>168</v>
      </c>
      <c r="G88">
        <v>20160429</v>
      </c>
      <c r="H88">
        <v>20160805</v>
      </c>
      <c r="I88" t="s">
        <v>36</v>
      </c>
      <c r="L88" t="s">
        <v>34</v>
      </c>
      <c r="M88" t="s">
        <v>34</v>
      </c>
      <c r="N88" t="s">
        <v>35</v>
      </c>
      <c r="O88" t="s">
        <v>35</v>
      </c>
      <c r="P88" t="s">
        <v>35</v>
      </c>
      <c r="Q88" t="s">
        <v>35</v>
      </c>
      <c r="R88" t="s">
        <v>35</v>
      </c>
      <c r="S88" t="s">
        <v>34</v>
      </c>
      <c r="AD88">
        <v>20170124</v>
      </c>
      <c r="AF88" t="str">
        <f>IFERROR(VLOOKUP(RIGHT(TblFeedFile1[[#This Row],[Leave Type ]],6),LkupPayType[],2,FALSE),"TBD")</f>
        <v>TBD</v>
      </c>
      <c r="AG88" t="str">
        <f>IFERROR(VLOOKUP(TblFeedFile1[[#This Row],[ Report Number ]],LkupPayrollCycle[],2,FALSE),"TBD")</f>
        <v>Semi-Monthly</v>
      </c>
      <c r="AH88" t="str">
        <f>IF(TblFeedFile1[[#This Row],[Return to Work Date ]]="","","Y")</f>
        <v/>
      </c>
    </row>
    <row r="89" spans="1:34" x14ac:dyDescent="0.25">
      <c r="A89" t="s">
        <v>29</v>
      </c>
      <c r="B89">
        <v>314304</v>
      </c>
      <c r="C89">
        <v>10523963</v>
      </c>
      <c r="D89" s="1">
        <v>511701198819</v>
      </c>
      <c r="E89" t="s">
        <v>169</v>
      </c>
      <c r="F89" t="s">
        <v>170</v>
      </c>
      <c r="G89">
        <v>20170115</v>
      </c>
      <c r="I89" t="s">
        <v>53</v>
      </c>
      <c r="L89" t="s">
        <v>34</v>
      </c>
      <c r="M89" t="s">
        <v>34</v>
      </c>
      <c r="N89" t="s">
        <v>35</v>
      </c>
      <c r="O89" t="s">
        <v>35</v>
      </c>
      <c r="P89" t="s">
        <v>35</v>
      </c>
      <c r="Q89" t="s">
        <v>35</v>
      </c>
      <c r="R89" t="s">
        <v>35</v>
      </c>
      <c r="S89" t="s">
        <v>34</v>
      </c>
      <c r="AD89">
        <v>20170124</v>
      </c>
      <c r="AF89" t="str">
        <f>IFERROR(VLOOKUP(RIGHT(TblFeedFile1[[#This Row],[Leave Type ]],6),LkupPayType[],2,FALSE),"TBD")</f>
        <v>TBD</v>
      </c>
      <c r="AG89" t="str">
        <f>IFERROR(VLOOKUP(TblFeedFile1[[#This Row],[ Report Number ]],LkupPayrollCycle[],2,FALSE),"TBD")</f>
        <v>Bi-Weekly</v>
      </c>
      <c r="AH89" t="str">
        <f>IF(TblFeedFile1[[#This Row],[Return to Work Date ]]="","","Y")</f>
        <v/>
      </c>
    </row>
    <row r="90" spans="1:34" x14ac:dyDescent="0.25">
      <c r="A90" t="s">
        <v>37</v>
      </c>
      <c r="B90">
        <v>314304</v>
      </c>
      <c r="C90">
        <v>10523963</v>
      </c>
      <c r="D90" s="1">
        <v>511701198819</v>
      </c>
      <c r="E90" t="s">
        <v>169</v>
      </c>
      <c r="F90" t="s">
        <v>170</v>
      </c>
      <c r="G90">
        <v>20170116</v>
      </c>
      <c r="H90">
        <v>20170206</v>
      </c>
      <c r="I90" t="s">
        <v>53</v>
      </c>
      <c r="L90" t="s">
        <v>34</v>
      </c>
      <c r="M90" t="s">
        <v>34</v>
      </c>
      <c r="N90" t="s">
        <v>35</v>
      </c>
      <c r="O90" t="s">
        <v>35</v>
      </c>
      <c r="P90" t="s">
        <v>35</v>
      </c>
      <c r="Q90" t="s">
        <v>35</v>
      </c>
      <c r="R90" t="s">
        <v>35</v>
      </c>
      <c r="S90" t="s">
        <v>34</v>
      </c>
      <c r="AD90">
        <v>20170124</v>
      </c>
      <c r="AF90" t="str">
        <f>IFERROR(VLOOKUP(RIGHT(TblFeedFile1[[#This Row],[Leave Type ]],6),LkupPayType[],2,FALSE),"TBD")</f>
        <v>TBD</v>
      </c>
      <c r="AG90" t="str">
        <f>IFERROR(VLOOKUP(TblFeedFile1[[#This Row],[ Report Number ]],LkupPayrollCycle[],2,FALSE),"TBD")</f>
        <v>Bi-Weekly</v>
      </c>
      <c r="AH90" t="str">
        <f>IF(TblFeedFile1[[#This Row],[Return to Work Date ]]="","","Y")</f>
        <v/>
      </c>
    </row>
    <row r="91" spans="1:34" x14ac:dyDescent="0.25">
      <c r="A91" t="s">
        <v>37</v>
      </c>
      <c r="B91">
        <v>314304</v>
      </c>
      <c r="C91">
        <v>10523963</v>
      </c>
      <c r="D91" s="1">
        <v>511701198819</v>
      </c>
      <c r="E91" t="s">
        <v>169</v>
      </c>
      <c r="F91" t="s">
        <v>170</v>
      </c>
      <c r="G91">
        <v>20170123</v>
      </c>
      <c r="H91">
        <v>20170206</v>
      </c>
      <c r="I91" t="s">
        <v>40</v>
      </c>
      <c r="L91" t="s">
        <v>34</v>
      </c>
      <c r="M91" t="s">
        <v>34</v>
      </c>
      <c r="N91" t="s">
        <v>35</v>
      </c>
      <c r="O91" t="s">
        <v>35</v>
      </c>
      <c r="P91" t="s">
        <v>35</v>
      </c>
      <c r="Q91" t="s">
        <v>35</v>
      </c>
      <c r="R91" t="s">
        <v>35</v>
      </c>
      <c r="S91" t="s">
        <v>34</v>
      </c>
      <c r="AD91">
        <v>20170124</v>
      </c>
      <c r="AF91" t="str">
        <f>IFERROR(VLOOKUP(RIGHT(TblFeedFile1[[#This Row],[Leave Type ]],6),LkupPayType[],2,FALSE),"TBD")</f>
        <v>TBD</v>
      </c>
      <c r="AG91" t="str">
        <f>IFERROR(VLOOKUP(TblFeedFile1[[#This Row],[ Report Number ]],LkupPayrollCycle[],2,FALSE),"TBD")</f>
        <v>Bi-Weekly</v>
      </c>
      <c r="AH91" t="str">
        <f>IF(TblFeedFile1[[#This Row],[Return to Work Date ]]="","","Y")</f>
        <v/>
      </c>
    </row>
    <row r="92" spans="1:34" x14ac:dyDescent="0.25">
      <c r="A92" t="s">
        <v>29</v>
      </c>
      <c r="B92">
        <v>314304</v>
      </c>
      <c r="C92">
        <v>10529802</v>
      </c>
      <c r="D92" s="1">
        <v>541612288114</v>
      </c>
      <c r="E92" t="s">
        <v>171</v>
      </c>
      <c r="F92" t="s">
        <v>172</v>
      </c>
      <c r="G92">
        <v>20170113</v>
      </c>
      <c r="H92">
        <v>20170306</v>
      </c>
      <c r="I92" t="s">
        <v>40</v>
      </c>
      <c r="L92" t="s">
        <v>34</v>
      </c>
      <c r="M92" t="s">
        <v>34</v>
      </c>
      <c r="N92" t="s">
        <v>35</v>
      </c>
      <c r="O92" t="s">
        <v>35</v>
      </c>
      <c r="P92" t="s">
        <v>35</v>
      </c>
      <c r="Q92" t="s">
        <v>35</v>
      </c>
      <c r="R92" t="s">
        <v>35</v>
      </c>
      <c r="S92" t="s">
        <v>34</v>
      </c>
      <c r="AD92">
        <v>20170124</v>
      </c>
      <c r="AF92" t="str">
        <f>IFERROR(VLOOKUP(RIGHT(TblFeedFile1[[#This Row],[Leave Type ]],6),LkupPayType[],2,FALSE),"TBD")</f>
        <v>TBD</v>
      </c>
      <c r="AG92" t="str">
        <f>IFERROR(VLOOKUP(TblFeedFile1[[#This Row],[ Report Number ]],LkupPayrollCycle[],2,FALSE),"TBD")</f>
        <v>Bi-Weekly</v>
      </c>
      <c r="AH92" t="str">
        <f>IF(TblFeedFile1[[#This Row],[Return to Work Date ]]="","","Y")</f>
        <v/>
      </c>
    </row>
    <row r="93" spans="1:34" x14ac:dyDescent="0.25">
      <c r="A93" t="s">
        <v>37</v>
      </c>
      <c r="B93">
        <v>314304</v>
      </c>
      <c r="C93">
        <v>10529802</v>
      </c>
      <c r="D93" s="1">
        <v>541612288114</v>
      </c>
      <c r="E93" t="s">
        <v>171</v>
      </c>
      <c r="F93" t="s">
        <v>172</v>
      </c>
      <c r="G93">
        <v>20170113</v>
      </c>
      <c r="H93">
        <v>20170331</v>
      </c>
      <c r="I93" t="s">
        <v>40</v>
      </c>
      <c r="L93" t="s">
        <v>34</v>
      </c>
      <c r="M93" t="s">
        <v>34</v>
      </c>
      <c r="N93" t="s">
        <v>35</v>
      </c>
      <c r="O93" t="s">
        <v>35</v>
      </c>
      <c r="P93" t="s">
        <v>35</v>
      </c>
      <c r="Q93" t="s">
        <v>35</v>
      </c>
      <c r="R93" t="s">
        <v>35</v>
      </c>
      <c r="S93" t="s">
        <v>34</v>
      </c>
      <c r="AD93">
        <v>20170124</v>
      </c>
      <c r="AF93" t="str">
        <f>IFERROR(VLOOKUP(RIGHT(TblFeedFile1[[#This Row],[Leave Type ]],6),LkupPayType[],2,FALSE),"TBD")</f>
        <v>TBD</v>
      </c>
      <c r="AG93" t="str">
        <f>IFERROR(VLOOKUP(TblFeedFile1[[#This Row],[ Report Number ]],LkupPayrollCycle[],2,FALSE),"TBD")</f>
        <v>Bi-Weekly</v>
      </c>
      <c r="AH93" t="str">
        <f>IF(TblFeedFile1[[#This Row],[Return to Work Date ]]="","","Y")</f>
        <v/>
      </c>
    </row>
    <row r="94" spans="1:34" x14ac:dyDescent="0.25">
      <c r="A94" t="s">
        <v>37</v>
      </c>
      <c r="B94">
        <v>314304</v>
      </c>
      <c r="C94">
        <v>10536699</v>
      </c>
      <c r="D94" s="1">
        <v>501701248528</v>
      </c>
      <c r="E94" t="s">
        <v>173</v>
      </c>
      <c r="F94" t="s">
        <v>174</v>
      </c>
      <c r="G94">
        <v>20170121</v>
      </c>
      <c r="I94" t="s">
        <v>53</v>
      </c>
      <c r="L94" t="s">
        <v>34</v>
      </c>
      <c r="M94" t="s">
        <v>34</v>
      </c>
      <c r="N94" t="s">
        <v>35</v>
      </c>
      <c r="O94" t="s">
        <v>35</v>
      </c>
      <c r="P94" t="s">
        <v>35</v>
      </c>
      <c r="Q94" t="s">
        <v>35</v>
      </c>
      <c r="R94" t="s">
        <v>35</v>
      </c>
      <c r="S94" t="s">
        <v>34</v>
      </c>
      <c r="AD94">
        <v>20170124</v>
      </c>
      <c r="AF94" t="str">
        <f>IFERROR(VLOOKUP(RIGHT(TblFeedFile1[[#This Row],[Leave Type ]],6),LkupPayType[],2,FALSE),"TBD")</f>
        <v>TBD</v>
      </c>
      <c r="AG94" t="str">
        <f>IFERROR(VLOOKUP(TblFeedFile1[[#This Row],[ Report Number ]],LkupPayrollCycle[],2,FALSE),"TBD")</f>
        <v>Bi-Weekly</v>
      </c>
      <c r="AH94" t="str">
        <f>IF(TblFeedFile1[[#This Row],[Return to Work Date ]]="","","Y")</f>
        <v/>
      </c>
    </row>
    <row r="95" spans="1:34" x14ac:dyDescent="0.25">
      <c r="A95" t="s">
        <v>37</v>
      </c>
      <c r="B95">
        <v>314304</v>
      </c>
      <c r="C95">
        <v>10536699</v>
      </c>
      <c r="D95" s="1" t="s">
        <v>175</v>
      </c>
      <c r="E95" t="s">
        <v>173</v>
      </c>
      <c r="F95" t="s">
        <v>174</v>
      </c>
      <c r="G95">
        <v>20170123</v>
      </c>
      <c r="H95">
        <v>20170223</v>
      </c>
      <c r="I95" t="s">
        <v>78</v>
      </c>
      <c r="K95" t="s">
        <v>79</v>
      </c>
      <c r="L95" t="s">
        <v>34</v>
      </c>
      <c r="M95" t="s">
        <v>34</v>
      </c>
      <c r="N95" t="s">
        <v>35</v>
      </c>
      <c r="O95" t="s">
        <v>35</v>
      </c>
      <c r="P95" t="s">
        <v>35</v>
      </c>
      <c r="Q95" t="s">
        <v>35</v>
      </c>
      <c r="R95" t="s">
        <v>35</v>
      </c>
      <c r="S95" t="s">
        <v>34</v>
      </c>
      <c r="AD95">
        <v>20170124</v>
      </c>
      <c r="AF95" t="str">
        <f>IFERROR(VLOOKUP(RIGHT(TblFeedFile1[[#This Row],[Leave Type ]],6),LkupPayType[],2,FALSE),"TBD")</f>
        <v>TBD</v>
      </c>
      <c r="AG95" t="str">
        <f>IFERROR(VLOOKUP(TblFeedFile1[[#This Row],[ Report Number ]],LkupPayrollCycle[],2,FALSE),"TBD")</f>
        <v>Bi-Weekly</v>
      </c>
      <c r="AH95" t="str">
        <f>IF(TblFeedFile1[[#This Row],[Return to Work Date ]]="","","Y")</f>
        <v/>
      </c>
    </row>
    <row r="96" spans="1:34" x14ac:dyDescent="0.25">
      <c r="A96" t="s">
        <v>37</v>
      </c>
      <c r="B96">
        <v>314304</v>
      </c>
      <c r="C96">
        <v>10544282</v>
      </c>
      <c r="D96" s="1" t="s">
        <v>176</v>
      </c>
      <c r="E96" t="s">
        <v>177</v>
      </c>
      <c r="F96" t="s">
        <v>178</v>
      </c>
      <c r="G96">
        <v>20170121</v>
      </c>
      <c r="H96">
        <v>20170121</v>
      </c>
      <c r="I96" t="s">
        <v>33</v>
      </c>
      <c r="L96" t="s">
        <v>34</v>
      </c>
      <c r="M96" t="s">
        <v>34</v>
      </c>
      <c r="N96" t="s">
        <v>35</v>
      </c>
      <c r="O96" t="s">
        <v>35</v>
      </c>
      <c r="P96" t="s">
        <v>35</v>
      </c>
      <c r="Q96" t="s">
        <v>35</v>
      </c>
      <c r="R96" t="s">
        <v>35</v>
      </c>
      <c r="S96" t="s">
        <v>34</v>
      </c>
      <c r="AC96" t="s">
        <v>35</v>
      </c>
      <c r="AD96">
        <v>20170124</v>
      </c>
      <c r="AF96" t="str">
        <f>IFERROR(VLOOKUP(RIGHT(TblFeedFile1[[#This Row],[Leave Type ]],6),LkupPayType[],2,FALSE),"TBD")</f>
        <v>TBD</v>
      </c>
      <c r="AG96" t="str">
        <f>IFERROR(VLOOKUP(TblFeedFile1[[#This Row],[ Report Number ]],LkupPayrollCycle[],2,FALSE),"TBD")</f>
        <v>Bi-Weekly</v>
      </c>
      <c r="AH96" t="str">
        <f>IF(TblFeedFile1[[#This Row],[Return to Work Date ]]="","","Y")</f>
        <v/>
      </c>
    </row>
    <row r="97" spans="1:34" x14ac:dyDescent="0.25">
      <c r="A97" t="s">
        <v>37</v>
      </c>
      <c r="B97">
        <v>314304</v>
      </c>
      <c r="C97">
        <v>10549586</v>
      </c>
      <c r="D97" s="1">
        <v>501701178018</v>
      </c>
      <c r="E97" t="s">
        <v>179</v>
      </c>
      <c r="F97" t="s">
        <v>180</v>
      </c>
      <c r="G97">
        <v>20170123</v>
      </c>
      <c r="H97">
        <v>20170316</v>
      </c>
      <c r="I97" t="s">
        <v>40</v>
      </c>
      <c r="L97" t="s">
        <v>34</v>
      </c>
      <c r="M97" t="s">
        <v>34</v>
      </c>
      <c r="N97" t="s">
        <v>35</v>
      </c>
      <c r="O97" t="s">
        <v>35</v>
      </c>
      <c r="P97" t="s">
        <v>35</v>
      </c>
      <c r="Q97" t="s">
        <v>35</v>
      </c>
      <c r="R97" t="s">
        <v>35</v>
      </c>
      <c r="S97" t="s">
        <v>34</v>
      </c>
      <c r="AD97">
        <v>20170124</v>
      </c>
      <c r="AF97" t="str">
        <f>IFERROR(VLOOKUP(RIGHT(TblFeedFile1[[#This Row],[Leave Type ]],6),LkupPayType[],2,FALSE),"TBD")</f>
        <v>TBD</v>
      </c>
      <c r="AG97" t="str">
        <f>IFERROR(VLOOKUP(TblFeedFile1[[#This Row],[ Report Number ]],LkupPayrollCycle[],2,FALSE),"TBD")</f>
        <v>Bi-Weekly</v>
      </c>
      <c r="AH97" t="str">
        <f>IF(TblFeedFile1[[#This Row],[Return to Work Date ]]="","","Y")</f>
        <v/>
      </c>
    </row>
    <row r="98" spans="1:34" x14ac:dyDescent="0.25">
      <c r="A98" t="s">
        <v>37</v>
      </c>
      <c r="B98">
        <v>314304</v>
      </c>
      <c r="C98">
        <v>10551750</v>
      </c>
      <c r="D98" s="1">
        <v>541701238234</v>
      </c>
      <c r="E98" t="s">
        <v>147</v>
      </c>
      <c r="F98" t="s">
        <v>181</v>
      </c>
      <c r="G98">
        <v>20170117</v>
      </c>
      <c r="H98">
        <v>20170414</v>
      </c>
      <c r="I98" t="s">
        <v>53</v>
      </c>
      <c r="L98" t="s">
        <v>34</v>
      </c>
      <c r="M98" t="s">
        <v>34</v>
      </c>
      <c r="N98" t="s">
        <v>35</v>
      </c>
      <c r="O98" t="s">
        <v>35</v>
      </c>
      <c r="P98" t="s">
        <v>35</v>
      </c>
      <c r="Q98" t="s">
        <v>34</v>
      </c>
      <c r="R98" t="s">
        <v>35</v>
      </c>
      <c r="S98" t="s">
        <v>35</v>
      </c>
      <c r="AD98">
        <v>20170124</v>
      </c>
      <c r="AF98" t="str">
        <f>IFERROR(VLOOKUP(RIGHT(TblFeedFile1[[#This Row],[Leave Type ]],6),LkupPayType[],2,FALSE),"TBD")</f>
        <v>TBD</v>
      </c>
      <c r="AG98" t="str">
        <f>IFERROR(VLOOKUP(TblFeedFile1[[#This Row],[ Report Number ]],LkupPayrollCycle[],2,FALSE),"TBD")</f>
        <v>Bi-Weekly</v>
      </c>
      <c r="AH98" t="str">
        <f>IF(TblFeedFile1[[#This Row],[Return to Work Date ]]="","","Y")</f>
        <v/>
      </c>
    </row>
    <row r="99" spans="1:34" x14ac:dyDescent="0.25">
      <c r="A99" t="s">
        <v>37</v>
      </c>
      <c r="B99">
        <v>314304</v>
      </c>
      <c r="C99">
        <v>10551750</v>
      </c>
      <c r="D99" s="1">
        <v>541701238234</v>
      </c>
      <c r="E99" t="s">
        <v>147</v>
      </c>
      <c r="F99" t="s">
        <v>181</v>
      </c>
      <c r="G99">
        <v>20170124</v>
      </c>
      <c r="H99">
        <v>20170414</v>
      </c>
      <c r="I99" t="s">
        <v>40</v>
      </c>
      <c r="L99" t="s">
        <v>34</v>
      </c>
      <c r="M99" t="s">
        <v>34</v>
      </c>
      <c r="N99" t="s">
        <v>35</v>
      </c>
      <c r="O99" t="s">
        <v>35</v>
      </c>
      <c r="P99" t="s">
        <v>35</v>
      </c>
      <c r="Q99" t="s">
        <v>34</v>
      </c>
      <c r="R99" t="s">
        <v>35</v>
      </c>
      <c r="S99" t="s">
        <v>35</v>
      </c>
      <c r="AD99">
        <v>20170124</v>
      </c>
      <c r="AF99" t="str">
        <f>IFERROR(VLOOKUP(RIGHT(TblFeedFile1[[#This Row],[Leave Type ]],6),LkupPayType[],2,FALSE),"TBD")</f>
        <v>TBD</v>
      </c>
      <c r="AG99" t="str">
        <f>IFERROR(VLOOKUP(TblFeedFile1[[#This Row],[ Report Number ]],LkupPayrollCycle[],2,FALSE),"TBD")</f>
        <v>Bi-Weekly</v>
      </c>
      <c r="AH99" t="str">
        <f>IF(TblFeedFile1[[#This Row],[Return to Work Date ]]="","","Y")</f>
        <v/>
      </c>
    </row>
    <row r="100" spans="1:34" x14ac:dyDescent="0.25">
      <c r="A100" t="s">
        <v>37</v>
      </c>
      <c r="B100">
        <v>314301</v>
      </c>
      <c r="C100">
        <v>10559777</v>
      </c>
      <c r="D100" s="1" t="s">
        <v>182</v>
      </c>
      <c r="E100" t="s">
        <v>183</v>
      </c>
      <c r="F100" t="s">
        <v>184</v>
      </c>
      <c r="G100">
        <v>20160912</v>
      </c>
      <c r="H100">
        <v>20161230</v>
      </c>
      <c r="I100" t="s">
        <v>185</v>
      </c>
      <c r="L100" t="s">
        <v>34</v>
      </c>
      <c r="M100" t="s">
        <v>34</v>
      </c>
      <c r="N100" t="s">
        <v>35</v>
      </c>
      <c r="O100" t="s">
        <v>35</v>
      </c>
      <c r="P100" t="s">
        <v>35</v>
      </c>
      <c r="Q100" t="s">
        <v>35</v>
      </c>
      <c r="R100" t="s">
        <v>35</v>
      </c>
      <c r="S100" t="s">
        <v>34</v>
      </c>
      <c r="AD100">
        <v>20170124</v>
      </c>
      <c r="AF100" t="str">
        <f>IFERROR(VLOOKUP(RIGHT(TblFeedFile1[[#This Row],[Leave Type ]],6),LkupPayType[],2,FALSE),"TBD")</f>
        <v>TBD</v>
      </c>
      <c r="AG100" t="str">
        <f>IFERROR(VLOOKUP(TblFeedFile1[[#This Row],[ Report Number ]],LkupPayrollCycle[],2,FALSE),"TBD")</f>
        <v>Semi-Monthly</v>
      </c>
      <c r="AH100" t="str">
        <f>IF(TblFeedFile1[[#This Row],[Return to Work Date ]]="","","Y")</f>
        <v/>
      </c>
    </row>
    <row r="101" spans="1:34" x14ac:dyDescent="0.25">
      <c r="A101" t="s">
        <v>37</v>
      </c>
      <c r="B101">
        <v>314304</v>
      </c>
      <c r="C101">
        <v>20009839</v>
      </c>
      <c r="D101" s="1" t="s">
        <v>186</v>
      </c>
      <c r="E101" t="s">
        <v>187</v>
      </c>
      <c r="F101" t="s">
        <v>188</v>
      </c>
      <c r="G101">
        <v>20170103</v>
      </c>
      <c r="H101">
        <v>20170203</v>
      </c>
      <c r="I101" t="s">
        <v>36</v>
      </c>
      <c r="L101" t="s">
        <v>34</v>
      </c>
      <c r="M101" t="s">
        <v>34</v>
      </c>
      <c r="N101" t="s">
        <v>35</v>
      </c>
      <c r="O101" t="s">
        <v>35</v>
      </c>
      <c r="P101" t="s">
        <v>35</v>
      </c>
      <c r="Q101" t="s">
        <v>35</v>
      </c>
      <c r="R101" t="s">
        <v>35</v>
      </c>
      <c r="S101" t="s">
        <v>34</v>
      </c>
      <c r="AD101">
        <v>20170124</v>
      </c>
      <c r="AF101" t="str">
        <f>IFERROR(VLOOKUP(RIGHT(TblFeedFile1[[#This Row],[Leave Type ]],6),LkupPayType[],2,FALSE),"TBD")</f>
        <v>TBD</v>
      </c>
      <c r="AG101" t="str">
        <f>IFERROR(VLOOKUP(TblFeedFile1[[#This Row],[ Report Number ]],LkupPayrollCycle[],2,FALSE),"TBD")</f>
        <v>Bi-Weekly</v>
      </c>
      <c r="AH101" t="str">
        <f>IF(TblFeedFile1[[#This Row],[Return to Work Date ]]="","","Y")</f>
        <v/>
      </c>
    </row>
    <row r="102" spans="1:34" x14ac:dyDescent="0.25">
      <c r="A102" t="s">
        <v>29</v>
      </c>
      <c r="B102">
        <v>314304</v>
      </c>
      <c r="C102">
        <v>20012235</v>
      </c>
      <c r="D102" s="1">
        <v>511701188559</v>
      </c>
      <c r="E102" t="s">
        <v>189</v>
      </c>
      <c r="F102" t="s">
        <v>190</v>
      </c>
      <c r="G102">
        <v>20170110</v>
      </c>
      <c r="H102">
        <v>20170131</v>
      </c>
      <c r="I102" t="s">
        <v>40</v>
      </c>
      <c r="L102" t="s">
        <v>34</v>
      </c>
      <c r="M102" t="s">
        <v>35</v>
      </c>
      <c r="N102" t="s">
        <v>35</v>
      </c>
      <c r="O102" t="s">
        <v>35</v>
      </c>
      <c r="P102" t="s">
        <v>35</v>
      </c>
      <c r="Q102" t="s">
        <v>35</v>
      </c>
      <c r="R102" t="s">
        <v>34</v>
      </c>
      <c r="S102" t="s">
        <v>34</v>
      </c>
      <c r="AD102">
        <v>20170124</v>
      </c>
      <c r="AF102" t="str">
        <f>IFERROR(VLOOKUP(RIGHT(TblFeedFile1[[#This Row],[Leave Type ]],6),LkupPayType[],2,FALSE),"TBD")</f>
        <v>TBD</v>
      </c>
      <c r="AG102" t="str">
        <f>IFERROR(VLOOKUP(TblFeedFile1[[#This Row],[ Report Number ]],LkupPayrollCycle[],2,FALSE),"TBD")</f>
        <v>Bi-Weekly</v>
      </c>
      <c r="AH102" t="str">
        <f>IF(TblFeedFile1[[#This Row],[Return to Work Date ]]="","","Y")</f>
        <v/>
      </c>
    </row>
    <row r="103" spans="1:34" x14ac:dyDescent="0.25">
      <c r="A103" t="s">
        <v>37</v>
      </c>
      <c r="B103">
        <v>314304</v>
      </c>
      <c r="C103">
        <v>20012235</v>
      </c>
      <c r="D103" s="1">
        <v>511701188559</v>
      </c>
      <c r="E103" t="s">
        <v>189</v>
      </c>
      <c r="F103" t="s">
        <v>190</v>
      </c>
      <c r="G103">
        <v>20170110</v>
      </c>
      <c r="H103">
        <v>20170202</v>
      </c>
      <c r="I103" t="s">
        <v>40</v>
      </c>
      <c r="L103" t="s">
        <v>34</v>
      </c>
      <c r="M103" t="s">
        <v>35</v>
      </c>
      <c r="N103" t="s">
        <v>35</v>
      </c>
      <c r="O103" t="s">
        <v>35</v>
      </c>
      <c r="P103" t="s">
        <v>35</v>
      </c>
      <c r="Q103" t="s">
        <v>35</v>
      </c>
      <c r="R103" t="s">
        <v>34</v>
      </c>
      <c r="S103" t="s">
        <v>34</v>
      </c>
      <c r="AD103">
        <v>20170124</v>
      </c>
      <c r="AF103" t="str">
        <f>IFERROR(VLOOKUP(RIGHT(TblFeedFile1[[#This Row],[Leave Type ]],6),LkupPayType[],2,FALSE),"TBD")</f>
        <v>TBD</v>
      </c>
      <c r="AG103" t="str">
        <f>IFERROR(VLOOKUP(TblFeedFile1[[#This Row],[ Report Number ]],LkupPayrollCycle[],2,FALSE),"TBD")</f>
        <v>Bi-Weekly</v>
      </c>
      <c r="AH103" t="str">
        <f>IF(TblFeedFile1[[#This Row],[Return to Work Date ]]="","","Y")</f>
        <v/>
      </c>
    </row>
    <row r="104" spans="1:34" x14ac:dyDescent="0.25">
      <c r="A104" t="s">
        <v>29</v>
      </c>
      <c r="B104">
        <v>314305</v>
      </c>
      <c r="C104">
        <v>20029624</v>
      </c>
      <c r="D104" s="1" t="s">
        <v>191</v>
      </c>
      <c r="E104" t="s">
        <v>192</v>
      </c>
      <c r="F104" t="s">
        <v>193</v>
      </c>
      <c r="G104">
        <v>20161020</v>
      </c>
      <c r="H104">
        <v>20161020</v>
      </c>
      <c r="I104" t="s">
        <v>33</v>
      </c>
      <c r="L104" t="s">
        <v>34</v>
      </c>
      <c r="M104" t="s">
        <v>34</v>
      </c>
      <c r="N104" t="s">
        <v>35</v>
      </c>
      <c r="O104" t="s">
        <v>35</v>
      </c>
      <c r="P104" t="s">
        <v>35</v>
      </c>
      <c r="Q104" t="s">
        <v>35</v>
      </c>
      <c r="R104" t="s">
        <v>35</v>
      </c>
      <c r="S104" t="s">
        <v>34</v>
      </c>
      <c r="AC104" t="s">
        <v>35</v>
      </c>
      <c r="AD104">
        <v>20170124</v>
      </c>
      <c r="AF104" t="str">
        <f>IFERROR(VLOOKUP(RIGHT(TblFeedFile1[[#This Row],[Leave Type ]],6),LkupPayType[],2,FALSE),"TBD")</f>
        <v>TBD</v>
      </c>
      <c r="AG104" t="str">
        <f>IFERROR(VLOOKUP(TblFeedFile1[[#This Row],[ Report Number ]],LkupPayrollCycle[],2,FALSE),"TBD")</f>
        <v>Bi-Weekly</v>
      </c>
      <c r="AH104" t="str">
        <f>IF(TblFeedFile1[[#This Row],[Return to Work Date ]]="","","Y")</f>
        <v/>
      </c>
    </row>
    <row r="105" spans="1:34" x14ac:dyDescent="0.25">
      <c r="A105" t="s">
        <v>29</v>
      </c>
      <c r="B105">
        <v>314305</v>
      </c>
      <c r="C105">
        <v>20029624</v>
      </c>
      <c r="D105" s="1" t="s">
        <v>191</v>
      </c>
      <c r="E105" t="s">
        <v>192</v>
      </c>
      <c r="F105" t="s">
        <v>193</v>
      </c>
      <c r="G105">
        <v>20141020</v>
      </c>
      <c r="H105">
        <v>20161019</v>
      </c>
      <c r="I105" t="s">
        <v>36</v>
      </c>
      <c r="L105" t="s">
        <v>34</v>
      </c>
      <c r="M105" t="s">
        <v>34</v>
      </c>
      <c r="N105" t="s">
        <v>35</v>
      </c>
      <c r="O105" t="s">
        <v>35</v>
      </c>
      <c r="P105" t="s">
        <v>35</v>
      </c>
      <c r="Q105" t="s">
        <v>35</v>
      </c>
      <c r="R105" t="s">
        <v>35</v>
      </c>
      <c r="S105" t="s">
        <v>34</v>
      </c>
      <c r="AC105" t="s">
        <v>35</v>
      </c>
      <c r="AD105">
        <v>20170124</v>
      </c>
      <c r="AF105" t="str">
        <f>IFERROR(VLOOKUP(RIGHT(TblFeedFile1[[#This Row],[Leave Type ]],6),LkupPayType[],2,FALSE),"TBD")</f>
        <v>TBD</v>
      </c>
      <c r="AG105" t="str">
        <f>IFERROR(VLOOKUP(TblFeedFile1[[#This Row],[ Report Number ]],LkupPayrollCycle[],2,FALSE),"TBD")</f>
        <v>Bi-Weekly</v>
      </c>
      <c r="AH105" t="str">
        <f>IF(TblFeedFile1[[#This Row],[Return to Work Date ]]="","","Y")</f>
        <v/>
      </c>
    </row>
    <row r="106" spans="1:34" x14ac:dyDescent="0.25">
      <c r="A106" t="s">
        <v>37</v>
      </c>
      <c r="B106">
        <v>314305</v>
      </c>
      <c r="C106">
        <v>20029624</v>
      </c>
      <c r="D106" s="1" t="s">
        <v>191</v>
      </c>
      <c r="E106" t="s">
        <v>192</v>
      </c>
      <c r="F106" t="s">
        <v>193</v>
      </c>
      <c r="G106">
        <v>20141020</v>
      </c>
      <c r="H106">
        <v>20170930</v>
      </c>
      <c r="I106" t="s">
        <v>36</v>
      </c>
      <c r="L106" t="s">
        <v>34</v>
      </c>
      <c r="M106" t="s">
        <v>34</v>
      </c>
      <c r="N106" t="s">
        <v>35</v>
      </c>
      <c r="O106" t="s">
        <v>35</v>
      </c>
      <c r="P106" t="s">
        <v>35</v>
      </c>
      <c r="Q106" t="s">
        <v>35</v>
      </c>
      <c r="R106" t="s">
        <v>35</v>
      </c>
      <c r="S106" t="s">
        <v>34</v>
      </c>
      <c r="AC106" t="s">
        <v>35</v>
      </c>
      <c r="AD106">
        <v>20170124</v>
      </c>
      <c r="AF106" t="str">
        <f>IFERROR(VLOOKUP(RIGHT(TblFeedFile1[[#This Row],[Leave Type ]],6),LkupPayType[],2,FALSE),"TBD")</f>
        <v>TBD</v>
      </c>
      <c r="AG106" t="str">
        <f>IFERROR(VLOOKUP(TblFeedFile1[[#This Row],[ Report Number ]],LkupPayrollCycle[],2,FALSE),"TBD")</f>
        <v>Bi-Weekly</v>
      </c>
      <c r="AH106" t="str">
        <f>IF(TblFeedFile1[[#This Row],[Return to Work Date ]]="","","Y")</f>
        <v/>
      </c>
    </row>
    <row r="107" spans="1:34" x14ac:dyDescent="0.25">
      <c r="A107" t="s">
        <v>29</v>
      </c>
      <c r="B107">
        <v>314304</v>
      </c>
      <c r="C107">
        <v>20037838</v>
      </c>
      <c r="D107" s="1" t="s">
        <v>194</v>
      </c>
      <c r="E107" t="s">
        <v>195</v>
      </c>
      <c r="F107" t="s">
        <v>173</v>
      </c>
      <c r="G107">
        <v>20170116</v>
      </c>
      <c r="H107">
        <v>20170122</v>
      </c>
      <c r="I107" t="s">
        <v>78</v>
      </c>
      <c r="K107" t="s">
        <v>79</v>
      </c>
      <c r="L107" t="s">
        <v>34</v>
      </c>
      <c r="M107" t="s">
        <v>34</v>
      </c>
      <c r="N107" t="s">
        <v>35</v>
      </c>
      <c r="O107" t="s">
        <v>35</v>
      </c>
      <c r="P107" t="s">
        <v>35</v>
      </c>
      <c r="Q107" t="s">
        <v>35</v>
      </c>
      <c r="R107" t="s">
        <v>35</v>
      </c>
      <c r="S107" t="s">
        <v>34</v>
      </c>
      <c r="AD107">
        <v>20170124</v>
      </c>
      <c r="AF107" t="str">
        <f>IFERROR(VLOOKUP(RIGHT(TblFeedFile1[[#This Row],[Leave Type ]],6),LkupPayType[],2,FALSE),"TBD")</f>
        <v>TBD</v>
      </c>
      <c r="AG107" t="str">
        <f>IFERROR(VLOOKUP(TblFeedFile1[[#This Row],[ Report Number ]],LkupPayrollCycle[],2,FALSE),"TBD")</f>
        <v>Bi-Weekly</v>
      </c>
      <c r="AH107" t="str">
        <f>IF(TblFeedFile1[[#This Row],[Return to Work Date ]]="","","Y")</f>
        <v/>
      </c>
    </row>
    <row r="108" spans="1:34" x14ac:dyDescent="0.25">
      <c r="A108" t="s">
        <v>37</v>
      </c>
      <c r="B108">
        <v>314304</v>
      </c>
      <c r="C108">
        <v>20037838</v>
      </c>
      <c r="D108" s="1">
        <v>561612218546</v>
      </c>
      <c r="E108" t="s">
        <v>195</v>
      </c>
      <c r="F108" t="s">
        <v>173</v>
      </c>
      <c r="G108">
        <v>20170113</v>
      </c>
      <c r="H108">
        <v>20170122</v>
      </c>
      <c r="I108" t="s">
        <v>40</v>
      </c>
      <c r="L108" t="s">
        <v>34</v>
      </c>
      <c r="M108" t="s">
        <v>34</v>
      </c>
      <c r="N108" t="s">
        <v>35</v>
      </c>
      <c r="O108" t="s">
        <v>35</v>
      </c>
      <c r="P108" t="s">
        <v>35</v>
      </c>
      <c r="Q108" t="s">
        <v>35</v>
      </c>
      <c r="R108" t="s">
        <v>35</v>
      </c>
      <c r="S108" t="s">
        <v>34</v>
      </c>
      <c r="AD108">
        <v>20170124</v>
      </c>
      <c r="AF108" t="str">
        <f>IFERROR(VLOOKUP(RIGHT(TblFeedFile1[[#This Row],[Leave Type ]],6),LkupPayType[],2,FALSE),"TBD")</f>
        <v>TBD</v>
      </c>
      <c r="AG108" t="str">
        <f>IFERROR(VLOOKUP(TblFeedFile1[[#This Row],[ Report Number ]],LkupPayrollCycle[],2,FALSE),"TBD")</f>
        <v>Bi-Weekly</v>
      </c>
      <c r="AH108" t="str">
        <f>IF(TblFeedFile1[[#This Row],[Return to Work Date ]]="","","Y")</f>
        <v/>
      </c>
    </row>
    <row r="109" spans="1:34" x14ac:dyDescent="0.25">
      <c r="A109" t="s">
        <v>37</v>
      </c>
      <c r="B109">
        <v>314304</v>
      </c>
      <c r="C109">
        <v>20037838</v>
      </c>
      <c r="D109" s="1" t="s">
        <v>194</v>
      </c>
      <c r="E109" t="s">
        <v>195</v>
      </c>
      <c r="F109" t="s">
        <v>173</v>
      </c>
      <c r="G109">
        <v>20170121</v>
      </c>
      <c r="H109">
        <v>20170122</v>
      </c>
      <c r="I109" t="s">
        <v>36</v>
      </c>
      <c r="L109" t="s">
        <v>34</v>
      </c>
      <c r="M109" t="s">
        <v>34</v>
      </c>
      <c r="N109" t="s">
        <v>35</v>
      </c>
      <c r="O109" t="s">
        <v>35</v>
      </c>
      <c r="P109" t="s">
        <v>35</v>
      </c>
      <c r="Q109" t="s">
        <v>35</v>
      </c>
      <c r="R109" t="s">
        <v>35</v>
      </c>
      <c r="S109" t="s">
        <v>34</v>
      </c>
      <c r="T109">
        <v>20170123</v>
      </c>
      <c r="AD109">
        <v>20170124</v>
      </c>
      <c r="AF109" t="str">
        <f>IFERROR(VLOOKUP(RIGHT(TblFeedFile1[[#This Row],[Leave Type ]],6),LkupPayType[],2,FALSE),"TBD")</f>
        <v>TBD</v>
      </c>
      <c r="AG109" t="str">
        <f>IFERROR(VLOOKUP(TblFeedFile1[[#This Row],[ Report Number ]],LkupPayrollCycle[],2,FALSE),"TBD")</f>
        <v>Bi-Weekly</v>
      </c>
      <c r="AH109" t="str">
        <f>IF(TblFeedFile1[[#This Row],[Return to Work Date ]]="","","Y")</f>
        <v>Y</v>
      </c>
    </row>
    <row r="110" spans="1:34" x14ac:dyDescent="0.25">
      <c r="A110" t="s">
        <v>37</v>
      </c>
      <c r="B110">
        <v>314304</v>
      </c>
      <c r="C110">
        <v>20044138</v>
      </c>
      <c r="D110" s="1">
        <v>511701188389</v>
      </c>
      <c r="E110" t="s">
        <v>196</v>
      </c>
      <c r="F110" t="s">
        <v>197</v>
      </c>
      <c r="G110">
        <v>20170124</v>
      </c>
      <c r="H110">
        <v>20170201</v>
      </c>
      <c r="I110" t="s">
        <v>40</v>
      </c>
      <c r="L110" t="s">
        <v>34</v>
      </c>
      <c r="M110" t="s">
        <v>34</v>
      </c>
      <c r="N110" t="s">
        <v>35</v>
      </c>
      <c r="O110" t="s">
        <v>35</v>
      </c>
      <c r="P110" t="s">
        <v>35</v>
      </c>
      <c r="Q110" t="s">
        <v>35</v>
      </c>
      <c r="R110" t="s">
        <v>35</v>
      </c>
      <c r="S110" t="s">
        <v>34</v>
      </c>
      <c r="AD110">
        <v>20170124</v>
      </c>
      <c r="AF110" t="str">
        <f>IFERROR(VLOOKUP(RIGHT(TblFeedFile1[[#This Row],[Leave Type ]],6),LkupPayType[],2,FALSE),"TBD")</f>
        <v>TBD</v>
      </c>
      <c r="AG110" t="str">
        <f>IFERROR(VLOOKUP(TblFeedFile1[[#This Row],[ Report Number ]],LkupPayrollCycle[],2,FALSE),"TBD")</f>
        <v>Bi-Weekly</v>
      </c>
      <c r="AH110" t="str">
        <f>IF(TblFeedFile1[[#This Row],[Return to Work Date ]]="","","Y")</f>
        <v/>
      </c>
    </row>
    <row r="111" spans="1:34" x14ac:dyDescent="0.25">
      <c r="A111" t="s">
        <v>29</v>
      </c>
      <c r="B111">
        <v>314304</v>
      </c>
      <c r="C111">
        <v>20056094</v>
      </c>
      <c r="D111" s="1" t="s">
        <v>198</v>
      </c>
      <c r="E111" t="s">
        <v>199</v>
      </c>
      <c r="F111" t="s">
        <v>200</v>
      </c>
      <c r="G111">
        <v>20170111</v>
      </c>
      <c r="H111">
        <v>20170111</v>
      </c>
      <c r="I111" t="s">
        <v>33</v>
      </c>
      <c r="L111" t="s">
        <v>34</v>
      </c>
      <c r="M111" t="s">
        <v>34</v>
      </c>
      <c r="N111" t="s">
        <v>35</v>
      </c>
      <c r="O111" t="s">
        <v>35</v>
      </c>
      <c r="P111" t="s">
        <v>35</v>
      </c>
      <c r="Q111" t="s">
        <v>35</v>
      </c>
      <c r="R111" t="s">
        <v>35</v>
      </c>
      <c r="S111" t="s">
        <v>34</v>
      </c>
      <c r="AC111" t="s">
        <v>35</v>
      </c>
      <c r="AD111">
        <v>20170124</v>
      </c>
      <c r="AF111" t="str">
        <f>IFERROR(VLOOKUP(RIGHT(TblFeedFile1[[#This Row],[Leave Type ]],6),LkupPayType[],2,FALSE),"TBD")</f>
        <v>TBD</v>
      </c>
      <c r="AG111" t="str">
        <f>IFERROR(VLOOKUP(TblFeedFile1[[#This Row],[ Report Number ]],LkupPayrollCycle[],2,FALSE),"TBD")</f>
        <v>Bi-Weekly</v>
      </c>
      <c r="AH111" t="str">
        <f>IF(TblFeedFile1[[#This Row],[Return to Work Date ]]="","","Y")</f>
        <v/>
      </c>
    </row>
    <row r="112" spans="1:34" x14ac:dyDescent="0.25">
      <c r="A112" t="s">
        <v>29</v>
      </c>
      <c r="B112">
        <v>314304</v>
      </c>
      <c r="C112">
        <v>20056094</v>
      </c>
      <c r="D112" s="1" t="s">
        <v>198</v>
      </c>
      <c r="E112" t="s">
        <v>199</v>
      </c>
      <c r="F112" t="s">
        <v>200</v>
      </c>
      <c r="G112">
        <v>20120401</v>
      </c>
      <c r="H112">
        <v>20170110</v>
      </c>
      <c r="I112" t="s">
        <v>201</v>
      </c>
      <c r="L112" t="s">
        <v>34</v>
      </c>
      <c r="M112" t="s">
        <v>34</v>
      </c>
      <c r="N112" t="s">
        <v>35</v>
      </c>
      <c r="O112" t="s">
        <v>35</v>
      </c>
      <c r="P112" t="s">
        <v>35</v>
      </c>
      <c r="Q112" t="s">
        <v>35</v>
      </c>
      <c r="R112" t="s">
        <v>35</v>
      </c>
      <c r="S112" t="s">
        <v>34</v>
      </c>
      <c r="AC112" t="s">
        <v>35</v>
      </c>
      <c r="AD112">
        <v>20170124</v>
      </c>
      <c r="AF112" t="str">
        <f>IFERROR(VLOOKUP(RIGHT(TblFeedFile1[[#This Row],[Leave Type ]],6),LkupPayType[],2,FALSE),"TBD")</f>
        <v>TBD</v>
      </c>
      <c r="AG112" t="str">
        <f>IFERROR(VLOOKUP(TblFeedFile1[[#This Row],[ Report Number ]],LkupPayrollCycle[],2,FALSE),"TBD")</f>
        <v>Bi-Weekly</v>
      </c>
      <c r="AH112" t="str">
        <f>IF(TblFeedFile1[[#This Row],[Return to Work Date ]]="","","Y")</f>
        <v/>
      </c>
    </row>
    <row r="113" spans="1:34" x14ac:dyDescent="0.25">
      <c r="A113" t="s">
        <v>37</v>
      </c>
      <c r="B113">
        <v>314304</v>
      </c>
      <c r="C113">
        <v>20056094</v>
      </c>
      <c r="D113" s="1" t="s">
        <v>198</v>
      </c>
      <c r="E113" t="s">
        <v>199</v>
      </c>
      <c r="F113" t="s">
        <v>200</v>
      </c>
      <c r="G113">
        <v>20120401</v>
      </c>
      <c r="H113">
        <v>20180101</v>
      </c>
      <c r="I113" t="s">
        <v>201</v>
      </c>
      <c r="L113" t="s">
        <v>34</v>
      </c>
      <c r="M113" t="s">
        <v>34</v>
      </c>
      <c r="N113" t="s">
        <v>35</v>
      </c>
      <c r="O113" t="s">
        <v>35</v>
      </c>
      <c r="P113" t="s">
        <v>35</v>
      </c>
      <c r="Q113" t="s">
        <v>35</v>
      </c>
      <c r="R113" t="s">
        <v>35</v>
      </c>
      <c r="S113" t="s">
        <v>34</v>
      </c>
      <c r="AC113" t="s">
        <v>35</v>
      </c>
      <c r="AD113">
        <v>20170124</v>
      </c>
      <c r="AF113" t="str">
        <f>IFERROR(VLOOKUP(RIGHT(TblFeedFile1[[#This Row],[Leave Type ]],6),LkupPayType[],2,FALSE),"TBD")</f>
        <v>TBD</v>
      </c>
      <c r="AG113" t="str">
        <f>IFERROR(VLOOKUP(TblFeedFile1[[#This Row],[ Report Number ]],LkupPayrollCycle[],2,FALSE),"TBD")</f>
        <v>Bi-Weekly</v>
      </c>
      <c r="AH113" t="str">
        <f>IF(TblFeedFile1[[#This Row],[Return to Work Date ]]="","","Y")</f>
        <v/>
      </c>
    </row>
    <row r="114" spans="1:34" x14ac:dyDescent="0.25">
      <c r="A114" t="s">
        <v>29</v>
      </c>
      <c r="B114">
        <v>314304</v>
      </c>
      <c r="C114">
        <v>20122671</v>
      </c>
      <c r="D114" s="1">
        <v>521701208842</v>
      </c>
      <c r="E114" t="s">
        <v>202</v>
      </c>
      <c r="F114" t="s">
        <v>203</v>
      </c>
      <c r="G114">
        <v>20170114</v>
      </c>
      <c r="I114" t="s">
        <v>53</v>
      </c>
      <c r="L114" t="s">
        <v>34</v>
      </c>
      <c r="M114" t="s">
        <v>34</v>
      </c>
      <c r="N114" t="s">
        <v>35</v>
      </c>
      <c r="O114" t="s">
        <v>35</v>
      </c>
      <c r="P114" t="s">
        <v>35</v>
      </c>
      <c r="Q114" t="s">
        <v>35</v>
      </c>
      <c r="R114" t="s">
        <v>35</v>
      </c>
      <c r="S114" t="s">
        <v>34</v>
      </c>
      <c r="AD114">
        <v>20170124</v>
      </c>
      <c r="AF114" t="str">
        <f>IFERROR(VLOOKUP(RIGHT(TblFeedFile1[[#This Row],[Leave Type ]],6),LkupPayType[],2,FALSE),"TBD")</f>
        <v>TBD</v>
      </c>
      <c r="AG114" t="str">
        <f>IFERROR(VLOOKUP(TblFeedFile1[[#This Row],[ Report Number ]],LkupPayrollCycle[],2,FALSE),"TBD")</f>
        <v>Bi-Weekly</v>
      </c>
      <c r="AH114" t="str">
        <f>IF(TblFeedFile1[[#This Row],[Return to Work Date ]]="","","Y")</f>
        <v/>
      </c>
    </row>
    <row r="115" spans="1:34" x14ac:dyDescent="0.25">
      <c r="A115" t="s">
        <v>37</v>
      </c>
      <c r="B115">
        <v>314304</v>
      </c>
      <c r="C115">
        <v>20122671</v>
      </c>
      <c r="D115" s="1">
        <v>521701208842</v>
      </c>
      <c r="E115" t="s">
        <v>202</v>
      </c>
      <c r="F115" t="s">
        <v>203</v>
      </c>
      <c r="G115">
        <v>20170117</v>
      </c>
      <c r="H115">
        <v>20170316</v>
      </c>
      <c r="I115" t="s">
        <v>53</v>
      </c>
      <c r="L115" t="s">
        <v>34</v>
      </c>
      <c r="M115" t="s">
        <v>34</v>
      </c>
      <c r="N115" t="s">
        <v>35</v>
      </c>
      <c r="O115" t="s">
        <v>35</v>
      </c>
      <c r="P115" t="s">
        <v>35</v>
      </c>
      <c r="Q115" t="s">
        <v>35</v>
      </c>
      <c r="R115" t="s">
        <v>35</v>
      </c>
      <c r="S115" t="s">
        <v>34</v>
      </c>
      <c r="AD115">
        <v>20170124</v>
      </c>
      <c r="AF115" t="str">
        <f>IFERROR(VLOOKUP(RIGHT(TblFeedFile1[[#This Row],[Leave Type ]],6),LkupPayType[],2,FALSE),"TBD")</f>
        <v>TBD</v>
      </c>
      <c r="AG115" t="str">
        <f>IFERROR(VLOOKUP(TblFeedFile1[[#This Row],[ Report Number ]],LkupPayrollCycle[],2,FALSE),"TBD")</f>
        <v>Bi-Weekly</v>
      </c>
      <c r="AH115" t="str">
        <f>IF(TblFeedFile1[[#This Row],[Return to Work Date ]]="","","Y")</f>
        <v/>
      </c>
    </row>
    <row r="116" spans="1:34" x14ac:dyDescent="0.25">
      <c r="A116" t="s">
        <v>37</v>
      </c>
      <c r="B116">
        <v>314304</v>
      </c>
      <c r="C116">
        <v>20122671</v>
      </c>
      <c r="D116" s="1">
        <v>521701208842</v>
      </c>
      <c r="E116" t="s">
        <v>202</v>
      </c>
      <c r="F116" t="s">
        <v>203</v>
      </c>
      <c r="G116">
        <v>20170124</v>
      </c>
      <c r="H116">
        <v>20170316</v>
      </c>
      <c r="I116" t="s">
        <v>40</v>
      </c>
      <c r="L116" t="s">
        <v>34</v>
      </c>
      <c r="M116" t="s">
        <v>34</v>
      </c>
      <c r="N116" t="s">
        <v>35</v>
      </c>
      <c r="O116" t="s">
        <v>35</v>
      </c>
      <c r="P116" t="s">
        <v>35</v>
      </c>
      <c r="Q116" t="s">
        <v>35</v>
      </c>
      <c r="R116" t="s">
        <v>35</v>
      </c>
      <c r="S116" t="s">
        <v>34</v>
      </c>
      <c r="AD116">
        <v>20170124</v>
      </c>
      <c r="AF116" t="str">
        <f>IFERROR(VLOOKUP(RIGHT(TblFeedFile1[[#This Row],[Leave Type ]],6),LkupPayType[],2,FALSE),"TBD")</f>
        <v>TBD</v>
      </c>
      <c r="AG116" t="str">
        <f>IFERROR(VLOOKUP(TblFeedFile1[[#This Row],[ Report Number ]],LkupPayrollCycle[],2,FALSE),"TBD")</f>
        <v>Bi-Weekly</v>
      </c>
      <c r="AH116" t="str">
        <f>IF(TblFeedFile1[[#This Row],[Return to Work Date ]]="","","Y")</f>
        <v/>
      </c>
    </row>
    <row r="117" spans="1:34" x14ac:dyDescent="0.25">
      <c r="A117" t="s">
        <v>29</v>
      </c>
      <c r="B117">
        <v>314304</v>
      </c>
      <c r="C117">
        <v>20131947</v>
      </c>
      <c r="D117" s="1" t="s">
        <v>204</v>
      </c>
      <c r="E117" t="s">
        <v>205</v>
      </c>
      <c r="F117" t="s">
        <v>206</v>
      </c>
      <c r="G117">
        <v>20161010</v>
      </c>
      <c r="H117">
        <v>20161010</v>
      </c>
      <c r="I117" t="s">
        <v>33</v>
      </c>
      <c r="L117" t="s">
        <v>34</v>
      </c>
      <c r="M117" t="s">
        <v>34</v>
      </c>
      <c r="N117" t="s">
        <v>35</v>
      </c>
      <c r="O117" t="s">
        <v>35</v>
      </c>
      <c r="P117" t="s">
        <v>35</v>
      </c>
      <c r="Q117" t="s">
        <v>35</v>
      </c>
      <c r="R117" t="s">
        <v>35</v>
      </c>
      <c r="S117" t="s">
        <v>34</v>
      </c>
      <c r="AC117" t="s">
        <v>35</v>
      </c>
      <c r="AD117">
        <v>20170124</v>
      </c>
      <c r="AF117" t="str">
        <f>IFERROR(VLOOKUP(RIGHT(TblFeedFile1[[#This Row],[Leave Type ]],6),LkupPayType[],2,FALSE),"TBD")</f>
        <v>TBD</v>
      </c>
      <c r="AG117" t="str">
        <f>IFERROR(VLOOKUP(TblFeedFile1[[#This Row],[ Report Number ]],LkupPayrollCycle[],2,FALSE),"TBD")</f>
        <v>Bi-Weekly</v>
      </c>
      <c r="AH117" t="str">
        <f>IF(TblFeedFile1[[#This Row],[Return to Work Date ]]="","","Y")</f>
        <v/>
      </c>
    </row>
    <row r="118" spans="1:34" x14ac:dyDescent="0.25">
      <c r="A118" t="s">
        <v>29</v>
      </c>
      <c r="B118">
        <v>314304</v>
      </c>
      <c r="C118">
        <v>20131947</v>
      </c>
      <c r="D118" s="1" t="s">
        <v>204</v>
      </c>
      <c r="E118" t="s">
        <v>205</v>
      </c>
      <c r="F118" t="s">
        <v>206</v>
      </c>
      <c r="G118">
        <v>20161004</v>
      </c>
      <c r="H118">
        <v>20161009</v>
      </c>
      <c r="I118" t="s">
        <v>36</v>
      </c>
      <c r="L118" t="s">
        <v>34</v>
      </c>
      <c r="M118" t="s">
        <v>34</v>
      </c>
      <c r="N118" t="s">
        <v>35</v>
      </c>
      <c r="O118" t="s">
        <v>35</v>
      </c>
      <c r="P118" t="s">
        <v>35</v>
      </c>
      <c r="Q118" t="s">
        <v>35</v>
      </c>
      <c r="R118" t="s">
        <v>35</v>
      </c>
      <c r="S118" t="s">
        <v>34</v>
      </c>
      <c r="AC118" t="s">
        <v>35</v>
      </c>
      <c r="AD118">
        <v>20170124</v>
      </c>
      <c r="AF118" t="str">
        <f>IFERROR(VLOOKUP(RIGHT(TblFeedFile1[[#This Row],[Leave Type ]],6),LkupPayType[],2,FALSE),"TBD")</f>
        <v>TBD</v>
      </c>
      <c r="AG118" t="str">
        <f>IFERROR(VLOOKUP(TblFeedFile1[[#This Row],[ Report Number ]],LkupPayrollCycle[],2,FALSE),"TBD")</f>
        <v>Bi-Weekly</v>
      </c>
      <c r="AH118" t="str">
        <f>IF(TblFeedFile1[[#This Row],[Return to Work Date ]]="","","Y")</f>
        <v/>
      </c>
    </row>
    <row r="119" spans="1:34" x14ac:dyDescent="0.25">
      <c r="A119" t="s">
        <v>37</v>
      </c>
      <c r="B119">
        <v>314305</v>
      </c>
      <c r="C119">
        <v>20131947</v>
      </c>
      <c r="D119" s="1" t="s">
        <v>204</v>
      </c>
      <c r="E119" t="s">
        <v>205</v>
      </c>
      <c r="F119" t="s">
        <v>206</v>
      </c>
      <c r="G119">
        <v>20161004</v>
      </c>
      <c r="H119">
        <v>20161004</v>
      </c>
      <c r="I119" t="s">
        <v>43</v>
      </c>
      <c r="L119" t="s">
        <v>34</v>
      </c>
      <c r="M119" t="s">
        <v>34</v>
      </c>
      <c r="N119" t="s">
        <v>35</v>
      </c>
      <c r="O119" t="s">
        <v>35</v>
      </c>
      <c r="P119" t="s">
        <v>35</v>
      </c>
      <c r="Q119" t="s">
        <v>35</v>
      </c>
      <c r="R119" t="s">
        <v>35</v>
      </c>
      <c r="S119" t="s">
        <v>34</v>
      </c>
      <c r="AD119">
        <v>20170124</v>
      </c>
      <c r="AF119" t="str">
        <f>IFERROR(VLOOKUP(RIGHT(TblFeedFile1[[#This Row],[Leave Type ]],6),LkupPayType[],2,FALSE),"TBD")</f>
        <v>TBD</v>
      </c>
      <c r="AG119" t="str">
        <f>IFERROR(VLOOKUP(TblFeedFile1[[#This Row],[ Report Number ]],LkupPayrollCycle[],2,FALSE),"TBD")</f>
        <v>Bi-Weekly</v>
      </c>
      <c r="AH119" t="str">
        <f>IF(TblFeedFile1[[#This Row],[Return to Work Date ]]="","","Y")</f>
        <v/>
      </c>
    </row>
    <row r="120" spans="1:34" x14ac:dyDescent="0.25">
      <c r="A120" t="s">
        <v>37</v>
      </c>
      <c r="B120">
        <v>314304</v>
      </c>
      <c r="C120">
        <v>20156173</v>
      </c>
      <c r="D120" s="1" t="s">
        <v>207</v>
      </c>
      <c r="E120" t="s">
        <v>208</v>
      </c>
      <c r="F120" t="s">
        <v>209</v>
      </c>
      <c r="G120">
        <v>20170120</v>
      </c>
      <c r="H120">
        <v>20170217</v>
      </c>
      <c r="I120" t="s">
        <v>78</v>
      </c>
      <c r="K120" t="s">
        <v>79</v>
      </c>
      <c r="L120" t="s">
        <v>34</v>
      </c>
      <c r="M120" t="s">
        <v>34</v>
      </c>
      <c r="N120" t="s">
        <v>35</v>
      </c>
      <c r="O120" t="s">
        <v>35</v>
      </c>
      <c r="P120" t="s">
        <v>35</v>
      </c>
      <c r="Q120" t="s">
        <v>35</v>
      </c>
      <c r="R120" t="s">
        <v>35</v>
      </c>
      <c r="S120" t="s">
        <v>34</v>
      </c>
      <c r="AD120">
        <v>20170124</v>
      </c>
      <c r="AF120" t="str">
        <f>IFERROR(VLOOKUP(RIGHT(TblFeedFile1[[#This Row],[Leave Type ]],6),LkupPayType[],2,FALSE),"TBD")</f>
        <v>TBD</v>
      </c>
      <c r="AG120" t="str">
        <f>IFERROR(VLOOKUP(TblFeedFile1[[#This Row],[ Report Number ]],LkupPayrollCycle[],2,FALSE),"TBD")</f>
        <v>Bi-Weekly</v>
      </c>
      <c r="AH120" t="str">
        <f>IF(TblFeedFile1[[#This Row],[Return to Work Date ]]="","","Y")</f>
        <v/>
      </c>
    </row>
    <row r="121" spans="1:34" x14ac:dyDescent="0.25">
      <c r="A121" t="s">
        <v>37</v>
      </c>
      <c r="B121">
        <v>314304</v>
      </c>
      <c r="C121">
        <v>20156173</v>
      </c>
      <c r="D121" s="1">
        <v>531701248483</v>
      </c>
      <c r="E121" t="s">
        <v>208</v>
      </c>
      <c r="F121" t="s">
        <v>209</v>
      </c>
      <c r="G121">
        <v>20170120</v>
      </c>
      <c r="I121" t="s">
        <v>53</v>
      </c>
      <c r="L121" t="s">
        <v>34</v>
      </c>
      <c r="M121" t="s">
        <v>34</v>
      </c>
      <c r="N121" t="s">
        <v>35</v>
      </c>
      <c r="O121" t="s">
        <v>35</v>
      </c>
      <c r="P121" t="s">
        <v>35</v>
      </c>
      <c r="Q121" t="s">
        <v>35</v>
      </c>
      <c r="R121" t="s">
        <v>35</v>
      </c>
      <c r="S121" t="s">
        <v>34</v>
      </c>
      <c r="AD121">
        <v>20170124</v>
      </c>
      <c r="AF121" t="str">
        <f>IFERROR(VLOOKUP(RIGHT(TblFeedFile1[[#This Row],[Leave Type ]],6),LkupPayType[],2,FALSE),"TBD")</f>
        <v>TBD</v>
      </c>
      <c r="AG121" t="str">
        <f>IFERROR(VLOOKUP(TblFeedFile1[[#This Row],[ Report Number ]],LkupPayrollCycle[],2,FALSE),"TBD")</f>
        <v>Bi-Weekly</v>
      </c>
      <c r="AH121" t="str">
        <f>IF(TblFeedFile1[[#This Row],[Return to Work Date ]]="","","Y")</f>
        <v/>
      </c>
    </row>
    <row r="122" spans="1:34" x14ac:dyDescent="0.25">
      <c r="A122" t="s">
        <v>37</v>
      </c>
      <c r="B122">
        <v>314301</v>
      </c>
      <c r="C122">
        <v>20176713</v>
      </c>
      <c r="D122" s="1" t="s">
        <v>210</v>
      </c>
      <c r="E122" t="s">
        <v>211</v>
      </c>
      <c r="F122" t="s">
        <v>212</v>
      </c>
      <c r="G122">
        <v>20170121</v>
      </c>
      <c r="H122">
        <v>20170121</v>
      </c>
      <c r="I122" t="s">
        <v>33</v>
      </c>
      <c r="L122" t="s">
        <v>34</v>
      </c>
      <c r="M122" t="s">
        <v>34</v>
      </c>
      <c r="N122" t="s">
        <v>35</v>
      </c>
      <c r="O122" t="s">
        <v>35</v>
      </c>
      <c r="P122" t="s">
        <v>35</v>
      </c>
      <c r="Q122" t="s">
        <v>35</v>
      </c>
      <c r="R122" t="s">
        <v>35</v>
      </c>
      <c r="S122" t="s">
        <v>34</v>
      </c>
      <c r="AC122" t="s">
        <v>35</v>
      </c>
      <c r="AD122">
        <v>20170124</v>
      </c>
      <c r="AF122" t="str">
        <f>IFERROR(VLOOKUP(RIGHT(TblFeedFile1[[#This Row],[Leave Type ]],6),LkupPayType[],2,FALSE),"TBD")</f>
        <v>TBD</v>
      </c>
      <c r="AG122" t="str">
        <f>IFERROR(VLOOKUP(TblFeedFile1[[#This Row],[ Report Number ]],LkupPayrollCycle[],2,FALSE),"TBD")</f>
        <v>Semi-Monthly</v>
      </c>
      <c r="AH122" t="str">
        <f>IF(TblFeedFile1[[#This Row],[Return to Work Date ]]="","","Y")</f>
        <v/>
      </c>
    </row>
    <row r="123" spans="1:34" x14ac:dyDescent="0.25">
      <c r="A123" t="s">
        <v>37</v>
      </c>
      <c r="B123">
        <v>314304</v>
      </c>
      <c r="C123">
        <v>20209433</v>
      </c>
      <c r="D123" s="1" t="s">
        <v>213</v>
      </c>
      <c r="E123" t="s">
        <v>214</v>
      </c>
      <c r="F123" t="s">
        <v>215</v>
      </c>
      <c r="G123">
        <v>20170121</v>
      </c>
      <c r="H123">
        <v>20170121</v>
      </c>
      <c r="I123" t="s">
        <v>33</v>
      </c>
      <c r="L123" t="s">
        <v>34</v>
      </c>
      <c r="M123" t="s">
        <v>34</v>
      </c>
      <c r="N123" t="s">
        <v>35</v>
      </c>
      <c r="O123" t="s">
        <v>35</v>
      </c>
      <c r="P123" t="s">
        <v>35</v>
      </c>
      <c r="Q123" t="s">
        <v>35</v>
      </c>
      <c r="R123" t="s">
        <v>35</v>
      </c>
      <c r="S123" t="s">
        <v>34</v>
      </c>
      <c r="AC123" t="s">
        <v>35</v>
      </c>
      <c r="AD123">
        <v>20170124</v>
      </c>
      <c r="AF123" t="str">
        <f>IFERROR(VLOOKUP(RIGHT(TblFeedFile1[[#This Row],[Leave Type ]],6),LkupPayType[],2,FALSE),"TBD")</f>
        <v>TBD</v>
      </c>
      <c r="AG123" t="str">
        <f>IFERROR(VLOOKUP(TblFeedFile1[[#This Row],[ Report Number ]],LkupPayrollCycle[],2,FALSE),"TBD")</f>
        <v>Bi-Weekly</v>
      </c>
      <c r="AH123" t="str">
        <f>IF(TblFeedFile1[[#This Row],[Return to Work Date ]]="","","Y")</f>
        <v/>
      </c>
    </row>
    <row r="124" spans="1:34" x14ac:dyDescent="0.25">
      <c r="A124" t="s">
        <v>37</v>
      </c>
      <c r="B124">
        <v>314304</v>
      </c>
      <c r="C124">
        <v>20213545</v>
      </c>
      <c r="D124" s="1" t="s">
        <v>216</v>
      </c>
      <c r="E124" t="s">
        <v>217</v>
      </c>
      <c r="F124" t="s">
        <v>218</v>
      </c>
      <c r="G124">
        <v>20170121</v>
      </c>
      <c r="H124">
        <v>20170306</v>
      </c>
      <c r="I124" t="s">
        <v>78</v>
      </c>
      <c r="K124" t="s">
        <v>219</v>
      </c>
      <c r="L124" t="s">
        <v>34</v>
      </c>
      <c r="M124" t="s">
        <v>34</v>
      </c>
      <c r="N124" t="s">
        <v>35</v>
      </c>
      <c r="O124" t="s">
        <v>35</v>
      </c>
      <c r="P124" t="s">
        <v>35</v>
      </c>
      <c r="Q124" t="s">
        <v>35</v>
      </c>
      <c r="R124" t="s">
        <v>35</v>
      </c>
      <c r="S124" t="s">
        <v>34</v>
      </c>
      <c r="AD124">
        <v>20170124</v>
      </c>
      <c r="AF124" t="str">
        <f>IFERROR(VLOOKUP(RIGHT(TblFeedFile1[[#This Row],[Leave Type ]],6),LkupPayType[],2,FALSE),"TBD")</f>
        <v>TBD</v>
      </c>
      <c r="AG124" t="str">
        <f>IFERROR(VLOOKUP(TblFeedFile1[[#This Row],[ Report Number ]],LkupPayrollCycle[],2,FALSE),"TBD")</f>
        <v>Bi-Weekly</v>
      </c>
      <c r="AH124" t="str">
        <f>IF(TblFeedFile1[[#This Row],[Return to Work Date ]]="","","Y")</f>
        <v/>
      </c>
    </row>
    <row r="125" spans="1:34" x14ac:dyDescent="0.25">
      <c r="A125" t="s">
        <v>29</v>
      </c>
      <c r="B125">
        <v>314301</v>
      </c>
      <c r="C125">
        <v>20227718</v>
      </c>
      <c r="D125" s="1" t="s">
        <v>220</v>
      </c>
      <c r="E125" t="s">
        <v>221</v>
      </c>
      <c r="F125" t="s">
        <v>222</v>
      </c>
      <c r="G125">
        <v>20170127</v>
      </c>
      <c r="H125">
        <v>20170131</v>
      </c>
      <c r="I125" t="s">
        <v>185</v>
      </c>
      <c r="L125" t="s">
        <v>34</v>
      </c>
      <c r="M125" t="s">
        <v>34</v>
      </c>
      <c r="N125" t="s">
        <v>35</v>
      </c>
      <c r="O125" t="s">
        <v>35</v>
      </c>
      <c r="P125" t="s">
        <v>35</v>
      </c>
      <c r="Q125" t="s">
        <v>35</v>
      </c>
      <c r="R125" t="s">
        <v>35</v>
      </c>
      <c r="S125" t="s">
        <v>34</v>
      </c>
      <c r="AC125" t="s">
        <v>35</v>
      </c>
      <c r="AD125">
        <v>20170124</v>
      </c>
      <c r="AF125" t="str">
        <f>IFERROR(VLOOKUP(RIGHT(TblFeedFile1[[#This Row],[Leave Type ]],6),LkupPayType[],2,FALSE),"TBD")</f>
        <v>TBD</v>
      </c>
      <c r="AG125" t="str">
        <f>IFERROR(VLOOKUP(TblFeedFile1[[#This Row],[ Report Number ]],LkupPayrollCycle[],2,FALSE),"TBD")</f>
        <v>Semi-Monthly</v>
      </c>
      <c r="AH125" t="str">
        <f>IF(TblFeedFile1[[#This Row],[Return to Work Date ]]="","","Y")</f>
        <v/>
      </c>
    </row>
    <row r="126" spans="1:34" x14ac:dyDescent="0.25">
      <c r="A126" t="s">
        <v>29</v>
      </c>
      <c r="B126">
        <v>314301</v>
      </c>
      <c r="C126">
        <v>20227718</v>
      </c>
      <c r="D126" s="1" t="s">
        <v>220</v>
      </c>
      <c r="E126" t="s">
        <v>221</v>
      </c>
      <c r="F126" t="s">
        <v>222</v>
      </c>
      <c r="G126">
        <v>20161114</v>
      </c>
      <c r="H126">
        <v>20170131</v>
      </c>
      <c r="I126" t="s">
        <v>223</v>
      </c>
      <c r="L126" t="s">
        <v>34</v>
      </c>
      <c r="M126" t="s">
        <v>34</v>
      </c>
      <c r="N126" t="s">
        <v>35</v>
      </c>
      <c r="O126" t="s">
        <v>35</v>
      </c>
      <c r="P126" t="s">
        <v>35</v>
      </c>
      <c r="Q126" t="s">
        <v>35</v>
      </c>
      <c r="R126" t="s">
        <v>35</v>
      </c>
      <c r="S126" t="s">
        <v>34</v>
      </c>
      <c r="AC126" t="s">
        <v>35</v>
      </c>
      <c r="AD126">
        <v>20170124</v>
      </c>
      <c r="AF126" t="str">
        <f>IFERROR(VLOOKUP(RIGHT(TblFeedFile1[[#This Row],[Leave Type ]],6),LkupPayType[],2,FALSE),"TBD")</f>
        <v>TBD</v>
      </c>
      <c r="AG126" t="str">
        <f>IFERROR(VLOOKUP(TblFeedFile1[[#This Row],[ Report Number ]],LkupPayrollCycle[],2,FALSE),"TBD")</f>
        <v>Semi-Monthly</v>
      </c>
      <c r="AH126" t="str">
        <f>IF(TblFeedFile1[[#This Row],[Return to Work Date ]]="","","Y")</f>
        <v/>
      </c>
    </row>
    <row r="127" spans="1:34" x14ac:dyDescent="0.25">
      <c r="A127" t="s">
        <v>37</v>
      </c>
      <c r="B127">
        <v>314301</v>
      </c>
      <c r="C127">
        <v>20227718</v>
      </c>
      <c r="D127" s="1" t="s">
        <v>220</v>
      </c>
      <c r="E127" t="s">
        <v>221</v>
      </c>
      <c r="F127" t="s">
        <v>222</v>
      </c>
      <c r="G127">
        <v>20161114</v>
      </c>
      <c r="H127">
        <v>20170126</v>
      </c>
      <c r="I127" t="s">
        <v>223</v>
      </c>
      <c r="L127" t="s">
        <v>34</v>
      </c>
      <c r="M127" t="s">
        <v>34</v>
      </c>
      <c r="N127" t="s">
        <v>35</v>
      </c>
      <c r="O127" t="s">
        <v>35</v>
      </c>
      <c r="P127" t="s">
        <v>35</v>
      </c>
      <c r="Q127" t="s">
        <v>35</v>
      </c>
      <c r="R127" t="s">
        <v>35</v>
      </c>
      <c r="S127" t="s">
        <v>34</v>
      </c>
      <c r="AC127" t="s">
        <v>35</v>
      </c>
      <c r="AD127">
        <v>20170124</v>
      </c>
      <c r="AF127" t="str">
        <f>IFERROR(VLOOKUP(RIGHT(TblFeedFile1[[#This Row],[Leave Type ]],6),LkupPayType[],2,FALSE),"TBD")</f>
        <v>TBD</v>
      </c>
      <c r="AG127" t="str">
        <f>IFERROR(VLOOKUP(TblFeedFile1[[#This Row],[ Report Number ]],LkupPayrollCycle[],2,FALSE),"TBD")</f>
        <v>Semi-Monthly</v>
      </c>
      <c r="AH127" t="str">
        <f>IF(TblFeedFile1[[#This Row],[Return to Work Date ]]="","","Y")</f>
        <v/>
      </c>
    </row>
    <row r="128" spans="1:34" x14ac:dyDescent="0.25">
      <c r="A128" t="s">
        <v>37</v>
      </c>
      <c r="B128">
        <v>314304</v>
      </c>
      <c r="C128">
        <v>20228589</v>
      </c>
      <c r="D128" s="1" t="s">
        <v>224</v>
      </c>
      <c r="E128" t="s">
        <v>225</v>
      </c>
      <c r="F128" t="s">
        <v>226</v>
      </c>
      <c r="G128">
        <v>20170121</v>
      </c>
      <c r="H128">
        <v>20170121</v>
      </c>
      <c r="I128" t="s">
        <v>33</v>
      </c>
      <c r="L128" t="s">
        <v>34</v>
      </c>
      <c r="M128" t="s">
        <v>34</v>
      </c>
      <c r="N128" t="s">
        <v>35</v>
      </c>
      <c r="O128" t="s">
        <v>35</v>
      </c>
      <c r="P128" t="s">
        <v>35</v>
      </c>
      <c r="Q128" t="s">
        <v>35</v>
      </c>
      <c r="R128" t="s">
        <v>35</v>
      </c>
      <c r="S128" t="s">
        <v>34</v>
      </c>
      <c r="AC128" t="s">
        <v>35</v>
      </c>
      <c r="AD128">
        <v>20170124</v>
      </c>
      <c r="AF128" t="str">
        <f>IFERROR(VLOOKUP(RIGHT(TblFeedFile1[[#This Row],[Leave Type ]],6),LkupPayType[],2,FALSE),"TBD")</f>
        <v>TBD</v>
      </c>
      <c r="AG128" t="str">
        <f>IFERROR(VLOOKUP(TblFeedFile1[[#This Row],[ Report Number ]],LkupPayrollCycle[],2,FALSE),"TBD")</f>
        <v>Bi-Weekly</v>
      </c>
      <c r="AH128" t="str">
        <f>IF(TblFeedFile1[[#This Row],[Return to Work Date ]]="","","Y")</f>
        <v/>
      </c>
    </row>
    <row r="129" spans="1:34" x14ac:dyDescent="0.25">
      <c r="A129" t="s">
        <v>37</v>
      </c>
      <c r="B129">
        <v>314301</v>
      </c>
      <c r="C129">
        <v>20246051</v>
      </c>
      <c r="D129" s="1">
        <v>531701188383</v>
      </c>
      <c r="E129" t="s">
        <v>227</v>
      </c>
      <c r="F129" t="s">
        <v>228</v>
      </c>
      <c r="G129">
        <v>20170117</v>
      </c>
      <c r="H129">
        <v>20170303</v>
      </c>
      <c r="I129" t="s">
        <v>53</v>
      </c>
      <c r="L129" t="s">
        <v>34</v>
      </c>
      <c r="M129" t="s">
        <v>34</v>
      </c>
      <c r="N129" t="s">
        <v>35</v>
      </c>
      <c r="O129" t="s">
        <v>35</v>
      </c>
      <c r="P129" t="s">
        <v>35</v>
      </c>
      <c r="Q129" t="s">
        <v>35</v>
      </c>
      <c r="R129" t="s">
        <v>35</v>
      </c>
      <c r="S129" t="s">
        <v>34</v>
      </c>
      <c r="AD129">
        <v>20170124</v>
      </c>
      <c r="AF129" t="str">
        <f>IFERROR(VLOOKUP(RIGHT(TblFeedFile1[[#This Row],[Leave Type ]],6),LkupPayType[],2,FALSE),"TBD")</f>
        <v>TBD</v>
      </c>
      <c r="AG129" t="str">
        <f>IFERROR(VLOOKUP(TblFeedFile1[[#This Row],[ Report Number ]],LkupPayrollCycle[],2,FALSE),"TBD")</f>
        <v>Semi-Monthly</v>
      </c>
      <c r="AH129" t="str">
        <f>IF(TblFeedFile1[[#This Row],[Return to Work Date ]]="","","Y")</f>
        <v/>
      </c>
    </row>
    <row r="130" spans="1:34" x14ac:dyDescent="0.25">
      <c r="A130" t="s">
        <v>37</v>
      </c>
      <c r="B130">
        <v>314301</v>
      </c>
      <c r="C130">
        <v>20246051</v>
      </c>
      <c r="D130" s="1">
        <v>531701188383</v>
      </c>
      <c r="E130" t="s">
        <v>227</v>
      </c>
      <c r="F130" t="s">
        <v>228</v>
      </c>
      <c r="G130">
        <v>20170124</v>
      </c>
      <c r="H130">
        <v>20170303</v>
      </c>
      <c r="I130" t="s">
        <v>40</v>
      </c>
      <c r="L130" t="s">
        <v>34</v>
      </c>
      <c r="M130" t="s">
        <v>34</v>
      </c>
      <c r="N130" t="s">
        <v>35</v>
      </c>
      <c r="O130" t="s">
        <v>35</v>
      </c>
      <c r="P130" t="s">
        <v>35</v>
      </c>
      <c r="Q130" t="s">
        <v>35</v>
      </c>
      <c r="R130" t="s">
        <v>35</v>
      </c>
      <c r="S130" t="s">
        <v>34</v>
      </c>
      <c r="AD130">
        <v>20170124</v>
      </c>
      <c r="AF130" t="str">
        <f>IFERROR(VLOOKUP(RIGHT(TblFeedFile1[[#This Row],[Leave Type ]],6),LkupPayType[],2,FALSE),"TBD")</f>
        <v>TBD</v>
      </c>
      <c r="AG130" t="str">
        <f>IFERROR(VLOOKUP(TblFeedFile1[[#This Row],[ Report Number ]],LkupPayrollCycle[],2,FALSE),"TBD")</f>
        <v>Semi-Monthly</v>
      </c>
      <c r="AH130" t="str">
        <f>IF(TblFeedFile1[[#This Row],[Return to Work Date ]]="","","Y")</f>
        <v/>
      </c>
    </row>
    <row r="131" spans="1:34" x14ac:dyDescent="0.25">
      <c r="A131" t="s">
        <v>29</v>
      </c>
      <c r="B131">
        <v>314304</v>
      </c>
      <c r="C131">
        <v>20251094</v>
      </c>
      <c r="D131" s="1" t="s">
        <v>229</v>
      </c>
      <c r="E131" t="s">
        <v>230</v>
      </c>
      <c r="F131" t="s">
        <v>231</v>
      </c>
      <c r="G131">
        <v>20170110</v>
      </c>
      <c r="H131">
        <v>20170519</v>
      </c>
      <c r="I131" t="s">
        <v>36</v>
      </c>
      <c r="L131" t="s">
        <v>34</v>
      </c>
      <c r="M131" t="s">
        <v>34</v>
      </c>
      <c r="N131" t="s">
        <v>35</v>
      </c>
      <c r="O131" t="s">
        <v>35</v>
      </c>
      <c r="P131" t="s">
        <v>35</v>
      </c>
      <c r="Q131" t="s">
        <v>35</v>
      </c>
      <c r="R131" t="s">
        <v>35</v>
      </c>
      <c r="S131" t="s">
        <v>34</v>
      </c>
      <c r="AD131">
        <v>20170124</v>
      </c>
      <c r="AF131" t="str">
        <f>IFERROR(VLOOKUP(RIGHT(TblFeedFile1[[#This Row],[Leave Type ]],6),LkupPayType[],2,FALSE),"TBD")</f>
        <v>TBD</v>
      </c>
      <c r="AG131" t="str">
        <f>IFERROR(VLOOKUP(TblFeedFile1[[#This Row],[ Report Number ]],LkupPayrollCycle[],2,FALSE),"TBD")</f>
        <v>Bi-Weekly</v>
      </c>
      <c r="AH131" t="str">
        <f>IF(TblFeedFile1[[#This Row],[Return to Work Date ]]="","","Y")</f>
        <v/>
      </c>
    </row>
    <row r="132" spans="1:34" x14ac:dyDescent="0.25">
      <c r="A132" t="s">
        <v>29</v>
      </c>
      <c r="B132">
        <v>314304</v>
      </c>
      <c r="C132">
        <v>20251094</v>
      </c>
      <c r="D132" s="1">
        <v>531701038493</v>
      </c>
      <c r="E132" t="s">
        <v>230</v>
      </c>
      <c r="F132" t="s">
        <v>231</v>
      </c>
      <c r="G132">
        <v>20170103</v>
      </c>
      <c r="H132">
        <v>20170519</v>
      </c>
      <c r="I132" t="s">
        <v>53</v>
      </c>
      <c r="L132" t="s">
        <v>34</v>
      </c>
      <c r="M132" t="s">
        <v>34</v>
      </c>
      <c r="N132" t="s">
        <v>35</v>
      </c>
      <c r="O132" t="s">
        <v>35</v>
      </c>
      <c r="P132" t="s">
        <v>35</v>
      </c>
      <c r="Q132" t="s">
        <v>35</v>
      </c>
      <c r="R132" t="s">
        <v>35</v>
      </c>
      <c r="S132" t="s">
        <v>34</v>
      </c>
      <c r="AD132">
        <v>20170124</v>
      </c>
      <c r="AF132" t="str">
        <f>IFERROR(VLOOKUP(RIGHT(TblFeedFile1[[#This Row],[Leave Type ]],6),LkupPayType[],2,FALSE),"TBD")</f>
        <v>TBD</v>
      </c>
      <c r="AG132" t="str">
        <f>IFERROR(VLOOKUP(TblFeedFile1[[#This Row],[ Report Number ]],LkupPayrollCycle[],2,FALSE),"TBD")</f>
        <v>Bi-Weekly</v>
      </c>
      <c r="AH132" t="str">
        <f>IF(TblFeedFile1[[#This Row],[Return to Work Date ]]="","","Y")</f>
        <v/>
      </c>
    </row>
    <row r="133" spans="1:34" x14ac:dyDescent="0.25">
      <c r="A133" t="s">
        <v>37</v>
      </c>
      <c r="B133">
        <v>314304</v>
      </c>
      <c r="C133">
        <v>20251094</v>
      </c>
      <c r="D133" s="1">
        <v>531701038493</v>
      </c>
      <c r="E133" t="s">
        <v>230</v>
      </c>
      <c r="F133" t="s">
        <v>231</v>
      </c>
      <c r="G133">
        <v>20170103</v>
      </c>
      <c r="H133">
        <v>20170501</v>
      </c>
      <c r="I133" t="s">
        <v>53</v>
      </c>
      <c r="L133" t="s">
        <v>34</v>
      </c>
      <c r="M133" t="s">
        <v>34</v>
      </c>
      <c r="N133" t="s">
        <v>35</v>
      </c>
      <c r="O133" t="s">
        <v>35</v>
      </c>
      <c r="P133" t="s">
        <v>35</v>
      </c>
      <c r="Q133" t="s">
        <v>35</v>
      </c>
      <c r="R133" t="s">
        <v>35</v>
      </c>
      <c r="S133" t="s">
        <v>34</v>
      </c>
      <c r="AD133">
        <v>20170124</v>
      </c>
      <c r="AF133" t="str">
        <f>IFERROR(VLOOKUP(RIGHT(TblFeedFile1[[#This Row],[Leave Type ]],6),LkupPayType[],2,FALSE),"TBD")</f>
        <v>TBD</v>
      </c>
      <c r="AG133" t="str">
        <f>IFERROR(VLOOKUP(TblFeedFile1[[#This Row],[ Report Number ]],LkupPayrollCycle[],2,FALSE),"TBD")</f>
        <v>Bi-Weekly</v>
      </c>
      <c r="AH133" t="str">
        <f>IF(TblFeedFile1[[#This Row],[Return to Work Date ]]="","","Y")</f>
        <v/>
      </c>
    </row>
    <row r="134" spans="1:34" x14ac:dyDescent="0.25">
      <c r="A134" t="s">
        <v>37</v>
      </c>
      <c r="B134">
        <v>314304</v>
      </c>
      <c r="C134">
        <v>20251094</v>
      </c>
      <c r="D134" s="1" t="s">
        <v>229</v>
      </c>
      <c r="E134" t="s">
        <v>230</v>
      </c>
      <c r="F134" t="s">
        <v>231</v>
      </c>
      <c r="G134">
        <v>20170110</v>
      </c>
      <c r="H134">
        <v>20170501</v>
      </c>
      <c r="I134" t="s">
        <v>36</v>
      </c>
      <c r="L134" t="s">
        <v>34</v>
      </c>
      <c r="M134" t="s">
        <v>34</v>
      </c>
      <c r="N134" t="s">
        <v>35</v>
      </c>
      <c r="O134" t="s">
        <v>35</v>
      </c>
      <c r="P134" t="s">
        <v>35</v>
      </c>
      <c r="Q134" t="s">
        <v>35</v>
      </c>
      <c r="R134" t="s">
        <v>35</v>
      </c>
      <c r="S134" t="s">
        <v>34</v>
      </c>
      <c r="AD134">
        <v>20170124</v>
      </c>
      <c r="AF134" t="str">
        <f>IFERROR(VLOOKUP(RIGHT(TblFeedFile1[[#This Row],[Leave Type ]],6),LkupPayType[],2,FALSE),"TBD")</f>
        <v>TBD</v>
      </c>
      <c r="AG134" t="str">
        <f>IFERROR(VLOOKUP(TblFeedFile1[[#This Row],[ Report Number ]],LkupPayrollCycle[],2,FALSE),"TBD")</f>
        <v>Bi-Weekly</v>
      </c>
      <c r="AH134" t="str">
        <f>IF(TblFeedFile1[[#This Row],[Return to Work Date ]]="","","Y")</f>
        <v/>
      </c>
    </row>
    <row r="135" spans="1:34" x14ac:dyDescent="0.25">
      <c r="A135" t="s">
        <v>29</v>
      </c>
      <c r="B135">
        <v>314304</v>
      </c>
      <c r="C135">
        <v>20298999</v>
      </c>
      <c r="D135" s="1" t="s">
        <v>232</v>
      </c>
      <c r="E135" t="s">
        <v>233</v>
      </c>
      <c r="F135" t="s">
        <v>234</v>
      </c>
      <c r="G135">
        <v>20170103</v>
      </c>
      <c r="H135">
        <v>20170201</v>
      </c>
      <c r="I135" t="s">
        <v>36</v>
      </c>
      <c r="L135" t="s">
        <v>34</v>
      </c>
      <c r="M135" t="s">
        <v>34</v>
      </c>
      <c r="N135" t="s">
        <v>35</v>
      </c>
      <c r="O135" t="s">
        <v>35</v>
      </c>
      <c r="P135" t="s">
        <v>35</v>
      </c>
      <c r="Q135" t="s">
        <v>35</v>
      </c>
      <c r="R135" t="s">
        <v>35</v>
      </c>
      <c r="S135" t="s">
        <v>34</v>
      </c>
      <c r="AD135">
        <v>20170124</v>
      </c>
      <c r="AF135" t="str">
        <f>IFERROR(VLOOKUP(RIGHT(TblFeedFile1[[#This Row],[Leave Type ]],6),LkupPayType[],2,FALSE),"TBD")</f>
        <v>TBD</v>
      </c>
      <c r="AG135" t="str">
        <f>IFERROR(VLOOKUP(TblFeedFile1[[#This Row],[ Report Number ]],LkupPayrollCycle[],2,FALSE),"TBD")</f>
        <v>Bi-Weekly</v>
      </c>
      <c r="AH135" t="str">
        <f>IF(TblFeedFile1[[#This Row],[Return to Work Date ]]="","","Y")</f>
        <v/>
      </c>
    </row>
    <row r="136" spans="1:34" x14ac:dyDescent="0.25">
      <c r="A136" t="s">
        <v>37</v>
      </c>
      <c r="B136">
        <v>314304</v>
      </c>
      <c r="C136">
        <v>20298999</v>
      </c>
      <c r="D136" s="1" t="s">
        <v>232</v>
      </c>
      <c r="E136" t="s">
        <v>233</v>
      </c>
      <c r="F136" t="s">
        <v>234</v>
      </c>
      <c r="G136">
        <v>20170103</v>
      </c>
      <c r="H136">
        <v>20170103</v>
      </c>
      <c r="I136" t="s">
        <v>43</v>
      </c>
      <c r="L136" t="s">
        <v>34</v>
      </c>
      <c r="M136" t="s">
        <v>34</v>
      </c>
      <c r="N136" t="s">
        <v>35</v>
      </c>
      <c r="O136" t="s">
        <v>35</v>
      </c>
      <c r="P136" t="s">
        <v>35</v>
      </c>
      <c r="Q136" t="s">
        <v>35</v>
      </c>
      <c r="R136" t="s">
        <v>35</v>
      </c>
      <c r="S136" t="s">
        <v>34</v>
      </c>
      <c r="AD136">
        <v>20170124</v>
      </c>
      <c r="AF136" t="str">
        <f>IFERROR(VLOOKUP(RIGHT(TblFeedFile1[[#This Row],[Leave Type ]],6),LkupPayType[],2,FALSE),"TBD")</f>
        <v>TBD</v>
      </c>
      <c r="AG136" t="str">
        <f>IFERROR(VLOOKUP(TblFeedFile1[[#This Row],[ Report Number ]],LkupPayrollCycle[],2,FALSE),"TBD")</f>
        <v>Bi-Weekly</v>
      </c>
      <c r="AH136" t="str">
        <f>IF(TblFeedFile1[[#This Row],[Return to Work Date ]]="","","Y")</f>
        <v/>
      </c>
    </row>
    <row r="137" spans="1:34" x14ac:dyDescent="0.25">
      <c r="A137" t="s">
        <v>29</v>
      </c>
      <c r="B137">
        <v>314304</v>
      </c>
      <c r="C137">
        <v>20312728</v>
      </c>
      <c r="D137" s="1">
        <v>511701138719</v>
      </c>
      <c r="E137" t="s">
        <v>235</v>
      </c>
      <c r="F137" t="s">
        <v>236</v>
      </c>
      <c r="G137">
        <v>20170118</v>
      </c>
      <c r="H137">
        <v>20170130</v>
      </c>
      <c r="I137" t="s">
        <v>40</v>
      </c>
      <c r="L137" t="s">
        <v>34</v>
      </c>
      <c r="M137" t="s">
        <v>34</v>
      </c>
      <c r="N137" t="s">
        <v>35</v>
      </c>
      <c r="O137" t="s">
        <v>35</v>
      </c>
      <c r="P137" t="s">
        <v>35</v>
      </c>
      <c r="Q137" t="s">
        <v>35</v>
      </c>
      <c r="R137" t="s">
        <v>35</v>
      </c>
      <c r="S137" t="s">
        <v>34</v>
      </c>
      <c r="AD137">
        <v>20170124</v>
      </c>
      <c r="AF137" t="str">
        <f>IFERROR(VLOOKUP(RIGHT(TblFeedFile1[[#This Row],[Leave Type ]],6),LkupPayType[],2,FALSE),"TBD")</f>
        <v>TBD</v>
      </c>
      <c r="AG137" t="str">
        <f>IFERROR(VLOOKUP(TblFeedFile1[[#This Row],[ Report Number ]],LkupPayrollCycle[],2,FALSE),"TBD")</f>
        <v>Bi-Weekly</v>
      </c>
      <c r="AH137" t="str">
        <f>IF(TblFeedFile1[[#This Row],[Return to Work Date ]]="","","Y")</f>
        <v/>
      </c>
    </row>
    <row r="138" spans="1:34" x14ac:dyDescent="0.25">
      <c r="A138" t="s">
        <v>37</v>
      </c>
      <c r="B138">
        <v>314304</v>
      </c>
      <c r="C138">
        <v>20312728</v>
      </c>
      <c r="D138" s="1">
        <v>511701138719</v>
      </c>
      <c r="E138" t="s">
        <v>235</v>
      </c>
      <c r="F138" t="s">
        <v>236</v>
      </c>
      <c r="G138">
        <v>20170118</v>
      </c>
      <c r="H138">
        <v>20170125</v>
      </c>
      <c r="I138" t="s">
        <v>40</v>
      </c>
      <c r="L138" t="s">
        <v>34</v>
      </c>
      <c r="M138" t="s">
        <v>34</v>
      </c>
      <c r="N138" t="s">
        <v>35</v>
      </c>
      <c r="O138" t="s">
        <v>35</v>
      </c>
      <c r="P138" t="s">
        <v>35</v>
      </c>
      <c r="Q138" t="s">
        <v>35</v>
      </c>
      <c r="R138" t="s">
        <v>35</v>
      </c>
      <c r="S138" t="s">
        <v>34</v>
      </c>
      <c r="T138">
        <v>20170126</v>
      </c>
      <c r="AD138">
        <v>20170124</v>
      </c>
      <c r="AF138" t="str">
        <f>IFERROR(VLOOKUP(RIGHT(TblFeedFile1[[#This Row],[Leave Type ]],6),LkupPayType[],2,FALSE),"TBD")</f>
        <v>TBD</v>
      </c>
      <c r="AG138" t="str">
        <f>IFERROR(VLOOKUP(TblFeedFile1[[#This Row],[ Report Number ]],LkupPayrollCycle[],2,FALSE),"TBD")</f>
        <v>Bi-Weekly</v>
      </c>
      <c r="AH138" t="str">
        <f>IF(TblFeedFile1[[#This Row],[Return to Work Date ]]="","","Y")</f>
        <v>Y</v>
      </c>
    </row>
    <row r="139" spans="1:34" x14ac:dyDescent="0.25">
      <c r="A139" t="s">
        <v>29</v>
      </c>
      <c r="B139">
        <v>314304</v>
      </c>
      <c r="C139">
        <v>20319450</v>
      </c>
      <c r="D139" s="1" t="s">
        <v>237</v>
      </c>
      <c r="E139" t="s">
        <v>238</v>
      </c>
      <c r="F139" t="s">
        <v>239</v>
      </c>
      <c r="G139">
        <v>20151204</v>
      </c>
      <c r="H139">
        <v>20151204</v>
      </c>
      <c r="I139" t="s">
        <v>33</v>
      </c>
      <c r="L139" t="s">
        <v>34</v>
      </c>
      <c r="M139" t="s">
        <v>34</v>
      </c>
      <c r="N139" t="s">
        <v>35</v>
      </c>
      <c r="O139" t="s">
        <v>35</v>
      </c>
      <c r="P139" t="s">
        <v>35</v>
      </c>
      <c r="Q139" t="s">
        <v>35</v>
      </c>
      <c r="R139" t="s">
        <v>35</v>
      </c>
      <c r="S139" t="s">
        <v>34</v>
      </c>
      <c r="AC139" t="s">
        <v>35</v>
      </c>
      <c r="AD139">
        <v>20170124</v>
      </c>
      <c r="AF139" t="str">
        <f>IFERROR(VLOOKUP(RIGHT(TblFeedFile1[[#This Row],[Leave Type ]],6),LkupPayType[],2,FALSE),"TBD")</f>
        <v>TBD</v>
      </c>
      <c r="AG139" t="str">
        <f>IFERROR(VLOOKUP(TblFeedFile1[[#This Row],[ Report Number ]],LkupPayrollCycle[],2,FALSE),"TBD")</f>
        <v>Bi-Weekly</v>
      </c>
      <c r="AH139" t="str">
        <f>IF(TblFeedFile1[[#This Row],[Return to Work Date ]]="","","Y")</f>
        <v/>
      </c>
    </row>
    <row r="140" spans="1:34" x14ac:dyDescent="0.25">
      <c r="A140" t="s">
        <v>29</v>
      </c>
      <c r="B140">
        <v>314304</v>
      </c>
      <c r="C140">
        <v>20319450</v>
      </c>
      <c r="D140" s="1" t="s">
        <v>237</v>
      </c>
      <c r="E140" t="s">
        <v>238</v>
      </c>
      <c r="F140" t="s">
        <v>239</v>
      </c>
      <c r="G140">
        <v>20151023</v>
      </c>
      <c r="H140">
        <v>20151203</v>
      </c>
      <c r="I140" t="s">
        <v>36</v>
      </c>
      <c r="L140" t="s">
        <v>34</v>
      </c>
      <c r="M140" t="s">
        <v>34</v>
      </c>
      <c r="N140" t="s">
        <v>35</v>
      </c>
      <c r="O140" t="s">
        <v>35</v>
      </c>
      <c r="P140" t="s">
        <v>35</v>
      </c>
      <c r="Q140" t="s">
        <v>35</v>
      </c>
      <c r="R140" t="s">
        <v>35</v>
      </c>
      <c r="S140" t="s">
        <v>34</v>
      </c>
      <c r="AC140" t="s">
        <v>35</v>
      </c>
      <c r="AD140">
        <v>20170124</v>
      </c>
      <c r="AF140" t="str">
        <f>IFERROR(VLOOKUP(RIGHT(TblFeedFile1[[#This Row],[Leave Type ]],6),LkupPayType[],2,FALSE),"TBD")</f>
        <v>TBD</v>
      </c>
      <c r="AG140" t="str">
        <f>IFERROR(VLOOKUP(TblFeedFile1[[#This Row],[ Report Number ]],LkupPayrollCycle[],2,FALSE),"TBD")</f>
        <v>Bi-Weekly</v>
      </c>
      <c r="AH140" t="str">
        <f>IF(TblFeedFile1[[#This Row],[Return to Work Date ]]="","","Y")</f>
        <v/>
      </c>
    </row>
    <row r="141" spans="1:34" x14ac:dyDescent="0.25">
      <c r="A141" t="s">
        <v>29</v>
      </c>
      <c r="B141">
        <v>314304</v>
      </c>
      <c r="C141">
        <v>20319450</v>
      </c>
      <c r="D141" s="1" t="s">
        <v>237</v>
      </c>
      <c r="E141" t="s">
        <v>238</v>
      </c>
      <c r="F141" t="s">
        <v>239</v>
      </c>
      <c r="G141">
        <v>20150911</v>
      </c>
      <c r="H141">
        <v>20151203</v>
      </c>
      <c r="I141" t="s">
        <v>155</v>
      </c>
      <c r="L141" t="s">
        <v>34</v>
      </c>
      <c r="M141" t="s">
        <v>34</v>
      </c>
      <c r="N141" t="s">
        <v>35</v>
      </c>
      <c r="O141" t="s">
        <v>35</v>
      </c>
      <c r="P141" t="s">
        <v>35</v>
      </c>
      <c r="Q141" t="s">
        <v>35</v>
      </c>
      <c r="R141" t="s">
        <v>35</v>
      </c>
      <c r="S141" t="s">
        <v>34</v>
      </c>
      <c r="AC141" t="s">
        <v>35</v>
      </c>
      <c r="AD141">
        <v>20170124</v>
      </c>
      <c r="AF141" t="str">
        <f>IFERROR(VLOOKUP(RIGHT(TblFeedFile1[[#This Row],[Leave Type ]],6),LkupPayType[],2,FALSE),"TBD")</f>
        <v>TBD</v>
      </c>
      <c r="AG141" t="str">
        <f>IFERROR(VLOOKUP(TblFeedFile1[[#This Row],[ Report Number ]],LkupPayrollCycle[],2,FALSE),"TBD")</f>
        <v>Bi-Weekly</v>
      </c>
      <c r="AH141" t="str">
        <f>IF(TblFeedFile1[[#This Row],[Return to Work Date ]]="","","Y")</f>
        <v/>
      </c>
    </row>
    <row r="142" spans="1:34" x14ac:dyDescent="0.25">
      <c r="A142" t="s">
        <v>37</v>
      </c>
      <c r="B142">
        <v>314304</v>
      </c>
      <c r="C142">
        <v>20319450</v>
      </c>
      <c r="D142" s="1" t="s">
        <v>237</v>
      </c>
      <c r="E142" t="s">
        <v>238</v>
      </c>
      <c r="F142" t="s">
        <v>239</v>
      </c>
      <c r="G142">
        <v>20161130</v>
      </c>
      <c r="H142">
        <v>20170223</v>
      </c>
      <c r="I142" t="s">
        <v>155</v>
      </c>
      <c r="L142" t="s">
        <v>34</v>
      </c>
      <c r="M142" t="s">
        <v>34</v>
      </c>
      <c r="N142" t="s">
        <v>35</v>
      </c>
      <c r="O142" t="s">
        <v>35</v>
      </c>
      <c r="P142" t="s">
        <v>35</v>
      </c>
      <c r="Q142" t="s">
        <v>35</v>
      </c>
      <c r="R142" t="s">
        <v>35</v>
      </c>
      <c r="S142" t="s">
        <v>34</v>
      </c>
      <c r="AC142" t="s">
        <v>35</v>
      </c>
      <c r="AD142">
        <v>20170124</v>
      </c>
      <c r="AF142" t="str">
        <f>IFERROR(VLOOKUP(RIGHT(TblFeedFile1[[#This Row],[Leave Type ]],6),LkupPayType[],2,FALSE),"TBD")</f>
        <v>TBD</v>
      </c>
      <c r="AG142" t="str">
        <f>IFERROR(VLOOKUP(TblFeedFile1[[#This Row],[ Report Number ]],LkupPayrollCycle[],2,FALSE),"TBD")</f>
        <v>Bi-Weekly</v>
      </c>
      <c r="AH142" t="str">
        <f>IF(TblFeedFile1[[#This Row],[Return to Work Date ]]="","","Y")</f>
        <v/>
      </c>
    </row>
    <row r="143" spans="1:34" x14ac:dyDescent="0.25">
      <c r="A143" t="s">
        <v>37</v>
      </c>
      <c r="B143">
        <v>314310</v>
      </c>
      <c r="C143">
        <v>20326673</v>
      </c>
      <c r="D143" s="1" t="s">
        <v>240</v>
      </c>
      <c r="E143" t="s">
        <v>241</v>
      </c>
      <c r="F143" t="s">
        <v>242</v>
      </c>
      <c r="G143">
        <v>20170121</v>
      </c>
      <c r="H143">
        <v>20170121</v>
      </c>
      <c r="I143" t="s">
        <v>33</v>
      </c>
      <c r="L143" t="s">
        <v>34</v>
      </c>
      <c r="M143" t="s">
        <v>34</v>
      </c>
      <c r="N143" t="s">
        <v>35</v>
      </c>
      <c r="O143" t="s">
        <v>35</v>
      </c>
      <c r="P143" t="s">
        <v>35</v>
      </c>
      <c r="Q143" t="s">
        <v>35</v>
      </c>
      <c r="R143" t="s">
        <v>35</v>
      </c>
      <c r="S143" t="s">
        <v>34</v>
      </c>
      <c r="AC143" t="s">
        <v>35</v>
      </c>
      <c r="AD143">
        <v>20170124</v>
      </c>
      <c r="AF143" t="str">
        <f>IFERROR(VLOOKUP(RIGHT(TblFeedFile1[[#This Row],[Leave Type ]],6),LkupPayType[],2,FALSE),"TBD")</f>
        <v>TBD</v>
      </c>
      <c r="AG143" t="str">
        <f>IFERROR(VLOOKUP(TblFeedFile1[[#This Row],[ Report Number ]],LkupPayrollCycle[],2,FALSE),"TBD")</f>
        <v>Bi-Weekly</v>
      </c>
      <c r="AH143" t="str">
        <f>IF(TblFeedFile1[[#This Row],[Return to Work Date ]]="","","Y")</f>
        <v/>
      </c>
    </row>
    <row r="144" spans="1:34" x14ac:dyDescent="0.25">
      <c r="A144" t="s">
        <v>37</v>
      </c>
      <c r="B144">
        <v>314304</v>
      </c>
      <c r="C144">
        <v>20335822</v>
      </c>
      <c r="D144" s="1">
        <v>501701178298</v>
      </c>
      <c r="E144" t="s">
        <v>243</v>
      </c>
      <c r="F144" t="s">
        <v>244</v>
      </c>
      <c r="G144">
        <v>20170124</v>
      </c>
      <c r="H144">
        <v>20170224</v>
      </c>
      <c r="I144" t="s">
        <v>40</v>
      </c>
      <c r="L144" t="s">
        <v>34</v>
      </c>
      <c r="M144" t="s">
        <v>34</v>
      </c>
      <c r="N144" t="s">
        <v>35</v>
      </c>
      <c r="O144" t="s">
        <v>35</v>
      </c>
      <c r="P144" t="s">
        <v>35</v>
      </c>
      <c r="Q144" t="s">
        <v>35</v>
      </c>
      <c r="R144" t="s">
        <v>35</v>
      </c>
      <c r="S144" t="s">
        <v>34</v>
      </c>
      <c r="AD144">
        <v>20170124</v>
      </c>
      <c r="AF144" t="str">
        <f>IFERROR(VLOOKUP(RIGHT(TblFeedFile1[[#This Row],[Leave Type ]],6),LkupPayType[],2,FALSE),"TBD")</f>
        <v>TBD</v>
      </c>
      <c r="AG144" t="str">
        <f>IFERROR(VLOOKUP(TblFeedFile1[[#This Row],[ Report Number ]],LkupPayrollCycle[],2,FALSE),"TBD")</f>
        <v>Bi-Weekly</v>
      </c>
      <c r="AH144" t="str">
        <f>IF(TblFeedFile1[[#This Row],[Return to Work Date ]]="","","Y")</f>
        <v/>
      </c>
    </row>
    <row r="145" spans="1:34" x14ac:dyDescent="0.25">
      <c r="A145" t="s">
        <v>29</v>
      </c>
      <c r="B145">
        <v>314305</v>
      </c>
      <c r="C145">
        <v>20339996</v>
      </c>
      <c r="D145" s="1" t="s">
        <v>245</v>
      </c>
      <c r="E145" t="s">
        <v>246</v>
      </c>
      <c r="F145" t="s">
        <v>247</v>
      </c>
      <c r="G145">
        <v>20170120</v>
      </c>
      <c r="H145">
        <v>20170120</v>
      </c>
      <c r="I145" t="s">
        <v>33</v>
      </c>
      <c r="L145" t="s">
        <v>34</v>
      </c>
      <c r="M145" t="s">
        <v>34</v>
      </c>
      <c r="N145" t="s">
        <v>35</v>
      </c>
      <c r="O145" t="s">
        <v>35</v>
      </c>
      <c r="P145" t="s">
        <v>35</v>
      </c>
      <c r="Q145" t="s">
        <v>35</v>
      </c>
      <c r="R145" t="s">
        <v>35</v>
      </c>
      <c r="S145" t="s">
        <v>34</v>
      </c>
      <c r="AD145">
        <v>20170124</v>
      </c>
      <c r="AF145" t="str">
        <f>IFERROR(VLOOKUP(RIGHT(TblFeedFile1[[#This Row],[Leave Type ]],6),LkupPayType[],2,FALSE),"TBD")</f>
        <v>TBD</v>
      </c>
      <c r="AG145" t="str">
        <f>IFERROR(VLOOKUP(TblFeedFile1[[#This Row],[ Report Number ]],LkupPayrollCycle[],2,FALSE),"TBD")</f>
        <v>Bi-Weekly</v>
      </c>
      <c r="AH145" t="str">
        <f>IF(TblFeedFile1[[#This Row],[Return to Work Date ]]="","","Y")</f>
        <v/>
      </c>
    </row>
    <row r="146" spans="1:34" x14ac:dyDescent="0.25">
      <c r="A146" t="s">
        <v>37</v>
      </c>
      <c r="B146">
        <v>314305</v>
      </c>
      <c r="C146">
        <v>20339996</v>
      </c>
      <c r="D146" s="1" t="s">
        <v>245</v>
      </c>
      <c r="E146" t="s">
        <v>246</v>
      </c>
      <c r="F146" t="s">
        <v>247</v>
      </c>
      <c r="G146">
        <v>20170104</v>
      </c>
      <c r="H146">
        <v>20170119</v>
      </c>
      <c r="I146" t="s">
        <v>36</v>
      </c>
      <c r="L146" t="s">
        <v>34</v>
      </c>
      <c r="M146" t="s">
        <v>34</v>
      </c>
      <c r="N146" t="s">
        <v>35</v>
      </c>
      <c r="O146" t="s">
        <v>35</v>
      </c>
      <c r="P146" t="s">
        <v>35</v>
      </c>
      <c r="Q146" t="s">
        <v>35</v>
      </c>
      <c r="R146" t="s">
        <v>35</v>
      </c>
      <c r="S146" t="s">
        <v>34</v>
      </c>
      <c r="T146">
        <v>20170123</v>
      </c>
      <c r="AD146">
        <v>20170124</v>
      </c>
      <c r="AF146" t="str">
        <f>IFERROR(VLOOKUP(RIGHT(TblFeedFile1[[#This Row],[Leave Type ]],6),LkupPayType[],2,FALSE),"TBD")</f>
        <v>TBD</v>
      </c>
      <c r="AG146" t="str">
        <f>IFERROR(VLOOKUP(TblFeedFile1[[#This Row],[ Report Number ]],LkupPayrollCycle[],2,FALSE),"TBD")</f>
        <v>Bi-Weekly</v>
      </c>
      <c r="AH146" t="str">
        <f>IF(TblFeedFile1[[#This Row],[Return to Work Date ]]="","","Y")</f>
        <v>Y</v>
      </c>
    </row>
    <row r="147" spans="1:34" x14ac:dyDescent="0.25">
      <c r="A147" t="s">
        <v>29</v>
      </c>
      <c r="B147">
        <v>314304</v>
      </c>
      <c r="C147">
        <v>20356403</v>
      </c>
      <c r="D147" s="1" t="s">
        <v>248</v>
      </c>
      <c r="E147" t="s">
        <v>249</v>
      </c>
      <c r="F147" t="s">
        <v>250</v>
      </c>
      <c r="G147">
        <v>20170115</v>
      </c>
      <c r="H147">
        <v>20170115</v>
      </c>
      <c r="I147" t="s">
        <v>33</v>
      </c>
      <c r="L147" t="s">
        <v>34</v>
      </c>
      <c r="M147" t="s">
        <v>34</v>
      </c>
      <c r="N147" t="s">
        <v>35</v>
      </c>
      <c r="O147" t="s">
        <v>35</v>
      </c>
      <c r="P147" t="s">
        <v>35</v>
      </c>
      <c r="Q147" t="s">
        <v>35</v>
      </c>
      <c r="R147" t="s">
        <v>35</v>
      </c>
      <c r="S147" t="s">
        <v>34</v>
      </c>
      <c r="AC147" t="s">
        <v>35</v>
      </c>
      <c r="AD147">
        <v>20170124</v>
      </c>
      <c r="AF147" t="str">
        <f>IFERROR(VLOOKUP(RIGHT(TblFeedFile1[[#This Row],[Leave Type ]],6),LkupPayType[],2,FALSE),"TBD")</f>
        <v>TBD</v>
      </c>
      <c r="AG147" t="str">
        <f>IFERROR(VLOOKUP(TblFeedFile1[[#This Row],[ Report Number ]],LkupPayrollCycle[],2,FALSE),"TBD")</f>
        <v>Bi-Weekly</v>
      </c>
      <c r="AH147" t="str">
        <f>IF(TblFeedFile1[[#This Row],[Return to Work Date ]]="","","Y")</f>
        <v/>
      </c>
    </row>
    <row r="148" spans="1:34" x14ac:dyDescent="0.25">
      <c r="A148" t="s">
        <v>29</v>
      </c>
      <c r="B148">
        <v>314304</v>
      </c>
      <c r="C148">
        <v>20356403</v>
      </c>
      <c r="D148" s="1" t="s">
        <v>248</v>
      </c>
      <c r="E148" t="s">
        <v>249</v>
      </c>
      <c r="F148" t="s">
        <v>250</v>
      </c>
      <c r="G148">
        <v>20161117</v>
      </c>
      <c r="H148">
        <v>20170114</v>
      </c>
      <c r="I148" t="s">
        <v>36</v>
      </c>
      <c r="L148" t="s">
        <v>34</v>
      </c>
      <c r="M148" t="s">
        <v>34</v>
      </c>
      <c r="N148" t="s">
        <v>35</v>
      </c>
      <c r="O148" t="s">
        <v>35</v>
      </c>
      <c r="P148" t="s">
        <v>35</v>
      </c>
      <c r="Q148" t="s">
        <v>35</v>
      </c>
      <c r="R148" t="s">
        <v>35</v>
      </c>
      <c r="S148" t="s">
        <v>34</v>
      </c>
      <c r="AC148" t="s">
        <v>35</v>
      </c>
      <c r="AD148">
        <v>20170124</v>
      </c>
      <c r="AF148" t="str">
        <f>IFERROR(VLOOKUP(RIGHT(TblFeedFile1[[#This Row],[Leave Type ]],6),LkupPayType[],2,FALSE),"TBD")</f>
        <v>TBD</v>
      </c>
      <c r="AG148" t="str">
        <f>IFERROR(VLOOKUP(TblFeedFile1[[#This Row],[ Report Number ]],LkupPayrollCycle[],2,FALSE),"TBD")</f>
        <v>Bi-Weekly</v>
      </c>
      <c r="AH148" t="str">
        <f>IF(TblFeedFile1[[#This Row],[Return to Work Date ]]="","","Y")</f>
        <v/>
      </c>
    </row>
    <row r="149" spans="1:34" x14ac:dyDescent="0.25">
      <c r="A149" t="s">
        <v>37</v>
      </c>
      <c r="B149">
        <v>314304</v>
      </c>
      <c r="C149">
        <v>20356403</v>
      </c>
      <c r="D149" s="1" t="s">
        <v>248</v>
      </c>
      <c r="E149" t="s">
        <v>249</v>
      </c>
      <c r="F149" t="s">
        <v>250</v>
      </c>
      <c r="G149">
        <v>20161117</v>
      </c>
      <c r="H149">
        <v>20170216</v>
      </c>
      <c r="I149" t="s">
        <v>36</v>
      </c>
      <c r="L149" t="s">
        <v>34</v>
      </c>
      <c r="M149" t="s">
        <v>34</v>
      </c>
      <c r="N149" t="s">
        <v>35</v>
      </c>
      <c r="O149" t="s">
        <v>35</v>
      </c>
      <c r="P149" t="s">
        <v>35</v>
      </c>
      <c r="Q149" t="s">
        <v>35</v>
      </c>
      <c r="R149" t="s">
        <v>35</v>
      </c>
      <c r="S149" t="s">
        <v>34</v>
      </c>
      <c r="AC149" t="s">
        <v>35</v>
      </c>
      <c r="AD149">
        <v>20170124</v>
      </c>
      <c r="AF149" t="str">
        <f>IFERROR(VLOOKUP(RIGHT(TblFeedFile1[[#This Row],[Leave Type ]],6),LkupPayType[],2,FALSE),"TBD")</f>
        <v>TBD</v>
      </c>
      <c r="AG149" t="str">
        <f>IFERROR(VLOOKUP(TblFeedFile1[[#This Row],[ Report Number ]],LkupPayrollCycle[],2,FALSE),"TBD")</f>
        <v>Bi-Weekly</v>
      </c>
      <c r="AH149" t="str">
        <f>IF(TblFeedFile1[[#This Row],[Return to Work Date ]]="","","Y")</f>
        <v/>
      </c>
    </row>
    <row r="150" spans="1:34" x14ac:dyDescent="0.25">
      <c r="A150" t="s">
        <v>29</v>
      </c>
      <c r="B150">
        <v>314301</v>
      </c>
      <c r="C150">
        <v>20382624</v>
      </c>
      <c r="D150" s="1" t="s">
        <v>251</v>
      </c>
      <c r="E150" t="s">
        <v>252</v>
      </c>
      <c r="F150" t="s">
        <v>253</v>
      </c>
      <c r="G150">
        <v>20161114</v>
      </c>
      <c r="H150">
        <v>20170127</v>
      </c>
      <c r="I150" t="s">
        <v>254</v>
      </c>
      <c r="L150" t="s">
        <v>34</v>
      </c>
      <c r="M150" t="s">
        <v>34</v>
      </c>
      <c r="N150" t="s">
        <v>35</v>
      </c>
      <c r="O150" t="s">
        <v>35</v>
      </c>
      <c r="P150" t="s">
        <v>35</v>
      </c>
      <c r="Q150" t="s">
        <v>35</v>
      </c>
      <c r="R150" t="s">
        <v>35</v>
      </c>
      <c r="S150" t="s">
        <v>34</v>
      </c>
      <c r="AC150" t="s">
        <v>35</v>
      </c>
      <c r="AD150">
        <v>20170124</v>
      </c>
      <c r="AF150" t="str">
        <f>IFERROR(VLOOKUP(RIGHT(TblFeedFile1[[#This Row],[Leave Type ]],6),LkupPayType[],2,FALSE),"TBD")</f>
        <v>TBD</v>
      </c>
      <c r="AG150" t="str">
        <f>IFERROR(VLOOKUP(TblFeedFile1[[#This Row],[ Report Number ]],LkupPayrollCycle[],2,FALSE),"TBD")</f>
        <v>Semi-Monthly</v>
      </c>
      <c r="AH150" t="str">
        <f>IF(TblFeedFile1[[#This Row],[Return to Work Date ]]="","","Y")</f>
        <v/>
      </c>
    </row>
    <row r="151" spans="1:34" x14ac:dyDescent="0.25">
      <c r="A151" t="s">
        <v>29</v>
      </c>
      <c r="B151">
        <v>314304</v>
      </c>
      <c r="C151">
        <v>20386823</v>
      </c>
      <c r="D151" s="1">
        <v>501701128480</v>
      </c>
      <c r="E151" t="s">
        <v>255</v>
      </c>
      <c r="F151" t="s">
        <v>256</v>
      </c>
      <c r="G151">
        <v>20170117</v>
      </c>
      <c r="H151">
        <v>20170128</v>
      </c>
      <c r="I151" t="s">
        <v>40</v>
      </c>
      <c r="L151" t="s">
        <v>34</v>
      </c>
      <c r="M151" t="s">
        <v>34</v>
      </c>
      <c r="N151" t="s">
        <v>35</v>
      </c>
      <c r="O151" t="s">
        <v>35</v>
      </c>
      <c r="P151" t="s">
        <v>35</v>
      </c>
      <c r="Q151" t="s">
        <v>35</v>
      </c>
      <c r="R151" t="s">
        <v>35</v>
      </c>
      <c r="S151" t="s">
        <v>34</v>
      </c>
      <c r="AD151">
        <v>20170124</v>
      </c>
      <c r="AF151" t="str">
        <f>IFERROR(VLOOKUP(RIGHT(TblFeedFile1[[#This Row],[Leave Type ]],6),LkupPayType[],2,FALSE),"TBD")</f>
        <v>TBD</v>
      </c>
      <c r="AG151" t="str">
        <f>IFERROR(VLOOKUP(TblFeedFile1[[#This Row],[ Report Number ]],LkupPayrollCycle[],2,FALSE),"TBD")</f>
        <v>Bi-Weekly</v>
      </c>
      <c r="AH151" t="str">
        <f>IF(TblFeedFile1[[#This Row],[Return to Work Date ]]="","","Y")</f>
        <v/>
      </c>
    </row>
    <row r="152" spans="1:34" x14ac:dyDescent="0.25">
      <c r="A152" t="s">
        <v>29</v>
      </c>
      <c r="B152">
        <v>314304</v>
      </c>
      <c r="C152">
        <v>20386823</v>
      </c>
      <c r="D152" s="1" t="s">
        <v>257</v>
      </c>
      <c r="E152" t="s">
        <v>255</v>
      </c>
      <c r="F152" t="s">
        <v>256</v>
      </c>
      <c r="G152">
        <v>20170107</v>
      </c>
      <c r="H152">
        <v>20170128</v>
      </c>
      <c r="I152" t="s">
        <v>78</v>
      </c>
      <c r="K152" t="s">
        <v>79</v>
      </c>
      <c r="L152" t="s">
        <v>34</v>
      </c>
      <c r="M152" t="s">
        <v>34</v>
      </c>
      <c r="N152" t="s">
        <v>35</v>
      </c>
      <c r="O152" t="s">
        <v>35</v>
      </c>
      <c r="P152" t="s">
        <v>35</v>
      </c>
      <c r="Q152" t="s">
        <v>35</v>
      </c>
      <c r="R152" t="s">
        <v>35</v>
      </c>
      <c r="S152" t="s">
        <v>34</v>
      </c>
      <c r="AD152">
        <v>20170124</v>
      </c>
      <c r="AF152" t="str">
        <f>IFERROR(VLOOKUP(RIGHT(TblFeedFile1[[#This Row],[Leave Type ]],6),LkupPayType[],2,FALSE),"TBD")</f>
        <v>TBD</v>
      </c>
      <c r="AG152" t="str">
        <f>IFERROR(VLOOKUP(TblFeedFile1[[#This Row],[ Report Number ]],LkupPayrollCycle[],2,FALSE),"TBD")</f>
        <v>Bi-Weekly</v>
      </c>
      <c r="AH152" t="str">
        <f>IF(TblFeedFile1[[#This Row],[Return to Work Date ]]="","","Y")</f>
        <v/>
      </c>
    </row>
    <row r="153" spans="1:34" x14ac:dyDescent="0.25">
      <c r="A153" t="s">
        <v>37</v>
      </c>
      <c r="B153">
        <v>314304</v>
      </c>
      <c r="C153">
        <v>20386823</v>
      </c>
      <c r="D153" s="1" t="s">
        <v>257</v>
      </c>
      <c r="E153" t="s">
        <v>255</v>
      </c>
      <c r="F153" t="s">
        <v>256</v>
      </c>
      <c r="G153">
        <v>20170107</v>
      </c>
      <c r="H153">
        <v>20170228</v>
      </c>
      <c r="I153" t="s">
        <v>78</v>
      </c>
      <c r="K153" t="s">
        <v>79</v>
      </c>
      <c r="L153" t="s">
        <v>34</v>
      </c>
      <c r="M153" t="s">
        <v>34</v>
      </c>
      <c r="N153" t="s">
        <v>35</v>
      </c>
      <c r="O153" t="s">
        <v>35</v>
      </c>
      <c r="P153" t="s">
        <v>35</v>
      </c>
      <c r="Q153" t="s">
        <v>35</v>
      </c>
      <c r="R153" t="s">
        <v>35</v>
      </c>
      <c r="S153" t="s">
        <v>34</v>
      </c>
      <c r="AD153">
        <v>20170124</v>
      </c>
      <c r="AF153" t="str">
        <f>IFERROR(VLOOKUP(RIGHT(TblFeedFile1[[#This Row],[Leave Type ]],6),LkupPayType[],2,FALSE),"TBD")</f>
        <v>TBD</v>
      </c>
      <c r="AG153" t="str">
        <f>IFERROR(VLOOKUP(TblFeedFile1[[#This Row],[ Report Number ]],LkupPayrollCycle[],2,FALSE),"TBD")</f>
        <v>Bi-Weekly</v>
      </c>
      <c r="AH153" t="str">
        <f>IF(TblFeedFile1[[#This Row],[Return to Work Date ]]="","","Y")</f>
        <v/>
      </c>
    </row>
    <row r="154" spans="1:34" x14ac:dyDescent="0.25">
      <c r="A154" t="s">
        <v>37</v>
      </c>
      <c r="B154">
        <v>314304</v>
      </c>
      <c r="C154">
        <v>20386823</v>
      </c>
      <c r="D154" s="1">
        <v>501701128480</v>
      </c>
      <c r="E154" t="s">
        <v>255</v>
      </c>
      <c r="F154" t="s">
        <v>256</v>
      </c>
      <c r="G154">
        <v>20170117</v>
      </c>
      <c r="H154">
        <v>20170228</v>
      </c>
      <c r="I154" t="s">
        <v>40</v>
      </c>
      <c r="L154" t="s">
        <v>34</v>
      </c>
      <c r="M154" t="s">
        <v>34</v>
      </c>
      <c r="N154" t="s">
        <v>35</v>
      </c>
      <c r="O154" t="s">
        <v>35</v>
      </c>
      <c r="P154" t="s">
        <v>35</v>
      </c>
      <c r="Q154" t="s">
        <v>35</v>
      </c>
      <c r="R154" t="s">
        <v>35</v>
      </c>
      <c r="S154" t="s">
        <v>34</v>
      </c>
      <c r="AD154">
        <v>20170124</v>
      </c>
      <c r="AF154" t="str">
        <f>IFERROR(VLOOKUP(RIGHT(TblFeedFile1[[#This Row],[Leave Type ]],6),LkupPayType[],2,FALSE),"TBD")</f>
        <v>TBD</v>
      </c>
      <c r="AG154" t="str">
        <f>IFERROR(VLOOKUP(TblFeedFile1[[#This Row],[ Report Number ]],LkupPayrollCycle[],2,FALSE),"TBD")</f>
        <v>Bi-Weekly</v>
      </c>
      <c r="AH154" t="str">
        <f>IF(TblFeedFile1[[#This Row],[Return to Work Date ]]="","","Y")</f>
        <v/>
      </c>
    </row>
    <row r="155" spans="1:34" x14ac:dyDescent="0.25">
      <c r="A155" t="s">
        <v>37</v>
      </c>
      <c r="B155">
        <v>314304</v>
      </c>
      <c r="C155">
        <v>20397260</v>
      </c>
      <c r="D155" s="1" t="s">
        <v>258</v>
      </c>
      <c r="E155" t="s">
        <v>259</v>
      </c>
      <c r="F155" t="s">
        <v>260</v>
      </c>
      <c r="G155">
        <v>20170123</v>
      </c>
      <c r="H155">
        <v>20170219</v>
      </c>
      <c r="I155" t="s">
        <v>155</v>
      </c>
      <c r="L155" t="s">
        <v>34</v>
      </c>
      <c r="M155" t="s">
        <v>34</v>
      </c>
      <c r="N155" t="s">
        <v>35</v>
      </c>
      <c r="O155" t="s">
        <v>35</v>
      </c>
      <c r="P155" t="s">
        <v>35</v>
      </c>
      <c r="Q155" t="s">
        <v>35</v>
      </c>
      <c r="R155" t="s">
        <v>35</v>
      </c>
      <c r="S155" t="s">
        <v>34</v>
      </c>
      <c r="AD155">
        <v>20170124</v>
      </c>
      <c r="AF155" t="str">
        <f>IFERROR(VLOOKUP(RIGHT(TblFeedFile1[[#This Row],[Leave Type ]],6),LkupPayType[],2,FALSE),"TBD")</f>
        <v>TBD</v>
      </c>
      <c r="AG155" t="str">
        <f>IFERROR(VLOOKUP(TblFeedFile1[[#This Row],[ Report Number ]],LkupPayrollCycle[],2,FALSE),"TBD")</f>
        <v>Bi-Weekly</v>
      </c>
      <c r="AH155" t="str">
        <f>IF(TblFeedFile1[[#This Row],[Return to Work Date ]]="","","Y")</f>
        <v/>
      </c>
    </row>
    <row r="156" spans="1:34" x14ac:dyDescent="0.25">
      <c r="A156" t="s">
        <v>29</v>
      </c>
      <c r="B156">
        <v>314304</v>
      </c>
      <c r="C156">
        <v>20423602</v>
      </c>
      <c r="D156" s="1" t="s">
        <v>261</v>
      </c>
      <c r="E156" t="s">
        <v>262</v>
      </c>
      <c r="F156" t="s">
        <v>263</v>
      </c>
      <c r="G156">
        <v>20160509</v>
      </c>
      <c r="H156">
        <v>20160519</v>
      </c>
      <c r="I156" t="s">
        <v>36</v>
      </c>
      <c r="L156" t="s">
        <v>34</v>
      </c>
      <c r="M156" t="s">
        <v>34</v>
      </c>
      <c r="N156" t="s">
        <v>35</v>
      </c>
      <c r="O156" t="s">
        <v>35</v>
      </c>
      <c r="P156" t="s">
        <v>35</v>
      </c>
      <c r="Q156" t="s">
        <v>35</v>
      </c>
      <c r="R156" t="s">
        <v>35</v>
      </c>
      <c r="S156" t="s">
        <v>34</v>
      </c>
      <c r="AC156" t="s">
        <v>35</v>
      </c>
      <c r="AD156">
        <v>20170124</v>
      </c>
      <c r="AF156" t="str">
        <f>IFERROR(VLOOKUP(RIGHT(TblFeedFile1[[#This Row],[Leave Type ]],6),LkupPayType[],2,FALSE),"TBD")</f>
        <v>TBD</v>
      </c>
      <c r="AG156" t="str">
        <f>IFERROR(VLOOKUP(TblFeedFile1[[#This Row],[ Report Number ]],LkupPayrollCycle[],2,FALSE),"TBD")</f>
        <v>Bi-Weekly</v>
      </c>
      <c r="AH156" t="str">
        <f>IF(TblFeedFile1[[#This Row],[Return to Work Date ]]="","","Y")</f>
        <v/>
      </c>
    </row>
    <row r="157" spans="1:34" x14ac:dyDescent="0.25">
      <c r="A157" t="s">
        <v>37</v>
      </c>
      <c r="B157">
        <v>314304</v>
      </c>
      <c r="C157">
        <v>20423602</v>
      </c>
      <c r="D157" s="1" t="s">
        <v>261</v>
      </c>
      <c r="E157" t="s">
        <v>262</v>
      </c>
      <c r="F157" t="s">
        <v>263</v>
      </c>
      <c r="G157">
        <v>20160425</v>
      </c>
      <c r="H157">
        <v>20160519</v>
      </c>
      <c r="I157" t="s">
        <v>36</v>
      </c>
      <c r="L157" t="s">
        <v>34</v>
      </c>
      <c r="M157" t="s">
        <v>34</v>
      </c>
      <c r="N157" t="s">
        <v>35</v>
      </c>
      <c r="O157" t="s">
        <v>35</v>
      </c>
      <c r="P157" t="s">
        <v>35</v>
      </c>
      <c r="Q157" t="s">
        <v>35</v>
      </c>
      <c r="R157" t="s">
        <v>35</v>
      </c>
      <c r="S157" t="s">
        <v>34</v>
      </c>
      <c r="AD157">
        <v>20170124</v>
      </c>
      <c r="AF157" t="str">
        <f>IFERROR(VLOOKUP(RIGHT(TblFeedFile1[[#This Row],[Leave Type ]],6),LkupPayType[],2,FALSE),"TBD")</f>
        <v>TBD</v>
      </c>
      <c r="AG157" t="str">
        <f>IFERROR(VLOOKUP(TblFeedFile1[[#This Row],[ Report Number ]],LkupPayrollCycle[],2,FALSE),"TBD")</f>
        <v>Bi-Weekly</v>
      </c>
      <c r="AH157" t="str">
        <f>IF(TblFeedFile1[[#This Row],[Return to Work Date ]]="","","Y")</f>
        <v/>
      </c>
    </row>
    <row r="158" spans="1:34" x14ac:dyDescent="0.25">
      <c r="A158" t="s">
        <v>29</v>
      </c>
      <c r="B158">
        <v>314304</v>
      </c>
      <c r="C158">
        <v>20430154</v>
      </c>
      <c r="D158" s="1" t="s">
        <v>264</v>
      </c>
      <c r="E158" t="s">
        <v>265</v>
      </c>
      <c r="F158" t="s">
        <v>266</v>
      </c>
      <c r="G158">
        <v>20170103</v>
      </c>
      <c r="H158">
        <v>20170129</v>
      </c>
      <c r="I158" t="s">
        <v>78</v>
      </c>
      <c r="K158" t="s">
        <v>79</v>
      </c>
      <c r="L158" t="s">
        <v>34</v>
      </c>
      <c r="M158" t="s">
        <v>34</v>
      </c>
      <c r="N158" t="s">
        <v>35</v>
      </c>
      <c r="O158" t="s">
        <v>35</v>
      </c>
      <c r="P158" t="s">
        <v>35</v>
      </c>
      <c r="Q158" t="s">
        <v>35</v>
      </c>
      <c r="R158" t="s">
        <v>35</v>
      </c>
      <c r="S158" t="s">
        <v>34</v>
      </c>
      <c r="AD158">
        <v>20170124</v>
      </c>
      <c r="AF158" t="str">
        <f>IFERROR(VLOOKUP(RIGHT(TblFeedFile1[[#This Row],[Leave Type ]],6),LkupPayType[],2,FALSE),"TBD")</f>
        <v>TBD</v>
      </c>
      <c r="AG158" t="str">
        <f>IFERROR(VLOOKUP(TblFeedFile1[[#This Row],[ Report Number ]],LkupPayrollCycle[],2,FALSE),"TBD")</f>
        <v>Bi-Weekly</v>
      </c>
      <c r="AH158" t="str">
        <f>IF(TblFeedFile1[[#This Row],[Return to Work Date ]]="","","Y")</f>
        <v/>
      </c>
    </row>
    <row r="159" spans="1:34" x14ac:dyDescent="0.25">
      <c r="A159" t="s">
        <v>29</v>
      </c>
      <c r="B159">
        <v>314304</v>
      </c>
      <c r="C159">
        <v>20430154</v>
      </c>
      <c r="D159" s="1" t="s">
        <v>264</v>
      </c>
      <c r="E159" t="s">
        <v>265</v>
      </c>
      <c r="F159" t="s">
        <v>266</v>
      </c>
      <c r="G159">
        <v>20161202</v>
      </c>
      <c r="H159">
        <v>20170129</v>
      </c>
      <c r="I159" t="s">
        <v>78</v>
      </c>
      <c r="K159" t="s">
        <v>79</v>
      </c>
      <c r="L159" t="s">
        <v>34</v>
      </c>
      <c r="M159" t="s">
        <v>34</v>
      </c>
      <c r="N159" t="s">
        <v>35</v>
      </c>
      <c r="O159" t="s">
        <v>35</v>
      </c>
      <c r="P159" t="s">
        <v>35</v>
      </c>
      <c r="Q159" t="s">
        <v>35</v>
      </c>
      <c r="R159" t="s">
        <v>35</v>
      </c>
      <c r="S159" t="s">
        <v>34</v>
      </c>
      <c r="AD159">
        <v>20170124</v>
      </c>
      <c r="AF159" t="str">
        <f>IFERROR(VLOOKUP(RIGHT(TblFeedFile1[[#This Row],[Leave Type ]],6),LkupPayType[],2,FALSE),"TBD")</f>
        <v>TBD</v>
      </c>
      <c r="AG159" t="str">
        <f>IFERROR(VLOOKUP(TblFeedFile1[[#This Row],[ Report Number ]],LkupPayrollCycle[],2,FALSE),"TBD")</f>
        <v>Bi-Weekly</v>
      </c>
      <c r="AH159" t="str">
        <f>IF(TblFeedFile1[[#This Row],[Return to Work Date ]]="","","Y")</f>
        <v/>
      </c>
    </row>
    <row r="160" spans="1:34" x14ac:dyDescent="0.25">
      <c r="A160" t="s">
        <v>37</v>
      </c>
      <c r="B160">
        <v>314304</v>
      </c>
      <c r="C160">
        <v>20430154</v>
      </c>
      <c r="D160" s="1" t="s">
        <v>264</v>
      </c>
      <c r="E160" t="s">
        <v>265</v>
      </c>
      <c r="F160" t="s">
        <v>266</v>
      </c>
      <c r="G160">
        <v>20161207</v>
      </c>
      <c r="H160">
        <v>20170129</v>
      </c>
      <c r="I160" t="s">
        <v>78</v>
      </c>
      <c r="K160" t="s">
        <v>79</v>
      </c>
      <c r="L160" t="s">
        <v>34</v>
      </c>
      <c r="M160" t="s">
        <v>34</v>
      </c>
      <c r="N160" t="s">
        <v>35</v>
      </c>
      <c r="O160" t="s">
        <v>35</v>
      </c>
      <c r="P160" t="s">
        <v>35</v>
      </c>
      <c r="Q160" t="s">
        <v>35</v>
      </c>
      <c r="R160" t="s">
        <v>35</v>
      </c>
      <c r="S160" t="s">
        <v>34</v>
      </c>
      <c r="AD160">
        <v>20170124</v>
      </c>
      <c r="AF160" t="str">
        <f>IFERROR(VLOOKUP(RIGHT(TblFeedFile1[[#This Row],[Leave Type ]],6),LkupPayType[],2,FALSE),"TBD")</f>
        <v>TBD</v>
      </c>
      <c r="AG160" t="str">
        <f>IFERROR(VLOOKUP(TblFeedFile1[[#This Row],[ Report Number ]],LkupPayrollCycle[],2,FALSE),"TBD")</f>
        <v>Bi-Weekly</v>
      </c>
      <c r="AH160" t="str">
        <f>IF(TblFeedFile1[[#This Row],[Return to Work Date ]]="","","Y")</f>
        <v/>
      </c>
    </row>
    <row r="161" spans="1:34" x14ac:dyDescent="0.25">
      <c r="A161" t="s">
        <v>37</v>
      </c>
      <c r="B161">
        <v>314304</v>
      </c>
      <c r="C161">
        <v>20430154</v>
      </c>
      <c r="D161" s="1" t="s">
        <v>264</v>
      </c>
      <c r="E161" t="s">
        <v>265</v>
      </c>
      <c r="F161" t="s">
        <v>266</v>
      </c>
      <c r="G161">
        <v>20170109</v>
      </c>
      <c r="H161">
        <v>20170129</v>
      </c>
      <c r="I161" t="s">
        <v>36</v>
      </c>
      <c r="L161" t="s">
        <v>34</v>
      </c>
      <c r="M161" t="s">
        <v>34</v>
      </c>
      <c r="N161" t="s">
        <v>35</v>
      </c>
      <c r="O161" t="s">
        <v>35</v>
      </c>
      <c r="P161" t="s">
        <v>35</v>
      </c>
      <c r="Q161" t="s">
        <v>35</v>
      </c>
      <c r="R161" t="s">
        <v>35</v>
      </c>
      <c r="S161" t="s">
        <v>34</v>
      </c>
      <c r="AD161">
        <v>20170124</v>
      </c>
      <c r="AF161" t="str">
        <f>IFERROR(VLOOKUP(RIGHT(TblFeedFile1[[#This Row],[Leave Type ]],6),LkupPayType[],2,FALSE),"TBD")</f>
        <v>TBD</v>
      </c>
      <c r="AG161" t="str">
        <f>IFERROR(VLOOKUP(TblFeedFile1[[#This Row],[ Report Number ]],LkupPayrollCycle[],2,FALSE),"TBD")</f>
        <v>Bi-Weekly</v>
      </c>
      <c r="AH161" t="str">
        <f>IF(TblFeedFile1[[#This Row],[Return to Work Date ]]="","","Y")</f>
        <v/>
      </c>
    </row>
    <row r="162" spans="1:34" x14ac:dyDescent="0.25">
      <c r="A162" t="s">
        <v>37</v>
      </c>
      <c r="B162">
        <v>314301</v>
      </c>
      <c r="C162">
        <v>20439451</v>
      </c>
      <c r="D162" s="1" t="s">
        <v>267</v>
      </c>
      <c r="E162" t="s">
        <v>268</v>
      </c>
      <c r="F162" t="s">
        <v>269</v>
      </c>
      <c r="G162">
        <v>20170103</v>
      </c>
      <c r="H162">
        <v>20170425</v>
      </c>
      <c r="I162" t="s">
        <v>185</v>
      </c>
      <c r="L162" t="s">
        <v>34</v>
      </c>
      <c r="M162" t="s">
        <v>34</v>
      </c>
      <c r="N162" t="s">
        <v>35</v>
      </c>
      <c r="O162" t="s">
        <v>35</v>
      </c>
      <c r="P162" t="s">
        <v>35</v>
      </c>
      <c r="Q162" t="s">
        <v>35</v>
      </c>
      <c r="R162" t="s">
        <v>35</v>
      </c>
      <c r="S162" t="s">
        <v>34</v>
      </c>
      <c r="AD162">
        <v>20170124</v>
      </c>
      <c r="AF162" t="str">
        <f>IFERROR(VLOOKUP(RIGHT(TblFeedFile1[[#This Row],[Leave Type ]],6),LkupPayType[],2,FALSE),"TBD")</f>
        <v>TBD</v>
      </c>
      <c r="AG162" t="str">
        <f>IFERROR(VLOOKUP(TblFeedFile1[[#This Row],[ Report Number ]],LkupPayrollCycle[],2,FALSE),"TBD")</f>
        <v>Semi-Monthly</v>
      </c>
      <c r="AH162" t="str">
        <f>IF(TblFeedFile1[[#This Row],[Return to Work Date ]]="","","Y")</f>
        <v/>
      </c>
    </row>
    <row r="163" spans="1:34" x14ac:dyDescent="0.25">
      <c r="A163" t="s">
        <v>29</v>
      </c>
      <c r="B163">
        <v>314304</v>
      </c>
      <c r="C163">
        <v>20445767</v>
      </c>
      <c r="D163" s="1" t="s">
        <v>270</v>
      </c>
      <c r="E163" t="s">
        <v>271</v>
      </c>
      <c r="F163" t="s">
        <v>272</v>
      </c>
      <c r="G163">
        <v>20170104</v>
      </c>
      <c r="H163">
        <v>20170129</v>
      </c>
      <c r="I163" t="s">
        <v>273</v>
      </c>
      <c r="L163" t="s">
        <v>34</v>
      </c>
      <c r="M163" t="s">
        <v>34</v>
      </c>
      <c r="N163" t="s">
        <v>35</v>
      </c>
      <c r="O163" t="s">
        <v>35</v>
      </c>
      <c r="P163" t="s">
        <v>35</v>
      </c>
      <c r="Q163" t="s">
        <v>35</v>
      </c>
      <c r="R163" t="s">
        <v>35</v>
      </c>
      <c r="S163" t="s">
        <v>34</v>
      </c>
      <c r="AD163">
        <v>20170124</v>
      </c>
      <c r="AF163" t="str">
        <f>IFERROR(VLOOKUP(RIGHT(TblFeedFile1[[#This Row],[Leave Type ]],6),LkupPayType[],2,FALSE),"TBD")</f>
        <v>TBD</v>
      </c>
      <c r="AG163" t="str">
        <f>IFERROR(VLOOKUP(TblFeedFile1[[#This Row],[ Report Number ]],LkupPayrollCycle[],2,FALSE),"TBD")</f>
        <v>Bi-Weekly</v>
      </c>
      <c r="AH163" t="str">
        <f>IF(TblFeedFile1[[#This Row],[Return to Work Date ]]="","","Y")</f>
        <v/>
      </c>
    </row>
    <row r="164" spans="1:34" x14ac:dyDescent="0.25">
      <c r="A164" t="s">
        <v>37</v>
      </c>
      <c r="B164">
        <v>314304</v>
      </c>
      <c r="C164">
        <v>20445767</v>
      </c>
      <c r="D164" s="1" t="s">
        <v>270</v>
      </c>
      <c r="E164" t="s">
        <v>271</v>
      </c>
      <c r="F164" t="s">
        <v>272</v>
      </c>
      <c r="G164">
        <v>20170104</v>
      </c>
      <c r="H164">
        <v>20170219</v>
      </c>
      <c r="I164" t="s">
        <v>273</v>
      </c>
      <c r="L164" t="s">
        <v>34</v>
      </c>
      <c r="M164" t="s">
        <v>34</v>
      </c>
      <c r="N164" t="s">
        <v>35</v>
      </c>
      <c r="O164" t="s">
        <v>35</v>
      </c>
      <c r="P164" t="s">
        <v>35</v>
      </c>
      <c r="Q164" t="s">
        <v>35</v>
      </c>
      <c r="R164" t="s">
        <v>35</v>
      </c>
      <c r="S164" t="s">
        <v>34</v>
      </c>
      <c r="AD164">
        <v>20170124</v>
      </c>
      <c r="AF164" t="str">
        <f>IFERROR(VLOOKUP(RIGHT(TblFeedFile1[[#This Row],[Leave Type ]],6),LkupPayType[],2,FALSE),"TBD")</f>
        <v>TBD</v>
      </c>
      <c r="AG164" t="str">
        <f>IFERROR(VLOOKUP(TblFeedFile1[[#This Row],[ Report Number ]],LkupPayrollCycle[],2,FALSE),"TBD")</f>
        <v>Bi-Weekly</v>
      </c>
      <c r="AH164" t="str">
        <f>IF(TblFeedFile1[[#This Row],[Return to Work Date ]]="","","Y")</f>
        <v/>
      </c>
    </row>
    <row r="165" spans="1:34" x14ac:dyDescent="0.25">
      <c r="A165" t="s">
        <v>29</v>
      </c>
      <c r="B165">
        <v>314304</v>
      </c>
      <c r="C165">
        <v>20446754</v>
      </c>
      <c r="D165" s="1" t="s">
        <v>274</v>
      </c>
      <c r="E165" t="s">
        <v>275</v>
      </c>
      <c r="F165" t="s">
        <v>276</v>
      </c>
      <c r="G165">
        <v>20160607</v>
      </c>
      <c r="H165">
        <v>20180605</v>
      </c>
      <c r="I165" t="s">
        <v>36</v>
      </c>
      <c r="L165" t="s">
        <v>34</v>
      </c>
      <c r="M165" t="s">
        <v>34</v>
      </c>
      <c r="N165" t="s">
        <v>35</v>
      </c>
      <c r="O165" t="s">
        <v>35</v>
      </c>
      <c r="P165" t="s">
        <v>35</v>
      </c>
      <c r="Q165" t="s">
        <v>35</v>
      </c>
      <c r="R165" t="s">
        <v>35</v>
      </c>
      <c r="S165" t="s">
        <v>34</v>
      </c>
      <c r="AC165" t="s">
        <v>35</v>
      </c>
      <c r="AD165">
        <v>20170124</v>
      </c>
      <c r="AF165" t="str">
        <f>IFERROR(VLOOKUP(RIGHT(TblFeedFile1[[#This Row],[Leave Type ]],6),LkupPayType[],2,FALSE),"TBD")</f>
        <v>TBD</v>
      </c>
      <c r="AG165" t="str">
        <f>IFERROR(VLOOKUP(TblFeedFile1[[#This Row],[ Report Number ]],LkupPayrollCycle[],2,FALSE),"TBD")</f>
        <v>Bi-Weekly</v>
      </c>
      <c r="AH165" t="str">
        <f>IF(TblFeedFile1[[#This Row],[Return to Work Date ]]="","","Y")</f>
        <v/>
      </c>
    </row>
    <row r="166" spans="1:34" x14ac:dyDescent="0.25">
      <c r="A166" t="s">
        <v>37</v>
      </c>
      <c r="B166">
        <v>314304</v>
      </c>
      <c r="C166">
        <v>20446754</v>
      </c>
      <c r="D166" s="1" t="s">
        <v>274</v>
      </c>
      <c r="E166" t="s">
        <v>275</v>
      </c>
      <c r="F166" t="s">
        <v>276</v>
      </c>
      <c r="G166">
        <v>20160607</v>
      </c>
      <c r="H166">
        <v>20170102</v>
      </c>
      <c r="I166" t="s">
        <v>36</v>
      </c>
      <c r="L166" t="s">
        <v>34</v>
      </c>
      <c r="M166" t="s">
        <v>34</v>
      </c>
      <c r="N166" t="s">
        <v>35</v>
      </c>
      <c r="O166" t="s">
        <v>35</v>
      </c>
      <c r="P166" t="s">
        <v>35</v>
      </c>
      <c r="Q166" t="s">
        <v>35</v>
      </c>
      <c r="R166" t="s">
        <v>35</v>
      </c>
      <c r="S166" t="s">
        <v>34</v>
      </c>
      <c r="T166">
        <v>20170103</v>
      </c>
      <c r="AC166" t="s">
        <v>35</v>
      </c>
      <c r="AD166">
        <v>20170124</v>
      </c>
      <c r="AF166" t="str">
        <f>IFERROR(VLOOKUP(RIGHT(TblFeedFile1[[#This Row],[Leave Type ]],6),LkupPayType[],2,FALSE),"TBD")</f>
        <v>TBD</v>
      </c>
      <c r="AG166" t="str">
        <f>IFERROR(VLOOKUP(TblFeedFile1[[#This Row],[ Report Number ]],LkupPayrollCycle[],2,FALSE),"TBD")</f>
        <v>Bi-Weekly</v>
      </c>
      <c r="AH166" t="str">
        <f>IF(TblFeedFile1[[#This Row],[Return to Work Date ]]="","","Y")</f>
        <v>Y</v>
      </c>
    </row>
    <row r="167" spans="1:34" x14ac:dyDescent="0.25">
      <c r="A167" t="s">
        <v>29</v>
      </c>
      <c r="B167">
        <v>314304</v>
      </c>
      <c r="C167">
        <v>20477583</v>
      </c>
      <c r="D167" s="1">
        <v>501701038630</v>
      </c>
      <c r="E167" t="s">
        <v>277</v>
      </c>
      <c r="F167" t="s">
        <v>278</v>
      </c>
      <c r="G167">
        <v>20170118</v>
      </c>
      <c r="H167">
        <v>20170228</v>
      </c>
      <c r="I167" t="s">
        <v>53</v>
      </c>
      <c r="L167" t="s">
        <v>34</v>
      </c>
      <c r="M167" t="s">
        <v>34</v>
      </c>
      <c r="N167" t="s">
        <v>35</v>
      </c>
      <c r="O167" t="s">
        <v>35</v>
      </c>
      <c r="P167" t="s">
        <v>35</v>
      </c>
      <c r="Q167" t="s">
        <v>35</v>
      </c>
      <c r="R167" t="s">
        <v>35</v>
      </c>
      <c r="S167" t="s">
        <v>34</v>
      </c>
      <c r="AD167">
        <v>20170124</v>
      </c>
      <c r="AF167" t="str">
        <f>IFERROR(VLOOKUP(RIGHT(TblFeedFile1[[#This Row],[Leave Type ]],6),LkupPayType[],2,FALSE),"TBD")</f>
        <v>TBD</v>
      </c>
      <c r="AG167" t="str">
        <f>IFERROR(VLOOKUP(TblFeedFile1[[#This Row],[ Report Number ]],LkupPayrollCycle[],2,FALSE),"TBD")</f>
        <v>Bi-Weekly</v>
      </c>
      <c r="AH167" t="str">
        <f>IF(TblFeedFile1[[#This Row],[Return to Work Date ]]="","","Y")</f>
        <v/>
      </c>
    </row>
    <row r="168" spans="1:34" x14ac:dyDescent="0.25">
      <c r="A168" t="s">
        <v>37</v>
      </c>
      <c r="B168">
        <v>314304</v>
      </c>
      <c r="C168">
        <v>20477583</v>
      </c>
      <c r="D168" s="1">
        <v>501701038630</v>
      </c>
      <c r="E168" t="s">
        <v>277</v>
      </c>
      <c r="F168" t="s">
        <v>278</v>
      </c>
      <c r="G168">
        <v>20170118</v>
      </c>
      <c r="H168">
        <v>20170317</v>
      </c>
      <c r="I168" t="s">
        <v>53</v>
      </c>
      <c r="L168" t="s">
        <v>34</v>
      </c>
      <c r="M168" t="s">
        <v>34</v>
      </c>
      <c r="N168" t="s">
        <v>35</v>
      </c>
      <c r="O168" t="s">
        <v>35</v>
      </c>
      <c r="P168" t="s">
        <v>35</v>
      </c>
      <c r="Q168" t="s">
        <v>35</v>
      </c>
      <c r="R168" t="s">
        <v>35</v>
      </c>
      <c r="S168" t="s">
        <v>34</v>
      </c>
      <c r="AD168">
        <v>20170124</v>
      </c>
      <c r="AF168" t="str">
        <f>IFERROR(VLOOKUP(RIGHT(TblFeedFile1[[#This Row],[Leave Type ]],6),LkupPayType[],2,FALSE),"TBD")</f>
        <v>TBD</v>
      </c>
      <c r="AG168" t="str">
        <f>IFERROR(VLOOKUP(TblFeedFile1[[#This Row],[ Report Number ]],LkupPayrollCycle[],2,FALSE),"TBD")</f>
        <v>Bi-Weekly</v>
      </c>
      <c r="AH168" t="str">
        <f>IF(TblFeedFile1[[#This Row],[Return to Work Date ]]="","","Y")</f>
        <v/>
      </c>
    </row>
    <row r="169" spans="1:34" x14ac:dyDescent="0.25">
      <c r="A169" t="s">
        <v>29</v>
      </c>
      <c r="B169">
        <v>314304</v>
      </c>
      <c r="C169">
        <v>20484532</v>
      </c>
      <c r="D169" s="1">
        <v>571701108987</v>
      </c>
      <c r="E169" t="s">
        <v>279</v>
      </c>
      <c r="F169" t="s">
        <v>280</v>
      </c>
      <c r="G169">
        <v>20170110</v>
      </c>
      <c r="H169">
        <v>20170217</v>
      </c>
      <c r="I169" t="s">
        <v>40</v>
      </c>
      <c r="L169" t="s">
        <v>35</v>
      </c>
      <c r="AD169">
        <v>20170124</v>
      </c>
      <c r="AF169" t="str">
        <f>IFERROR(VLOOKUP(RIGHT(TblFeedFile1[[#This Row],[Leave Type ]],6),LkupPayType[],2,FALSE),"TBD")</f>
        <v>TBD</v>
      </c>
      <c r="AG169" t="str">
        <f>IFERROR(VLOOKUP(TblFeedFile1[[#This Row],[ Report Number ]],LkupPayrollCycle[],2,FALSE),"TBD")</f>
        <v>Bi-Weekly</v>
      </c>
      <c r="AH169" t="str">
        <f>IF(TblFeedFile1[[#This Row],[Return to Work Date ]]="","","Y")</f>
        <v/>
      </c>
    </row>
    <row r="170" spans="1:34" x14ac:dyDescent="0.25">
      <c r="A170" t="s">
        <v>37</v>
      </c>
      <c r="B170">
        <v>314304</v>
      </c>
      <c r="C170">
        <v>20484532</v>
      </c>
      <c r="D170" s="1">
        <v>571701108987</v>
      </c>
      <c r="E170" t="s">
        <v>279</v>
      </c>
      <c r="F170" t="s">
        <v>280</v>
      </c>
      <c r="G170">
        <v>20170110</v>
      </c>
      <c r="H170">
        <v>20170220</v>
      </c>
      <c r="I170" t="s">
        <v>40</v>
      </c>
      <c r="L170" t="s">
        <v>35</v>
      </c>
      <c r="AD170">
        <v>20170124</v>
      </c>
      <c r="AF170" t="str">
        <f>IFERROR(VLOOKUP(RIGHT(TblFeedFile1[[#This Row],[Leave Type ]],6),LkupPayType[],2,FALSE),"TBD")</f>
        <v>TBD</v>
      </c>
      <c r="AG170" t="str">
        <f>IFERROR(VLOOKUP(TblFeedFile1[[#This Row],[ Report Number ]],LkupPayrollCycle[],2,FALSE),"TBD")</f>
        <v>Bi-Weekly</v>
      </c>
      <c r="AH170" t="str">
        <f>IF(TblFeedFile1[[#This Row],[Return to Work Date ]]="","","Y")</f>
        <v/>
      </c>
    </row>
    <row r="171" spans="1:34" x14ac:dyDescent="0.25">
      <c r="A171" t="s">
        <v>37</v>
      </c>
      <c r="B171">
        <v>314304</v>
      </c>
      <c r="C171">
        <v>20485126</v>
      </c>
      <c r="D171" s="1" t="s">
        <v>281</v>
      </c>
      <c r="E171" t="s">
        <v>282</v>
      </c>
      <c r="F171" t="s">
        <v>283</v>
      </c>
      <c r="G171">
        <v>20170123</v>
      </c>
      <c r="H171">
        <v>20170217</v>
      </c>
      <c r="I171" t="s">
        <v>49</v>
      </c>
      <c r="L171" t="s">
        <v>34</v>
      </c>
      <c r="M171" t="s">
        <v>34</v>
      </c>
      <c r="N171" t="s">
        <v>35</v>
      </c>
      <c r="O171" t="s">
        <v>35</v>
      </c>
      <c r="P171" t="s">
        <v>35</v>
      </c>
      <c r="Q171" t="s">
        <v>35</v>
      </c>
      <c r="R171" t="s">
        <v>35</v>
      </c>
      <c r="S171" t="s">
        <v>34</v>
      </c>
      <c r="AD171">
        <v>20170124</v>
      </c>
      <c r="AF171" t="str">
        <f>IFERROR(VLOOKUP(RIGHT(TblFeedFile1[[#This Row],[Leave Type ]],6),LkupPayType[],2,FALSE),"TBD")</f>
        <v>TBD</v>
      </c>
      <c r="AG171" t="str">
        <f>IFERROR(VLOOKUP(TblFeedFile1[[#This Row],[ Report Number ]],LkupPayrollCycle[],2,FALSE),"TBD")</f>
        <v>Bi-Weekly</v>
      </c>
      <c r="AH171" t="str">
        <f>IF(TblFeedFile1[[#This Row],[Return to Work Date ]]="","","Y")</f>
        <v/>
      </c>
    </row>
    <row r="172" spans="1:34" x14ac:dyDescent="0.25">
      <c r="A172" t="s">
        <v>37</v>
      </c>
      <c r="B172">
        <v>314304</v>
      </c>
      <c r="C172">
        <v>20495660</v>
      </c>
      <c r="D172" s="1" t="s">
        <v>284</v>
      </c>
      <c r="E172" t="s">
        <v>189</v>
      </c>
      <c r="F172" t="s">
        <v>285</v>
      </c>
      <c r="G172">
        <v>20170124</v>
      </c>
      <c r="H172">
        <v>20170206</v>
      </c>
      <c r="I172" t="s">
        <v>78</v>
      </c>
      <c r="K172" t="s">
        <v>79</v>
      </c>
      <c r="L172" t="s">
        <v>34</v>
      </c>
      <c r="M172" t="s">
        <v>34</v>
      </c>
      <c r="N172" t="s">
        <v>35</v>
      </c>
      <c r="O172" t="s">
        <v>35</v>
      </c>
      <c r="P172" t="s">
        <v>35</v>
      </c>
      <c r="Q172" t="s">
        <v>35</v>
      </c>
      <c r="R172" t="s">
        <v>35</v>
      </c>
      <c r="S172" t="s">
        <v>34</v>
      </c>
      <c r="AD172">
        <v>20170124</v>
      </c>
      <c r="AF172" t="str">
        <f>IFERROR(VLOOKUP(RIGHT(TblFeedFile1[[#This Row],[Leave Type ]],6),LkupPayType[],2,FALSE),"TBD")</f>
        <v>TBD</v>
      </c>
      <c r="AG172" t="str">
        <f>IFERROR(VLOOKUP(TblFeedFile1[[#This Row],[ Report Number ]],LkupPayrollCycle[],2,FALSE),"TBD")</f>
        <v>Bi-Weekly</v>
      </c>
      <c r="AH172" t="str">
        <f>IF(TblFeedFile1[[#This Row],[Return to Work Date ]]="","","Y")</f>
        <v/>
      </c>
    </row>
    <row r="173" spans="1:34" x14ac:dyDescent="0.25">
      <c r="A173" t="s">
        <v>37</v>
      </c>
      <c r="B173">
        <v>314304</v>
      </c>
      <c r="C173">
        <v>20495660</v>
      </c>
      <c r="D173" s="1">
        <v>551701238305</v>
      </c>
      <c r="E173" t="s">
        <v>189</v>
      </c>
      <c r="F173" t="s">
        <v>285</v>
      </c>
      <c r="G173">
        <v>20170124</v>
      </c>
      <c r="I173" t="s">
        <v>53</v>
      </c>
      <c r="L173" t="s">
        <v>34</v>
      </c>
      <c r="M173" t="s">
        <v>34</v>
      </c>
      <c r="N173" t="s">
        <v>35</v>
      </c>
      <c r="O173" t="s">
        <v>35</v>
      </c>
      <c r="P173" t="s">
        <v>35</v>
      </c>
      <c r="Q173" t="s">
        <v>35</v>
      </c>
      <c r="R173" t="s">
        <v>35</v>
      </c>
      <c r="S173" t="s">
        <v>34</v>
      </c>
      <c r="AD173">
        <v>20170124</v>
      </c>
      <c r="AF173" t="str">
        <f>IFERROR(VLOOKUP(RIGHT(TblFeedFile1[[#This Row],[Leave Type ]],6),LkupPayType[],2,FALSE),"TBD")</f>
        <v>TBD</v>
      </c>
      <c r="AG173" t="str">
        <f>IFERROR(VLOOKUP(TblFeedFile1[[#This Row],[ Report Number ]],LkupPayrollCycle[],2,FALSE),"TBD")</f>
        <v>Bi-Weekly</v>
      </c>
      <c r="AH173" t="str">
        <f>IF(TblFeedFile1[[#This Row],[Return to Work Date ]]="","","Y")</f>
        <v/>
      </c>
    </row>
    <row r="174" spans="1:34" x14ac:dyDescent="0.25">
      <c r="A174" t="s">
        <v>37</v>
      </c>
      <c r="B174">
        <v>314304</v>
      </c>
      <c r="C174">
        <v>20519110</v>
      </c>
      <c r="D174" s="1" t="s">
        <v>286</v>
      </c>
      <c r="E174" t="s">
        <v>221</v>
      </c>
      <c r="F174" t="s">
        <v>287</v>
      </c>
      <c r="G174">
        <v>20170124</v>
      </c>
      <c r="H174">
        <v>20170228</v>
      </c>
      <c r="I174" t="s">
        <v>78</v>
      </c>
      <c r="K174" t="s">
        <v>79</v>
      </c>
      <c r="L174" t="s">
        <v>34</v>
      </c>
      <c r="M174" t="s">
        <v>34</v>
      </c>
      <c r="N174" t="s">
        <v>35</v>
      </c>
      <c r="O174" t="s">
        <v>35</v>
      </c>
      <c r="P174" t="s">
        <v>35</v>
      </c>
      <c r="Q174" t="s">
        <v>35</v>
      </c>
      <c r="R174" t="s">
        <v>35</v>
      </c>
      <c r="S174" t="s">
        <v>34</v>
      </c>
      <c r="AD174">
        <v>20170124</v>
      </c>
      <c r="AF174" t="str">
        <f>IFERROR(VLOOKUP(RIGHT(TblFeedFile1[[#This Row],[Leave Type ]],6),LkupPayType[],2,FALSE),"TBD")</f>
        <v>TBD</v>
      </c>
      <c r="AG174" t="str">
        <f>IFERROR(VLOOKUP(TblFeedFile1[[#This Row],[ Report Number ]],LkupPayrollCycle[],2,FALSE),"TBD")</f>
        <v>Bi-Weekly</v>
      </c>
      <c r="AH174" t="str">
        <f>IF(TblFeedFile1[[#This Row],[Return to Work Date ]]="","","Y")</f>
        <v/>
      </c>
    </row>
    <row r="175" spans="1:34" x14ac:dyDescent="0.25">
      <c r="A175" t="s">
        <v>37</v>
      </c>
      <c r="B175">
        <v>314304</v>
      </c>
      <c r="C175">
        <v>20519110</v>
      </c>
      <c r="D175" s="1">
        <v>511701248391</v>
      </c>
      <c r="E175" t="s">
        <v>221</v>
      </c>
      <c r="F175" t="s">
        <v>287</v>
      </c>
      <c r="G175">
        <v>20170124</v>
      </c>
      <c r="I175" t="s">
        <v>53</v>
      </c>
      <c r="L175" t="s">
        <v>34</v>
      </c>
      <c r="M175" t="s">
        <v>34</v>
      </c>
      <c r="N175" t="s">
        <v>35</v>
      </c>
      <c r="O175" t="s">
        <v>35</v>
      </c>
      <c r="P175" t="s">
        <v>35</v>
      </c>
      <c r="Q175" t="s">
        <v>35</v>
      </c>
      <c r="R175" t="s">
        <v>35</v>
      </c>
      <c r="S175" t="s">
        <v>34</v>
      </c>
      <c r="AD175">
        <v>20170124</v>
      </c>
      <c r="AF175" t="str">
        <f>IFERROR(VLOOKUP(RIGHT(TblFeedFile1[[#This Row],[Leave Type ]],6),LkupPayType[],2,FALSE),"TBD")</f>
        <v>TBD</v>
      </c>
      <c r="AG175" t="str">
        <f>IFERROR(VLOOKUP(TblFeedFile1[[#This Row],[ Report Number ]],LkupPayrollCycle[],2,FALSE),"TBD")</f>
        <v>Bi-Weekly</v>
      </c>
      <c r="AH175" t="str">
        <f>IF(TblFeedFile1[[#This Row],[Return to Work Date ]]="","","Y")</f>
        <v/>
      </c>
    </row>
    <row r="176" spans="1:34" x14ac:dyDescent="0.25">
      <c r="A176" t="s">
        <v>29</v>
      </c>
      <c r="B176">
        <v>314304</v>
      </c>
      <c r="C176">
        <v>20520393</v>
      </c>
      <c r="D176" s="1" t="s">
        <v>288</v>
      </c>
      <c r="E176" t="s">
        <v>289</v>
      </c>
      <c r="F176" t="s">
        <v>290</v>
      </c>
      <c r="G176">
        <v>20170117</v>
      </c>
      <c r="H176">
        <v>20170117</v>
      </c>
      <c r="I176" t="s">
        <v>33</v>
      </c>
      <c r="L176" t="s">
        <v>34</v>
      </c>
      <c r="M176" t="s">
        <v>34</v>
      </c>
      <c r="N176" t="s">
        <v>35</v>
      </c>
      <c r="O176" t="s">
        <v>35</v>
      </c>
      <c r="P176" t="s">
        <v>35</v>
      </c>
      <c r="Q176" t="s">
        <v>35</v>
      </c>
      <c r="R176" t="s">
        <v>35</v>
      </c>
      <c r="S176" t="s">
        <v>34</v>
      </c>
      <c r="AD176">
        <v>20170124</v>
      </c>
      <c r="AF176" t="str">
        <f>IFERROR(VLOOKUP(RIGHT(TblFeedFile1[[#This Row],[Leave Type ]],6),LkupPayType[],2,FALSE),"TBD")</f>
        <v>TBD</v>
      </c>
      <c r="AG176" t="str">
        <f>IFERROR(VLOOKUP(TblFeedFile1[[#This Row],[ Report Number ]],LkupPayrollCycle[],2,FALSE),"TBD")</f>
        <v>Bi-Weekly</v>
      </c>
      <c r="AH176" t="str">
        <f>IF(TblFeedFile1[[#This Row],[Return to Work Date ]]="","","Y")</f>
        <v/>
      </c>
    </row>
    <row r="177" spans="1:34" x14ac:dyDescent="0.25">
      <c r="A177" t="s">
        <v>29</v>
      </c>
      <c r="B177">
        <v>314304</v>
      </c>
      <c r="C177">
        <v>20520393</v>
      </c>
      <c r="D177" s="1">
        <v>501612308460</v>
      </c>
      <c r="E177" t="s">
        <v>289</v>
      </c>
      <c r="F177" t="s">
        <v>290</v>
      </c>
      <c r="G177">
        <v>20170111</v>
      </c>
      <c r="H177">
        <v>20170116</v>
      </c>
      <c r="I177" t="s">
        <v>40</v>
      </c>
      <c r="L177" t="s">
        <v>34</v>
      </c>
      <c r="M177" t="s">
        <v>34</v>
      </c>
      <c r="N177" t="s">
        <v>35</v>
      </c>
      <c r="O177" t="s">
        <v>35</v>
      </c>
      <c r="P177" t="s">
        <v>35</v>
      </c>
      <c r="Q177" t="s">
        <v>35</v>
      </c>
      <c r="R177" t="s">
        <v>35</v>
      </c>
      <c r="S177" t="s">
        <v>34</v>
      </c>
      <c r="AD177">
        <v>20170124</v>
      </c>
      <c r="AF177" t="str">
        <f>IFERROR(VLOOKUP(RIGHT(TblFeedFile1[[#This Row],[Leave Type ]],6),LkupPayType[],2,FALSE),"TBD")</f>
        <v>TBD</v>
      </c>
      <c r="AG177" t="str">
        <f>IFERROR(VLOOKUP(TblFeedFile1[[#This Row],[ Report Number ]],LkupPayrollCycle[],2,FALSE),"TBD")</f>
        <v>Bi-Weekly</v>
      </c>
      <c r="AH177" t="str">
        <f>IF(TblFeedFile1[[#This Row],[Return to Work Date ]]="","","Y")</f>
        <v/>
      </c>
    </row>
    <row r="178" spans="1:34" x14ac:dyDescent="0.25">
      <c r="A178" t="s">
        <v>37</v>
      </c>
      <c r="B178">
        <v>314304</v>
      </c>
      <c r="C178">
        <v>20520393</v>
      </c>
      <c r="D178" s="1">
        <v>501612308460</v>
      </c>
      <c r="E178" t="s">
        <v>289</v>
      </c>
      <c r="F178" t="s">
        <v>290</v>
      </c>
      <c r="G178">
        <v>20170111</v>
      </c>
      <c r="H178">
        <v>20170131</v>
      </c>
      <c r="I178" t="s">
        <v>40</v>
      </c>
      <c r="L178" t="s">
        <v>34</v>
      </c>
      <c r="M178" t="s">
        <v>34</v>
      </c>
      <c r="N178" t="s">
        <v>35</v>
      </c>
      <c r="O178" t="s">
        <v>35</v>
      </c>
      <c r="P178" t="s">
        <v>35</v>
      </c>
      <c r="Q178" t="s">
        <v>35</v>
      </c>
      <c r="R178" t="s">
        <v>35</v>
      </c>
      <c r="S178" t="s">
        <v>34</v>
      </c>
      <c r="AD178">
        <v>20170124</v>
      </c>
      <c r="AF178" t="str">
        <f>IFERROR(VLOOKUP(RIGHT(TblFeedFile1[[#This Row],[Leave Type ]],6),LkupPayType[],2,FALSE),"TBD")</f>
        <v>TBD</v>
      </c>
      <c r="AG178" t="str">
        <f>IFERROR(VLOOKUP(TblFeedFile1[[#This Row],[ Report Number ]],LkupPayrollCycle[],2,FALSE),"TBD")</f>
        <v>Bi-Weekly</v>
      </c>
      <c r="AH178" t="str">
        <f>IF(TblFeedFile1[[#This Row],[Return to Work Date ]]="","","Y")</f>
        <v/>
      </c>
    </row>
    <row r="179" spans="1:34" x14ac:dyDescent="0.25">
      <c r="A179" t="s">
        <v>37</v>
      </c>
      <c r="B179">
        <v>314304</v>
      </c>
      <c r="C179">
        <v>20520393</v>
      </c>
      <c r="D179" s="1" t="s">
        <v>288</v>
      </c>
      <c r="E179" t="s">
        <v>289</v>
      </c>
      <c r="F179" t="s">
        <v>290</v>
      </c>
      <c r="G179">
        <v>20170117</v>
      </c>
      <c r="H179">
        <v>20170131</v>
      </c>
      <c r="I179" t="s">
        <v>36</v>
      </c>
      <c r="L179" t="s">
        <v>34</v>
      </c>
      <c r="M179" t="s">
        <v>34</v>
      </c>
      <c r="N179" t="s">
        <v>35</v>
      </c>
      <c r="O179" t="s">
        <v>35</v>
      </c>
      <c r="P179" t="s">
        <v>35</v>
      </c>
      <c r="Q179" t="s">
        <v>35</v>
      </c>
      <c r="R179" t="s">
        <v>35</v>
      </c>
      <c r="S179" t="s">
        <v>34</v>
      </c>
      <c r="AD179">
        <v>20170124</v>
      </c>
      <c r="AF179" t="str">
        <f>IFERROR(VLOOKUP(RIGHT(TblFeedFile1[[#This Row],[Leave Type ]],6),LkupPayType[],2,FALSE),"TBD")</f>
        <v>TBD</v>
      </c>
      <c r="AG179" t="str">
        <f>IFERROR(VLOOKUP(TblFeedFile1[[#This Row],[ Report Number ]],LkupPayrollCycle[],2,FALSE),"TBD")</f>
        <v>Bi-Weekly</v>
      </c>
      <c r="AH179" t="str">
        <f>IF(TblFeedFile1[[#This Row],[Return to Work Date ]]="","","Y")</f>
        <v/>
      </c>
    </row>
    <row r="180" spans="1:34" x14ac:dyDescent="0.25">
      <c r="A180" t="s">
        <v>29</v>
      </c>
      <c r="B180">
        <v>314304</v>
      </c>
      <c r="C180">
        <v>20524699</v>
      </c>
      <c r="D180" s="1">
        <v>521701208922</v>
      </c>
      <c r="E180" t="s">
        <v>291</v>
      </c>
      <c r="F180" t="s">
        <v>292</v>
      </c>
      <c r="G180">
        <v>20170113</v>
      </c>
      <c r="I180" t="s">
        <v>53</v>
      </c>
      <c r="L180" t="s">
        <v>34</v>
      </c>
      <c r="M180" t="s">
        <v>34</v>
      </c>
      <c r="N180" t="s">
        <v>35</v>
      </c>
      <c r="O180" t="s">
        <v>35</v>
      </c>
      <c r="P180" t="s">
        <v>35</v>
      </c>
      <c r="Q180" t="s">
        <v>35</v>
      </c>
      <c r="R180" t="s">
        <v>35</v>
      </c>
      <c r="S180" t="s">
        <v>34</v>
      </c>
      <c r="AD180">
        <v>20170124</v>
      </c>
      <c r="AF180" t="str">
        <f>IFERROR(VLOOKUP(RIGHT(TblFeedFile1[[#This Row],[Leave Type ]],6),LkupPayType[],2,FALSE),"TBD")</f>
        <v>TBD</v>
      </c>
      <c r="AG180" t="str">
        <f>IFERROR(VLOOKUP(TblFeedFile1[[#This Row],[ Report Number ]],LkupPayrollCycle[],2,FALSE),"TBD")</f>
        <v>Bi-Weekly</v>
      </c>
      <c r="AH180" t="str">
        <f>IF(TblFeedFile1[[#This Row],[Return to Work Date ]]="","","Y")</f>
        <v/>
      </c>
    </row>
    <row r="181" spans="1:34" x14ac:dyDescent="0.25">
      <c r="A181" t="s">
        <v>37</v>
      </c>
      <c r="B181">
        <v>314304</v>
      </c>
      <c r="C181">
        <v>20524699</v>
      </c>
      <c r="D181" s="1">
        <v>521701208922</v>
      </c>
      <c r="E181" t="s">
        <v>291</v>
      </c>
      <c r="F181" t="s">
        <v>292</v>
      </c>
      <c r="G181">
        <v>20170120</v>
      </c>
      <c r="H181">
        <v>20170228</v>
      </c>
      <c r="I181" t="s">
        <v>53</v>
      </c>
      <c r="L181" t="s">
        <v>34</v>
      </c>
      <c r="M181" t="s">
        <v>34</v>
      </c>
      <c r="N181" t="s">
        <v>35</v>
      </c>
      <c r="O181" t="s">
        <v>35</v>
      </c>
      <c r="P181" t="s">
        <v>35</v>
      </c>
      <c r="Q181" t="s">
        <v>35</v>
      </c>
      <c r="R181" t="s">
        <v>35</v>
      </c>
      <c r="S181" t="s">
        <v>34</v>
      </c>
      <c r="AD181">
        <v>20170124</v>
      </c>
      <c r="AF181" t="str">
        <f>IFERROR(VLOOKUP(RIGHT(TblFeedFile1[[#This Row],[Leave Type ]],6),LkupPayType[],2,FALSE),"TBD")</f>
        <v>TBD</v>
      </c>
      <c r="AG181" t="str">
        <f>IFERROR(VLOOKUP(TblFeedFile1[[#This Row],[ Report Number ]],LkupPayrollCycle[],2,FALSE),"TBD")</f>
        <v>Bi-Weekly</v>
      </c>
      <c r="AH181" t="str">
        <f>IF(TblFeedFile1[[#This Row],[Return to Work Date ]]="","","Y")</f>
        <v/>
      </c>
    </row>
    <row r="182" spans="1:34" x14ac:dyDescent="0.25">
      <c r="A182" t="s">
        <v>29</v>
      </c>
      <c r="B182">
        <v>314301</v>
      </c>
      <c r="C182">
        <v>20526735</v>
      </c>
      <c r="D182" s="1" t="s">
        <v>293</v>
      </c>
      <c r="E182" t="s">
        <v>294</v>
      </c>
      <c r="F182" t="s">
        <v>295</v>
      </c>
      <c r="G182">
        <v>20170126</v>
      </c>
      <c r="H182">
        <v>20170206</v>
      </c>
      <c r="I182" t="s">
        <v>78</v>
      </c>
      <c r="K182" t="s">
        <v>79</v>
      </c>
      <c r="L182" t="s">
        <v>34</v>
      </c>
      <c r="M182" t="s">
        <v>34</v>
      </c>
      <c r="N182" t="s">
        <v>35</v>
      </c>
      <c r="O182" t="s">
        <v>35</v>
      </c>
      <c r="P182" t="s">
        <v>35</v>
      </c>
      <c r="Q182" t="s">
        <v>35</v>
      </c>
      <c r="R182" t="s">
        <v>35</v>
      </c>
      <c r="S182" t="s">
        <v>34</v>
      </c>
      <c r="AD182">
        <v>20170124</v>
      </c>
      <c r="AF182" t="str">
        <f>IFERROR(VLOOKUP(RIGHT(TblFeedFile1[[#This Row],[Leave Type ]],6),LkupPayType[],2,FALSE),"TBD")</f>
        <v>TBD</v>
      </c>
      <c r="AG182" t="str">
        <f>IFERROR(VLOOKUP(TblFeedFile1[[#This Row],[ Report Number ]],LkupPayrollCycle[],2,FALSE),"TBD")</f>
        <v>Semi-Monthly</v>
      </c>
      <c r="AH182" t="str">
        <f>IF(TblFeedFile1[[#This Row],[Return to Work Date ]]="","","Y")</f>
        <v/>
      </c>
    </row>
    <row r="183" spans="1:34" x14ac:dyDescent="0.25">
      <c r="A183" t="s">
        <v>29</v>
      </c>
      <c r="B183">
        <v>314301</v>
      </c>
      <c r="C183">
        <v>20526735</v>
      </c>
      <c r="D183" s="1">
        <v>551701068485</v>
      </c>
      <c r="E183" t="s">
        <v>294</v>
      </c>
      <c r="F183" t="s">
        <v>295</v>
      </c>
      <c r="G183">
        <v>20170116</v>
      </c>
      <c r="H183">
        <v>20170206</v>
      </c>
      <c r="I183" t="s">
        <v>40</v>
      </c>
      <c r="L183" t="s">
        <v>34</v>
      </c>
      <c r="M183" t="s">
        <v>34</v>
      </c>
      <c r="N183" t="s">
        <v>35</v>
      </c>
      <c r="O183" t="s">
        <v>35</v>
      </c>
      <c r="P183" t="s">
        <v>35</v>
      </c>
      <c r="Q183" t="s">
        <v>35</v>
      </c>
      <c r="R183" t="s">
        <v>35</v>
      </c>
      <c r="S183" t="s">
        <v>34</v>
      </c>
      <c r="AD183">
        <v>20170124</v>
      </c>
      <c r="AF183" t="str">
        <f>IFERROR(VLOOKUP(RIGHT(TblFeedFile1[[#This Row],[Leave Type ]],6),LkupPayType[],2,FALSE),"TBD")</f>
        <v>TBD</v>
      </c>
      <c r="AG183" t="str">
        <f>IFERROR(VLOOKUP(TblFeedFile1[[#This Row],[ Report Number ]],LkupPayrollCycle[],2,FALSE),"TBD")</f>
        <v>Semi-Monthly</v>
      </c>
      <c r="AH183" t="str">
        <f>IF(TblFeedFile1[[#This Row],[Return to Work Date ]]="","","Y")</f>
        <v/>
      </c>
    </row>
    <row r="184" spans="1:34" x14ac:dyDescent="0.25">
      <c r="A184" t="s">
        <v>37</v>
      </c>
      <c r="B184">
        <v>314301</v>
      </c>
      <c r="C184">
        <v>20526735</v>
      </c>
      <c r="D184" s="1" t="s">
        <v>293</v>
      </c>
      <c r="E184" t="s">
        <v>294</v>
      </c>
      <c r="F184" t="s">
        <v>295</v>
      </c>
      <c r="G184">
        <v>20170116</v>
      </c>
      <c r="H184">
        <v>20170206</v>
      </c>
      <c r="I184" t="s">
        <v>36</v>
      </c>
      <c r="L184" t="s">
        <v>34</v>
      </c>
      <c r="M184" t="s">
        <v>34</v>
      </c>
      <c r="N184" t="s">
        <v>35</v>
      </c>
      <c r="O184" t="s">
        <v>35</v>
      </c>
      <c r="P184" t="s">
        <v>35</v>
      </c>
      <c r="Q184" t="s">
        <v>35</v>
      </c>
      <c r="R184" t="s">
        <v>35</v>
      </c>
      <c r="S184" t="s">
        <v>34</v>
      </c>
      <c r="AD184">
        <v>20170124</v>
      </c>
      <c r="AF184" t="str">
        <f>IFERROR(VLOOKUP(RIGHT(TblFeedFile1[[#This Row],[Leave Type ]],6),LkupPayType[],2,FALSE),"TBD")</f>
        <v>TBD</v>
      </c>
      <c r="AG184" t="str">
        <f>IFERROR(VLOOKUP(TblFeedFile1[[#This Row],[ Report Number ]],LkupPayrollCycle[],2,FALSE),"TBD")</f>
        <v>Semi-Monthly</v>
      </c>
      <c r="AH184" t="str">
        <f>IF(TblFeedFile1[[#This Row],[Return to Work Date ]]="","","Y")</f>
        <v/>
      </c>
    </row>
    <row r="185" spans="1:34" x14ac:dyDescent="0.25">
      <c r="A185" t="s">
        <v>37</v>
      </c>
      <c r="B185">
        <v>314304</v>
      </c>
      <c r="C185">
        <v>20527268</v>
      </c>
      <c r="D185" s="1" t="s">
        <v>296</v>
      </c>
      <c r="E185" t="s">
        <v>255</v>
      </c>
      <c r="F185" t="s">
        <v>297</v>
      </c>
      <c r="G185">
        <v>20170122</v>
      </c>
      <c r="H185">
        <v>20170122</v>
      </c>
      <c r="I185" t="s">
        <v>33</v>
      </c>
      <c r="L185" t="s">
        <v>34</v>
      </c>
      <c r="M185" t="s">
        <v>34</v>
      </c>
      <c r="N185" t="s">
        <v>35</v>
      </c>
      <c r="O185" t="s">
        <v>35</v>
      </c>
      <c r="P185" t="s">
        <v>35</v>
      </c>
      <c r="Q185" t="s">
        <v>35</v>
      </c>
      <c r="R185" t="s">
        <v>35</v>
      </c>
      <c r="S185" t="s">
        <v>34</v>
      </c>
      <c r="AC185" t="s">
        <v>35</v>
      </c>
      <c r="AD185">
        <v>20170124</v>
      </c>
      <c r="AF185" t="str">
        <f>IFERROR(VLOOKUP(RIGHT(TblFeedFile1[[#This Row],[Leave Type ]],6),LkupPayType[],2,FALSE),"TBD")</f>
        <v>TBD</v>
      </c>
      <c r="AG185" t="str">
        <f>IFERROR(VLOOKUP(TblFeedFile1[[#This Row],[ Report Number ]],LkupPayrollCycle[],2,FALSE),"TBD")</f>
        <v>Bi-Weekly</v>
      </c>
      <c r="AH185" t="str">
        <f>IF(TblFeedFile1[[#This Row],[Return to Work Date ]]="","","Y")</f>
        <v/>
      </c>
    </row>
    <row r="186" spans="1:34" x14ac:dyDescent="0.25">
      <c r="A186" t="s">
        <v>29</v>
      </c>
      <c r="B186">
        <v>314304</v>
      </c>
      <c r="C186">
        <v>20544952</v>
      </c>
      <c r="D186" s="1" t="s">
        <v>298</v>
      </c>
      <c r="E186" t="s">
        <v>299</v>
      </c>
      <c r="F186" t="s">
        <v>300</v>
      </c>
      <c r="G186">
        <v>20161205</v>
      </c>
      <c r="H186">
        <v>20170113</v>
      </c>
      <c r="I186" t="s">
        <v>223</v>
      </c>
      <c r="L186" t="s">
        <v>34</v>
      </c>
      <c r="M186" t="s">
        <v>34</v>
      </c>
      <c r="N186" t="s">
        <v>35</v>
      </c>
      <c r="O186" t="s">
        <v>35</v>
      </c>
      <c r="P186" t="s">
        <v>35</v>
      </c>
      <c r="Q186" t="s">
        <v>35</v>
      </c>
      <c r="R186" t="s">
        <v>35</v>
      </c>
      <c r="S186" t="s">
        <v>34</v>
      </c>
      <c r="T186">
        <v>20170117</v>
      </c>
      <c r="AC186" t="s">
        <v>35</v>
      </c>
      <c r="AD186">
        <v>20170124</v>
      </c>
      <c r="AF186" t="str">
        <f>IFERROR(VLOOKUP(RIGHT(TblFeedFile1[[#This Row],[Leave Type ]],6),LkupPayType[],2,FALSE),"TBD")</f>
        <v>TBD</v>
      </c>
      <c r="AG186" t="str">
        <f>IFERROR(VLOOKUP(TblFeedFile1[[#This Row],[ Report Number ]],LkupPayrollCycle[],2,FALSE),"TBD")</f>
        <v>Bi-Weekly</v>
      </c>
      <c r="AH186" t="str">
        <f>IF(TblFeedFile1[[#This Row],[Return to Work Date ]]="","","Y")</f>
        <v>Y</v>
      </c>
    </row>
    <row r="187" spans="1:34" x14ac:dyDescent="0.25">
      <c r="A187" t="s">
        <v>37</v>
      </c>
      <c r="B187">
        <v>314304</v>
      </c>
      <c r="C187">
        <v>20544952</v>
      </c>
      <c r="D187" s="1" t="s">
        <v>298</v>
      </c>
      <c r="E187" t="s">
        <v>299</v>
      </c>
      <c r="F187" t="s">
        <v>300</v>
      </c>
      <c r="G187">
        <v>20161205</v>
      </c>
      <c r="H187">
        <v>20170113</v>
      </c>
      <c r="I187" t="s">
        <v>223</v>
      </c>
      <c r="L187" t="s">
        <v>34</v>
      </c>
      <c r="M187" t="s">
        <v>34</v>
      </c>
      <c r="N187" t="s">
        <v>35</v>
      </c>
      <c r="O187" t="s">
        <v>35</v>
      </c>
      <c r="P187" t="s">
        <v>35</v>
      </c>
      <c r="Q187" t="s">
        <v>35</v>
      </c>
      <c r="R187" t="s">
        <v>35</v>
      </c>
      <c r="S187" t="s">
        <v>34</v>
      </c>
      <c r="AC187" t="s">
        <v>35</v>
      </c>
      <c r="AD187">
        <v>20170124</v>
      </c>
      <c r="AF187" t="str">
        <f>IFERROR(VLOOKUP(RIGHT(TblFeedFile1[[#This Row],[Leave Type ]],6),LkupPayType[],2,FALSE),"TBD")</f>
        <v>TBD</v>
      </c>
      <c r="AG187" t="str">
        <f>IFERROR(VLOOKUP(TblFeedFile1[[#This Row],[ Report Number ]],LkupPayrollCycle[],2,FALSE),"TBD")</f>
        <v>Bi-Weekly</v>
      </c>
      <c r="AH187" t="str">
        <f>IF(TblFeedFile1[[#This Row],[Return to Work Date ]]="","","Y")</f>
        <v/>
      </c>
    </row>
    <row r="188" spans="1:34" x14ac:dyDescent="0.25">
      <c r="A188" t="s">
        <v>37</v>
      </c>
      <c r="B188">
        <v>314304</v>
      </c>
      <c r="C188">
        <v>20544952</v>
      </c>
      <c r="D188" s="1" t="s">
        <v>298</v>
      </c>
      <c r="E188" t="s">
        <v>299</v>
      </c>
      <c r="F188" t="s">
        <v>300</v>
      </c>
      <c r="G188">
        <v>20161205</v>
      </c>
      <c r="H188">
        <v>20170113</v>
      </c>
      <c r="I188" t="s">
        <v>185</v>
      </c>
      <c r="L188" t="s">
        <v>34</v>
      </c>
      <c r="M188" t="s">
        <v>34</v>
      </c>
      <c r="N188" t="s">
        <v>35</v>
      </c>
      <c r="O188" t="s">
        <v>35</v>
      </c>
      <c r="P188" t="s">
        <v>35</v>
      </c>
      <c r="Q188" t="s">
        <v>35</v>
      </c>
      <c r="R188" t="s">
        <v>35</v>
      </c>
      <c r="S188" t="s">
        <v>34</v>
      </c>
      <c r="T188">
        <v>20170117</v>
      </c>
      <c r="AC188" t="s">
        <v>35</v>
      </c>
      <c r="AD188">
        <v>20170124</v>
      </c>
      <c r="AF188" t="str">
        <f>IFERROR(VLOOKUP(RIGHT(TblFeedFile1[[#This Row],[Leave Type ]],6),LkupPayType[],2,FALSE),"TBD")</f>
        <v>TBD</v>
      </c>
      <c r="AG188" t="str">
        <f>IFERROR(VLOOKUP(TblFeedFile1[[#This Row],[ Report Number ]],LkupPayrollCycle[],2,FALSE),"TBD")</f>
        <v>Bi-Weekly</v>
      </c>
      <c r="AH188" t="str">
        <f>IF(TblFeedFile1[[#This Row],[Return to Work Date ]]="","","Y")</f>
        <v>Y</v>
      </c>
    </row>
    <row r="189" spans="1:34" x14ac:dyDescent="0.25">
      <c r="A189" t="s">
        <v>29</v>
      </c>
      <c r="B189">
        <v>314304</v>
      </c>
      <c r="C189">
        <v>20549516</v>
      </c>
      <c r="D189" s="1" t="s">
        <v>301</v>
      </c>
      <c r="E189" t="s">
        <v>80</v>
      </c>
      <c r="F189" t="s">
        <v>302</v>
      </c>
      <c r="G189">
        <v>20161201</v>
      </c>
      <c r="H189">
        <v>20180228</v>
      </c>
      <c r="I189" t="s">
        <v>303</v>
      </c>
      <c r="L189" t="s">
        <v>34</v>
      </c>
      <c r="M189" t="s">
        <v>34</v>
      </c>
      <c r="N189" t="s">
        <v>35</v>
      </c>
      <c r="O189" t="s">
        <v>35</v>
      </c>
      <c r="P189" t="s">
        <v>35</v>
      </c>
      <c r="Q189" t="s">
        <v>35</v>
      </c>
      <c r="R189" t="s">
        <v>35</v>
      </c>
      <c r="S189" t="s">
        <v>34</v>
      </c>
      <c r="AC189" t="s">
        <v>35</v>
      </c>
      <c r="AD189">
        <v>20170124</v>
      </c>
      <c r="AF189" t="str">
        <f>IFERROR(VLOOKUP(RIGHT(TblFeedFile1[[#This Row],[Leave Type ]],6),LkupPayType[],2,FALSE),"TBD")</f>
        <v>TBD</v>
      </c>
      <c r="AG189" t="str">
        <f>IFERROR(VLOOKUP(TblFeedFile1[[#This Row],[ Report Number ]],LkupPayrollCycle[],2,FALSE),"TBD")</f>
        <v>Bi-Weekly</v>
      </c>
      <c r="AH189" t="str">
        <f>IF(TblFeedFile1[[#This Row],[Return to Work Date ]]="","","Y")</f>
        <v/>
      </c>
    </row>
    <row r="190" spans="1:34" x14ac:dyDescent="0.25">
      <c r="A190" t="s">
        <v>37</v>
      </c>
      <c r="B190">
        <v>314304</v>
      </c>
      <c r="C190">
        <v>20549516</v>
      </c>
      <c r="D190" s="1" t="s">
        <v>301</v>
      </c>
      <c r="E190" t="s">
        <v>80</v>
      </c>
      <c r="F190" t="s">
        <v>302</v>
      </c>
      <c r="G190">
        <v>20161201</v>
      </c>
      <c r="H190">
        <v>20171031</v>
      </c>
      <c r="I190" t="s">
        <v>303</v>
      </c>
      <c r="L190" t="s">
        <v>34</v>
      </c>
      <c r="M190" t="s">
        <v>34</v>
      </c>
      <c r="N190" t="s">
        <v>35</v>
      </c>
      <c r="O190" t="s">
        <v>35</v>
      </c>
      <c r="P190" t="s">
        <v>35</v>
      </c>
      <c r="Q190" t="s">
        <v>35</v>
      </c>
      <c r="R190" t="s">
        <v>35</v>
      </c>
      <c r="S190" t="s">
        <v>34</v>
      </c>
      <c r="AC190" t="s">
        <v>35</v>
      </c>
      <c r="AD190">
        <v>20170124</v>
      </c>
      <c r="AF190" t="str">
        <f>IFERROR(VLOOKUP(RIGHT(TblFeedFile1[[#This Row],[Leave Type ]],6),LkupPayType[],2,FALSE),"TBD")</f>
        <v>TBD</v>
      </c>
      <c r="AG190" t="str">
        <f>IFERROR(VLOOKUP(TblFeedFile1[[#This Row],[ Report Number ]],LkupPayrollCycle[],2,FALSE),"TBD")</f>
        <v>Bi-Weekly</v>
      </c>
      <c r="AH190" t="str">
        <f>IF(TblFeedFile1[[#This Row],[Return to Work Date ]]="","","Y")</f>
        <v/>
      </c>
    </row>
    <row r="191" spans="1:34" x14ac:dyDescent="0.25">
      <c r="A191" t="s">
        <v>37</v>
      </c>
      <c r="B191">
        <v>314301</v>
      </c>
      <c r="C191">
        <v>20564693</v>
      </c>
      <c r="D191" s="1">
        <v>541701208044</v>
      </c>
      <c r="E191" t="s">
        <v>304</v>
      </c>
      <c r="F191" t="s">
        <v>305</v>
      </c>
      <c r="G191">
        <v>20170123</v>
      </c>
      <c r="H191">
        <v>20170208</v>
      </c>
      <c r="I191" t="s">
        <v>53</v>
      </c>
      <c r="L191" t="s">
        <v>34</v>
      </c>
      <c r="M191" t="s">
        <v>34</v>
      </c>
      <c r="N191" t="s">
        <v>35</v>
      </c>
      <c r="O191" t="s">
        <v>35</v>
      </c>
      <c r="P191" t="s">
        <v>35</v>
      </c>
      <c r="Q191" t="s">
        <v>35</v>
      </c>
      <c r="R191" t="s">
        <v>35</v>
      </c>
      <c r="S191" t="s">
        <v>34</v>
      </c>
      <c r="AD191">
        <v>20170124</v>
      </c>
      <c r="AF191" t="str">
        <f>IFERROR(VLOOKUP(RIGHT(TblFeedFile1[[#This Row],[Leave Type ]],6),LkupPayType[],2,FALSE),"TBD")</f>
        <v>TBD</v>
      </c>
      <c r="AG191" t="str">
        <f>IFERROR(VLOOKUP(TblFeedFile1[[#This Row],[ Report Number ]],LkupPayrollCycle[],2,FALSE),"TBD")</f>
        <v>Semi-Monthly</v>
      </c>
      <c r="AH191" t="str">
        <f>IF(TblFeedFile1[[#This Row],[Return to Work Date ]]="","","Y")</f>
        <v/>
      </c>
    </row>
    <row r="192" spans="1:34" x14ac:dyDescent="0.25">
      <c r="A192" t="s">
        <v>37</v>
      </c>
      <c r="B192">
        <v>314301</v>
      </c>
      <c r="C192">
        <v>20564693</v>
      </c>
      <c r="D192" s="1">
        <v>541701208044</v>
      </c>
      <c r="E192" t="s">
        <v>304</v>
      </c>
      <c r="F192" t="s">
        <v>305</v>
      </c>
      <c r="G192">
        <v>20170130</v>
      </c>
      <c r="H192">
        <v>20170208</v>
      </c>
      <c r="I192" t="s">
        <v>40</v>
      </c>
      <c r="L192" t="s">
        <v>34</v>
      </c>
      <c r="M192" t="s">
        <v>34</v>
      </c>
      <c r="N192" t="s">
        <v>35</v>
      </c>
      <c r="O192" t="s">
        <v>35</v>
      </c>
      <c r="P192" t="s">
        <v>35</v>
      </c>
      <c r="Q192" t="s">
        <v>35</v>
      </c>
      <c r="R192" t="s">
        <v>35</v>
      </c>
      <c r="S192" t="s">
        <v>34</v>
      </c>
      <c r="Y192">
        <v>633</v>
      </c>
      <c r="Z192" t="s">
        <v>306</v>
      </c>
      <c r="AA192">
        <v>20170130</v>
      </c>
      <c r="AB192">
        <v>20170721</v>
      </c>
      <c r="AD192">
        <v>20170124</v>
      </c>
      <c r="AF192" t="str">
        <f>IFERROR(VLOOKUP(RIGHT(TblFeedFile1[[#This Row],[Leave Type ]],6),LkupPayType[],2,FALSE),"TBD")</f>
        <v>TBD</v>
      </c>
      <c r="AG192" t="str">
        <f>IFERROR(VLOOKUP(TblFeedFile1[[#This Row],[ Report Number ]],LkupPayrollCycle[],2,FALSE),"TBD")</f>
        <v>Semi-Monthly</v>
      </c>
      <c r="AH192" t="str">
        <f>IF(TblFeedFile1[[#This Row],[Return to Work Date ]]="","","Y")</f>
        <v/>
      </c>
    </row>
    <row r="193" spans="1:34" x14ac:dyDescent="0.25">
      <c r="A193" t="s">
        <v>37</v>
      </c>
      <c r="B193">
        <v>314304</v>
      </c>
      <c r="C193">
        <v>20591745</v>
      </c>
      <c r="D193" s="1">
        <v>551701208955</v>
      </c>
      <c r="E193" t="s">
        <v>307</v>
      </c>
      <c r="F193" t="s">
        <v>308</v>
      </c>
      <c r="G193">
        <v>20170123</v>
      </c>
      <c r="H193">
        <v>20170331</v>
      </c>
      <c r="I193" t="s">
        <v>53</v>
      </c>
      <c r="L193" t="s">
        <v>34</v>
      </c>
      <c r="M193" t="s">
        <v>34</v>
      </c>
      <c r="N193" t="s">
        <v>35</v>
      </c>
      <c r="O193" t="s">
        <v>35</v>
      </c>
      <c r="P193" t="s">
        <v>35</v>
      </c>
      <c r="Q193" t="s">
        <v>35</v>
      </c>
      <c r="R193" t="s">
        <v>35</v>
      </c>
      <c r="S193" t="s">
        <v>34</v>
      </c>
      <c r="AD193">
        <v>20170124</v>
      </c>
      <c r="AF193" t="str">
        <f>IFERROR(VLOOKUP(RIGHT(TblFeedFile1[[#This Row],[Leave Type ]],6),LkupPayType[],2,FALSE),"TBD")</f>
        <v>TBD</v>
      </c>
      <c r="AG193" t="str">
        <f>IFERROR(VLOOKUP(TblFeedFile1[[#This Row],[ Report Number ]],LkupPayrollCycle[],2,FALSE),"TBD")</f>
        <v>Bi-Weekly</v>
      </c>
      <c r="AH193" t="str">
        <f>IF(TblFeedFile1[[#This Row],[Return to Work Date ]]="","","Y")</f>
        <v/>
      </c>
    </row>
    <row r="194" spans="1:34" x14ac:dyDescent="0.25">
      <c r="A194" t="s">
        <v>29</v>
      </c>
      <c r="B194">
        <v>314304</v>
      </c>
      <c r="C194">
        <v>20604257</v>
      </c>
      <c r="D194" s="1" t="s">
        <v>309</v>
      </c>
      <c r="E194" t="s">
        <v>310</v>
      </c>
      <c r="F194" t="s">
        <v>311</v>
      </c>
      <c r="G194">
        <v>20170103</v>
      </c>
      <c r="H194">
        <v>20170205</v>
      </c>
      <c r="I194" t="s">
        <v>78</v>
      </c>
      <c r="K194" t="s">
        <v>79</v>
      </c>
      <c r="L194" t="s">
        <v>34</v>
      </c>
      <c r="M194" t="s">
        <v>34</v>
      </c>
      <c r="N194" t="s">
        <v>35</v>
      </c>
      <c r="O194" t="s">
        <v>35</v>
      </c>
      <c r="P194" t="s">
        <v>35</v>
      </c>
      <c r="Q194" t="s">
        <v>35</v>
      </c>
      <c r="R194" t="s">
        <v>35</v>
      </c>
      <c r="S194" t="s">
        <v>34</v>
      </c>
      <c r="AD194">
        <v>20170124</v>
      </c>
      <c r="AF194" t="str">
        <f>IFERROR(VLOOKUP(RIGHT(TblFeedFile1[[#This Row],[Leave Type ]],6),LkupPayType[],2,FALSE),"TBD")</f>
        <v>TBD</v>
      </c>
      <c r="AG194" t="str">
        <f>IFERROR(VLOOKUP(TblFeedFile1[[#This Row],[ Report Number ]],LkupPayrollCycle[],2,FALSE),"TBD")</f>
        <v>Bi-Weekly</v>
      </c>
      <c r="AH194" t="str">
        <f>IF(TblFeedFile1[[#This Row],[Return to Work Date ]]="","","Y")</f>
        <v/>
      </c>
    </row>
    <row r="195" spans="1:34" x14ac:dyDescent="0.25">
      <c r="A195" t="s">
        <v>37</v>
      </c>
      <c r="B195">
        <v>314304</v>
      </c>
      <c r="C195">
        <v>20604257</v>
      </c>
      <c r="D195" s="1" t="s">
        <v>309</v>
      </c>
      <c r="E195" t="s">
        <v>310</v>
      </c>
      <c r="F195" t="s">
        <v>311</v>
      </c>
      <c r="G195">
        <v>20170110</v>
      </c>
      <c r="H195">
        <v>20170205</v>
      </c>
      <c r="I195" t="s">
        <v>36</v>
      </c>
      <c r="L195" t="s">
        <v>34</v>
      </c>
      <c r="M195" t="s">
        <v>34</v>
      </c>
      <c r="N195" t="s">
        <v>35</v>
      </c>
      <c r="O195" t="s">
        <v>35</v>
      </c>
      <c r="P195" t="s">
        <v>35</v>
      </c>
      <c r="Q195" t="s">
        <v>35</v>
      </c>
      <c r="R195" t="s">
        <v>35</v>
      </c>
      <c r="S195" t="s">
        <v>34</v>
      </c>
      <c r="AD195">
        <v>20170124</v>
      </c>
      <c r="AF195" t="str">
        <f>IFERROR(VLOOKUP(RIGHT(TblFeedFile1[[#This Row],[Leave Type ]],6),LkupPayType[],2,FALSE),"TBD")</f>
        <v>TBD</v>
      </c>
      <c r="AG195" t="str">
        <f>IFERROR(VLOOKUP(TblFeedFile1[[#This Row],[ Report Number ]],LkupPayrollCycle[],2,FALSE),"TBD")</f>
        <v>Bi-Weekly</v>
      </c>
      <c r="AH195" t="str">
        <f>IF(TblFeedFile1[[#This Row],[Return to Work Date ]]="","","Y")</f>
        <v/>
      </c>
    </row>
    <row r="196" spans="1:34" x14ac:dyDescent="0.25">
      <c r="A196" t="s">
        <v>29</v>
      </c>
      <c r="B196">
        <v>314304</v>
      </c>
      <c r="C196">
        <v>20629051</v>
      </c>
      <c r="D196" s="1" t="s">
        <v>312</v>
      </c>
      <c r="E196" t="s">
        <v>313</v>
      </c>
      <c r="F196" t="s">
        <v>305</v>
      </c>
      <c r="G196">
        <v>20170114</v>
      </c>
      <c r="H196">
        <v>20170114</v>
      </c>
      <c r="I196" t="s">
        <v>33</v>
      </c>
      <c r="L196" t="s">
        <v>34</v>
      </c>
      <c r="M196" t="s">
        <v>34</v>
      </c>
      <c r="N196" t="s">
        <v>35</v>
      </c>
      <c r="O196" t="s">
        <v>35</v>
      </c>
      <c r="P196" t="s">
        <v>35</v>
      </c>
      <c r="Q196" t="s">
        <v>35</v>
      </c>
      <c r="R196" t="s">
        <v>35</v>
      </c>
      <c r="S196" t="s">
        <v>34</v>
      </c>
      <c r="AC196" t="s">
        <v>35</v>
      </c>
      <c r="AD196">
        <v>20170124</v>
      </c>
      <c r="AF196" t="str">
        <f>IFERROR(VLOOKUP(RIGHT(TblFeedFile1[[#This Row],[Leave Type ]],6),LkupPayType[],2,FALSE),"TBD")</f>
        <v>TBD</v>
      </c>
      <c r="AG196" t="str">
        <f>IFERROR(VLOOKUP(TblFeedFile1[[#This Row],[ Report Number ]],LkupPayrollCycle[],2,FALSE),"TBD")</f>
        <v>Bi-Weekly</v>
      </c>
      <c r="AH196" t="str">
        <f>IF(TblFeedFile1[[#This Row],[Return to Work Date ]]="","","Y")</f>
        <v/>
      </c>
    </row>
    <row r="197" spans="1:34" x14ac:dyDescent="0.25">
      <c r="A197" t="s">
        <v>29</v>
      </c>
      <c r="B197">
        <v>314304</v>
      </c>
      <c r="C197">
        <v>20629051</v>
      </c>
      <c r="D197" s="1" t="s">
        <v>312</v>
      </c>
      <c r="E197" t="s">
        <v>313</v>
      </c>
      <c r="F197" t="s">
        <v>305</v>
      </c>
      <c r="G197">
        <v>20161107</v>
      </c>
      <c r="H197">
        <v>20170113</v>
      </c>
      <c r="I197" t="s">
        <v>223</v>
      </c>
      <c r="L197" t="s">
        <v>34</v>
      </c>
      <c r="M197" t="s">
        <v>34</v>
      </c>
      <c r="N197" t="s">
        <v>35</v>
      </c>
      <c r="O197" t="s">
        <v>35</v>
      </c>
      <c r="P197" t="s">
        <v>35</v>
      </c>
      <c r="Q197" t="s">
        <v>35</v>
      </c>
      <c r="R197" t="s">
        <v>35</v>
      </c>
      <c r="S197" t="s">
        <v>34</v>
      </c>
      <c r="AC197" t="s">
        <v>35</v>
      </c>
      <c r="AD197">
        <v>20170124</v>
      </c>
      <c r="AF197" t="str">
        <f>IFERROR(VLOOKUP(RIGHT(TblFeedFile1[[#This Row],[Leave Type ]],6),LkupPayType[],2,FALSE),"TBD")</f>
        <v>TBD</v>
      </c>
      <c r="AG197" t="str">
        <f>IFERROR(VLOOKUP(TblFeedFile1[[#This Row],[ Report Number ]],LkupPayrollCycle[],2,FALSE),"TBD")</f>
        <v>Bi-Weekly</v>
      </c>
      <c r="AH197" t="str">
        <f>IF(TblFeedFile1[[#This Row],[Return to Work Date ]]="","","Y")</f>
        <v/>
      </c>
    </row>
    <row r="198" spans="1:34" x14ac:dyDescent="0.25">
      <c r="A198" t="s">
        <v>37</v>
      </c>
      <c r="B198">
        <v>314304</v>
      </c>
      <c r="C198">
        <v>20629051</v>
      </c>
      <c r="D198" s="1" t="s">
        <v>312</v>
      </c>
      <c r="E198" t="s">
        <v>313</v>
      </c>
      <c r="F198" t="s">
        <v>305</v>
      </c>
      <c r="G198">
        <v>20161107</v>
      </c>
      <c r="H198">
        <v>20170115</v>
      </c>
      <c r="I198" t="s">
        <v>223</v>
      </c>
      <c r="L198" t="s">
        <v>34</v>
      </c>
      <c r="M198" t="s">
        <v>34</v>
      </c>
      <c r="N198" t="s">
        <v>35</v>
      </c>
      <c r="O198" t="s">
        <v>35</v>
      </c>
      <c r="P198" t="s">
        <v>35</v>
      </c>
      <c r="Q198" t="s">
        <v>35</v>
      </c>
      <c r="R198" t="s">
        <v>35</v>
      </c>
      <c r="S198" t="s">
        <v>34</v>
      </c>
      <c r="T198">
        <v>20170116</v>
      </c>
      <c r="AC198" t="s">
        <v>35</v>
      </c>
      <c r="AD198">
        <v>20170124</v>
      </c>
      <c r="AF198" t="str">
        <f>IFERROR(VLOOKUP(RIGHT(TblFeedFile1[[#This Row],[Leave Type ]],6),LkupPayType[],2,FALSE),"TBD")</f>
        <v>TBD</v>
      </c>
      <c r="AG198" t="str">
        <f>IFERROR(VLOOKUP(TblFeedFile1[[#This Row],[ Report Number ]],LkupPayrollCycle[],2,FALSE),"TBD")</f>
        <v>Bi-Weekly</v>
      </c>
      <c r="AH198" t="str">
        <f>IF(TblFeedFile1[[#This Row],[Return to Work Date ]]="","","Y")</f>
        <v>Y</v>
      </c>
    </row>
    <row r="199" spans="1:34" x14ac:dyDescent="0.25">
      <c r="A199" t="s">
        <v>37</v>
      </c>
      <c r="B199">
        <v>314304</v>
      </c>
      <c r="C199">
        <v>20662015</v>
      </c>
      <c r="D199" s="1" t="s">
        <v>314</v>
      </c>
      <c r="E199" t="s">
        <v>315</v>
      </c>
      <c r="F199" t="s">
        <v>316</v>
      </c>
      <c r="G199">
        <v>20170123</v>
      </c>
      <c r="H199">
        <v>20170605</v>
      </c>
      <c r="I199" t="s">
        <v>36</v>
      </c>
      <c r="L199" t="s">
        <v>34</v>
      </c>
      <c r="M199" t="s">
        <v>34</v>
      </c>
      <c r="N199" t="s">
        <v>35</v>
      </c>
      <c r="O199" t="s">
        <v>35</v>
      </c>
      <c r="P199" t="s">
        <v>35</v>
      </c>
      <c r="Q199" t="s">
        <v>35</v>
      </c>
      <c r="R199" t="s">
        <v>35</v>
      </c>
      <c r="S199" t="s">
        <v>34</v>
      </c>
      <c r="AD199">
        <v>20170124</v>
      </c>
      <c r="AF199" t="str">
        <f>IFERROR(VLOOKUP(RIGHT(TblFeedFile1[[#This Row],[Leave Type ]],6),LkupPayType[],2,FALSE),"TBD")</f>
        <v>TBD</v>
      </c>
      <c r="AG199" t="str">
        <f>IFERROR(VLOOKUP(TblFeedFile1[[#This Row],[ Report Number ]],LkupPayrollCycle[],2,FALSE),"TBD")</f>
        <v>Bi-Weekly</v>
      </c>
      <c r="AH199" t="str">
        <f>IF(TblFeedFile1[[#This Row],[Return to Work Date ]]="","","Y")</f>
        <v/>
      </c>
    </row>
    <row r="200" spans="1:34" x14ac:dyDescent="0.25">
      <c r="A200" t="s">
        <v>37</v>
      </c>
      <c r="B200">
        <v>314304</v>
      </c>
      <c r="C200">
        <v>20669479</v>
      </c>
      <c r="D200" s="1" t="s">
        <v>317</v>
      </c>
      <c r="E200" t="s">
        <v>318</v>
      </c>
      <c r="F200" t="s">
        <v>319</v>
      </c>
      <c r="G200">
        <v>20170124</v>
      </c>
      <c r="H200">
        <v>20170124</v>
      </c>
      <c r="I200" t="s">
        <v>33</v>
      </c>
      <c r="L200" t="s">
        <v>34</v>
      </c>
      <c r="M200" t="s">
        <v>34</v>
      </c>
      <c r="N200" t="s">
        <v>35</v>
      </c>
      <c r="O200" t="s">
        <v>35</v>
      </c>
      <c r="P200" t="s">
        <v>35</v>
      </c>
      <c r="Q200" t="s">
        <v>35</v>
      </c>
      <c r="R200" t="s">
        <v>35</v>
      </c>
      <c r="S200" t="s">
        <v>34</v>
      </c>
      <c r="AD200">
        <v>20170124</v>
      </c>
      <c r="AF200" t="str">
        <f>IFERROR(VLOOKUP(RIGHT(TblFeedFile1[[#This Row],[Leave Type ]],6),LkupPayType[],2,FALSE),"TBD")</f>
        <v>TBD</v>
      </c>
      <c r="AG200" t="str">
        <f>IFERROR(VLOOKUP(TblFeedFile1[[#This Row],[ Report Number ]],LkupPayrollCycle[],2,FALSE),"TBD")</f>
        <v>Bi-Weekly</v>
      </c>
      <c r="AH200" t="str">
        <f>IF(TblFeedFile1[[#This Row],[Return to Work Date ]]="","","Y")</f>
        <v/>
      </c>
    </row>
    <row r="201" spans="1:34" x14ac:dyDescent="0.25">
      <c r="A201" t="s">
        <v>29</v>
      </c>
      <c r="B201">
        <v>314305</v>
      </c>
      <c r="C201">
        <v>20677249</v>
      </c>
      <c r="D201" s="1">
        <v>531701198793</v>
      </c>
      <c r="E201" t="s">
        <v>320</v>
      </c>
      <c r="F201" t="s">
        <v>321</v>
      </c>
      <c r="G201">
        <v>20170120</v>
      </c>
      <c r="I201" t="s">
        <v>53</v>
      </c>
      <c r="L201" t="s">
        <v>34</v>
      </c>
      <c r="M201" t="s">
        <v>34</v>
      </c>
      <c r="N201" t="s">
        <v>35</v>
      </c>
      <c r="O201" t="s">
        <v>35</v>
      </c>
      <c r="P201" t="s">
        <v>35</v>
      </c>
      <c r="Q201" t="s">
        <v>35</v>
      </c>
      <c r="R201" t="s">
        <v>35</v>
      </c>
      <c r="S201" t="s">
        <v>34</v>
      </c>
      <c r="AD201">
        <v>20170124</v>
      </c>
      <c r="AF201" t="str">
        <f>IFERROR(VLOOKUP(RIGHT(TblFeedFile1[[#This Row],[Leave Type ]],6),LkupPayType[],2,FALSE),"TBD")</f>
        <v>TBD</v>
      </c>
      <c r="AG201" t="str">
        <f>IFERROR(VLOOKUP(TblFeedFile1[[#This Row],[ Report Number ]],LkupPayrollCycle[],2,FALSE),"TBD")</f>
        <v>Bi-Weekly</v>
      </c>
      <c r="AH201" t="str">
        <f>IF(TblFeedFile1[[#This Row],[Return to Work Date ]]="","","Y")</f>
        <v/>
      </c>
    </row>
    <row r="202" spans="1:34" x14ac:dyDescent="0.25">
      <c r="A202" t="s">
        <v>37</v>
      </c>
      <c r="B202">
        <v>314305</v>
      </c>
      <c r="C202">
        <v>20677249</v>
      </c>
      <c r="D202" s="1">
        <v>531701198793</v>
      </c>
      <c r="E202" t="s">
        <v>320</v>
      </c>
      <c r="F202" t="s">
        <v>321</v>
      </c>
      <c r="G202">
        <v>20170120</v>
      </c>
      <c r="H202">
        <v>20170630</v>
      </c>
      <c r="I202" t="s">
        <v>53</v>
      </c>
      <c r="L202" t="s">
        <v>34</v>
      </c>
      <c r="M202" t="s">
        <v>34</v>
      </c>
      <c r="N202" t="s">
        <v>35</v>
      </c>
      <c r="O202" t="s">
        <v>35</v>
      </c>
      <c r="P202" t="s">
        <v>35</v>
      </c>
      <c r="Q202" t="s">
        <v>35</v>
      </c>
      <c r="R202" t="s">
        <v>35</v>
      </c>
      <c r="S202" t="s">
        <v>34</v>
      </c>
      <c r="AD202">
        <v>20170124</v>
      </c>
      <c r="AF202" t="str">
        <f>IFERROR(VLOOKUP(RIGHT(TblFeedFile1[[#This Row],[Leave Type ]],6),LkupPayType[],2,FALSE),"TBD")</f>
        <v>TBD</v>
      </c>
      <c r="AG202" t="str">
        <f>IFERROR(VLOOKUP(TblFeedFile1[[#This Row],[ Report Number ]],LkupPayrollCycle[],2,FALSE),"TBD")</f>
        <v>Bi-Weekly</v>
      </c>
      <c r="AH202" t="str">
        <f>IF(TblFeedFile1[[#This Row],[Return to Work Date ]]="","","Y")</f>
        <v/>
      </c>
    </row>
    <row r="203" spans="1:34" x14ac:dyDescent="0.25">
      <c r="A203" t="s">
        <v>37</v>
      </c>
      <c r="B203">
        <v>314304</v>
      </c>
      <c r="C203">
        <v>20717967</v>
      </c>
      <c r="D203" s="1" t="s">
        <v>322</v>
      </c>
      <c r="E203" t="s">
        <v>323</v>
      </c>
      <c r="F203" t="s">
        <v>324</v>
      </c>
      <c r="G203">
        <v>20160426</v>
      </c>
      <c r="H203">
        <v>20160912</v>
      </c>
      <c r="I203" t="s">
        <v>36</v>
      </c>
      <c r="L203" t="s">
        <v>34</v>
      </c>
      <c r="M203" t="s">
        <v>34</v>
      </c>
      <c r="N203" t="s">
        <v>35</v>
      </c>
      <c r="O203" t="s">
        <v>35</v>
      </c>
      <c r="P203" t="s">
        <v>35</v>
      </c>
      <c r="Q203" t="s">
        <v>35</v>
      </c>
      <c r="R203" t="s">
        <v>35</v>
      </c>
      <c r="S203" t="s">
        <v>34</v>
      </c>
      <c r="AD203">
        <v>20170124</v>
      </c>
      <c r="AF203" t="str">
        <f>IFERROR(VLOOKUP(RIGHT(TblFeedFile1[[#This Row],[Leave Type ]],6),LkupPayType[],2,FALSE),"TBD")</f>
        <v>TBD</v>
      </c>
      <c r="AG203" t="str">
        <f>IFERROR(VLOOKUP(TblFeedFile1[[#This Row],[ Report Number ]],LkupPayrollCycle[],2,FALSE),"TBD")</f>
        <v>Bi-Weekly</v>
      </c>
      <c r="AH203" t="str">
        <f>IF(TblFeedFile1[[#This Row],[Return to Work Date ]]="","","Y")</f>
        <v/>
      </c>
    </row>
    <row r="204" spans="1:34" x14ac:dyDescent="0.25">
      <c r="A204" t="s">
        <v>29</v>
      </c>
      <c r="B204">
        <v>314301</v>
      </c>
      <c r="C204">
        <v>20752275</v>
      </c>
      <c r="D204" s="1" t="s">
        <v>325</v>
      </c>
      <c r="E204" t="s">
        <v>326</v>
      </c>
      <c r="F204" t="s">
        <v>327</v>
      </c>
      <c r="G204">
        <v>20161003</v>
      </c>
      <c r="H204">
        <v>20170120</v>
      </c>
      <c r="I204" t="s">
        <v>223</v>
      </c>
      <c r="L204" t="s">
        <v>34</v>
      </c>
      <c r="M204" t="s">
        <v>34</v>
      </c>
      <c r="N204" t="s">
        <v>35</v>
      </c>
      <c r="O204" t="s">
        <v>35</v>
      </c>
      <c r="P204" t="s">
        <v>35</v>
      </c>
      <c r="Q204" t="s">
        <v>35</v>
      </c>
      <c r="R204" t="s">
        <v>35</v>
      </c>
      <c r="S204" t="s">
        <v>34</v>
      </c>
      <c r="AC204" t="s">
        <v>35</v>
      </c>
      <c r="AD204">
        <v>20170124</v>
      </c>
      <c r="AF204" t="str">
        <f>IFERROR(VLOOKUP(RIGHT(TblFeedFile1[[#This Row],[Leave Type ]],6),LkupPayType[],2,FALSE),"TBD")</f>
        <v>TBD</v>
      </c>
      <c r="AG204" t="str">
        <f>IFERROR(VLOOKUP(TblFeedFile1[[#This Row],[ Report Number ]],LkupPayrollCycle[],2,FALSE),"TBD")</f>
        <v>Semi-Monthly</v>
      </c>
      <c r="AH204" t="str">
        <f>IF(TblFeedFile1[[#This Row],[Return to Work Date ]]="","","Y")</f>
        <v/>
      </c>
    </row>
    <row r="205" spans="1:34" x14ac:dyDescent="0.25">
      <c r="A205" t="s">
        <v>37</v>
      </c>
      <c r="B205">
        <v>314301</v>
      </c>
      <c r="C205">
        <v>20752275</v>
      </c>
      <c r="D205" s="1" t="s">
        <v>325</v>
      </c>
      <c r="E205" t="s">
        <v>326</v>
      </c>
      <c r="F205" t="s">
        <v>327</v>
      </c>
      <c r="G205">
        <v>20161003</v>
      </c>
      <c r="H205">
        <v>20170123</v>
      </c>
      <c r="I205" t="s">
        <v>223</v>
      </c>
      <c r="L205" t="s">
        <v>34</v>
      </c>
      <c r="M205" t="s">
        <v>34</v>
      </c>
      <c r="N205" t="s">
        <v>35</v>
      </c>
      <c r="O205" t="s">
        <v>35</v>
      </c>
      <c r="P205" t="s">
        <v>35</v>
      </c>
      <c r="Q205" t="s">
        <v>35</v>
      </c>
      <c r="R205" t="s">
        <v>35</v>
      </c>
      <c r="S205" t="s">
        <v>34</v>
      </c>
      <c r="T205">
        <v>20170124</v>
      </c>
      <c r="AC205" t="s">
        <v>35</v>
      </c>
      <c r="AD205">
        <v>20170124</v>
      </c>
      <c r="AF205" t="str">
        <f>IFERROR(VLOOKUP(RIGHT(TblFeedFile1[[#This Row],[Leave Type ]],6),LkupPayType[],2,FALSE),"TBD")</f>
        <v>TBD</v>
      </c>
      <c r="AG205" t="str">
        <f>IFERROR(VLOOKUP(TblFeedFile1[[#This Row],[ Report Number ]],LkupPayrollCycle[],2,FALSE),"TBD")</f>
        <v>Semi-Monthly</v>
      </c>
      <c r="AH205" t="str">
        <f>IF(TblFeedFile1[[#This Row],[Return to Work Date ]]="","","Y")</f>
        <v>Y</v>
      </c>
    </row>
    <row r="206" spans="1:34" x14ac:dyDescent="0.25">
      <c r="A206" t="s">
        <v>37</v>
      </c>
      <c r="B206">
        <v>314301</v>
      </c>
      <c r="C206">
        <v>20764389</v>
      </c>
      <c r="D206" s="1" t="s">
        <v>328</v>
      </c>
      <c r="E206" t="s">
        <v>329</v>
      </c>
      <c r="F206" t="s">
        <v>292</v>
      </c>
      <c r="G206">
        <v>20170124</v>
      </c>
      <c r="H206">
        <v>20170124</v>
      </c>
      <c r="I206" t="s">
        <v>33</v>
      </c>
      <c r="L206" t="s">
        <v>35</v>
      </c>
      <c r="AD206">
        <v>20170124</v>
      </c>
      <c r="AF206" t="str">
        <f>IFERROR(VLOOKUP(RIGHT(TblFeedFile1[[#This Row],[Leave Type ]],6),LkupPayType[],2,FALSE),"TBD")</f>
        <v>TBD</v>
      </c>
      <c r="AG206" t="str">
        <f>IFERROR(VLOOKUP(TblFeedFile1[[#This Row],[ Report Number ]],LkupPayrollCycle[],2,FALSE),"TBD")</f>
        <v>Semi-Monthly</v>
      </c>
      <c r="AH206" t="str">
        <f>IF(TblFeedFile1[[#This Row],[Return to Work Date ]]="","","Y")</f>
        <v/>
      </c>
    </row>
    <row r="207" spans="1:34" x14ac:dyDescent="0.25">
      <c r="A207" t="s">
        <v>29</v>
      </c>
      <c r="B207">
        <v>314304</v>
      </c>
      <c r="C207">
        <v>20780138</v>
      </c>
      <c r="D207" s="1" t="s">
        <v>330</v>
      </c>
      <c r="E207" t="s">
        <v>331</v>
      </c>
      <c r="F207" t="s">
        <v>332</v>
      </c>
      <c r="G207">
        <v>20170114</v>
      </c>
      <c r="H207">
        <v>20170114</v>
      </c>
      <c r="I207" t="s">
        <v>33</v>
      </c>
      <c r="L207" t="s">
        <v>34</v>
      </c>
      <c r="M207" t="s">
        <v>34</v>
      </c>
      <c r="N207" t="s">
        <v>35</v>
      </c>
      <c r="O207" t="s">
        <v>35</v>
      </c>
      <c r="P207" t="s">
        <v>35</v>
      </c>
      <c r="Q207" t="s">
        <v>35</v>
      </c>
      <c r="R207" t="s">
        <v>35</v>
      </c>
      <c r="S207" t="s">
        <v>34</v>
      </c>
      <c r="AC207" t="s">
        <v>35</v>
      </c>
      <c r="AD207">
        <v>20170124</v>
      </c>
      <c r="AF207" t="str">
        <f>IFERROR(VLOOKUP(RIGHT(TblFeedFile1[[#This Row],[Leave Type ]],6),LkupPayType[],2,FALSE),"TBD")</f>
        <v>TBD</v>
      </c>
      <c r="AG207" t="str">
        <f>IFERROR(VLOOKUP(TblFeedFile1[[#This Row],[ Report Number ]],LkupPayrollCycle[],2,FALSE),"TBD")</f>
        <v>Bi-Weekly</v>
      </c>
      <c r="AH207" t="str">
        <f>IF(TblFeedFile1[[#This Row],[Return to Work Date ]]="","","Y")</f>
        <v/>
      </c>
    </row>
    <row r="208" spans="1:34" x14ac:dyDescent="0.25">
      <c r="A208" t="s">
        <v>29</v>
      </c>
      <c r="B208">
        <v>314304</v>
      </c>
      <c r="C208">
        <v>20780138</v>
      </c>
      <c r="D208" s="1" t="s">
        <v>330</v>
      </c>
      <c r="E208" t="s">
        <v>331</v>
      </c>
      <c r="F208" t="s">
        <v>332</v>
      </c>
      <c r="G208">
        <v>20160926</v>
      </c>
      <c r="H208">
        <v>20170113</v>
      </c>
      <c r="I208" t="s">
        <v>223</v>
      </c>
      <c r="L208" t="s">
        <v>34</v>
      </c>
      <c r="M208" t="s">
        <v>34</v>
      </c>
      <c r="N208" t="s">
        <v>35</v>
      </c>
      <c r="O208" t="s">
        <v>35</v>
      </c>
      <c r="P208" t="s">
        <v>35</v>
      </c>
      <c r="Q208" t="s">
        <v>35</v>
      </c>
      <c r="R208" t="s">
        <v>35</v>
      </c>
      <c r="S208" t="s">
        <v>34</v>
      </c>
      <c r="AC208" t="s">
        <v>35</v>
      </c>
      <c r="AD208">
        <v>20170124</v>
      </c>
      <c r="AF208" t="str">
        <f>IFERROR(VLOOKUP(RIGHT(TblFeedFile1[[#This Row],[Leave Type ]],6),LkupPayType[],2,FALSE),"TBD")</f>
        <v>TBD</v>
      </c>
      <c r="AG208" t="str">
        <f>IFERROR(VLOOKUP(TblFeedFile1[[#This Row],[ Report Number ]],LkupPayrollCycle[],2,FALSE),"TBD")</f>
        <v>Bi-Weekly</v>
      </c>
      <c r="AH208" t="str">
        <f>IF(TblFeedFile1[[#This Row],[Return to Work Date ]]="","","Y")</f>
        <v/>
      </c>
    </row>
    <row r="209" spans="1:34" x14ac:dyDescent="0.25">
      <c r="A209" t="s">
        <v>37</v>
      </c>
      <c r="B209">
        <v>314304</v>
      </c>
      <c r="C209">
        <v>20780138</v>
      </c>
      <c r="D209" s="1" t="s">
        <v>330</v>
      </c>
      <c r="E209" t="s">
        <v>331</v>
      </c>
      <c r="F209" t="s">
        <v>332</v>
      </c>
      <c r="G209">
        <v>20160926</v>
      </c>
      <c r="H209">
        <v>20170116</v>
      </c>
      <c r="I209" t="s">
        <v>223</v>
      </c>
      <c r="L209" t="s">
        <v>34</v>
      </c>
      <c r="M209" t="s">
        <v>34</v>
      </c>
      <c r="N209" t="s">
        <v>35</v>
      </c>
      <c r="O209" t="s">
        <v>35</v>
      </c>
      <c r="P209" t="s">
        <v>35</v>
      </c>
      <c r="Q209" t="s">
        <v>35</v>
      </c>
      <c r="R209" t="s">
        <v>35</v>
      </c>
      <c r="S209" t="s">
        <v>34</v>
      </c>
      <c r="AC209" t="s">
        <v>35</v>
      </c>
      <c r="AD209">
        <v>20170124</v>
      </c>
      <c r="AF209" t="str">
        <f>IFERROR(VLOOKUP(RIGHT(TblFeedFile1[[#This Row],[Leave Type ]],6),LkupPayType[],2,FALSE),"TBD")</f>
        <v>TBD</v>
      </c>
      <c r="AG209" t="str">
        <f>IFERROR(VLOOKUP(TblFeedFile1[[#This Row],[ Report Number ]],LkupPayrollCycle[],2,FALSE),"TBD")</f>
        <v>Bi-Weekly</v>
      </c>
      <c r="AH209" t="str">
        <f>IF(TblFeedFile1[[#This Row],[Return to Work Date ]]="","","Y")</f>
        <v/>
      </c>
    </row>
    <row r="210" spans="1:34" x14ac:dyDescent="0.25">
      <c r="A210" t="s">
        <v>37</v>
      </c>
      <c r="B210">
        <v>314304</v>
      </c>
      <c r="C210">
        <v>20780138</v>
      </c>
      <c r="D210" s="1" t="s">
        <v>330</v>
      </c>
      <c r="E210" t="s">
        <v>331</v>
      </c>
      <c r="F210" t="s">
        <v>332</v>
      </c>
      <c r="G210">
        <v>20170117</v>
      </c>
      <c r="H210">
        <v>20170117</v>
      </c>
      <c r="I210" t="s">
        <v>33</v>
      </c>
      <c r="L210" t="s">
        <v>34</v>
      </c>
      <c r="M210" t="s">
        <v>34</v>
      </c>
      <c r="N210" t="s">
        <v>35</v>
      </c>
      <c r="O210" t="s">
        <v>35</v>
      </c>
      <c r="P210" t="s">
        <v>35</v>
      </c>
      <c r="Q210" t="s">
        <v>35</v>
      </c>
      <c r="R210" t="s">
        <v>35</v>
      </c>
      <c r="S210" t="s">
        <v>34</v>
      </c>
      <c r="AC210" t="s">
        <v>35</v>
      </c>
      <c r="AD210">
        <v>20170124</v>
      </c>
      <c r="AF210" t="str">
        <f>IFERROR(VLOOKUP(RIGHT(TblFeedFile1[[#This Row],[Leave Type ]],6),LkupPayType[],2,FALSE),"TBD")</f>
        <v>TBD</v>
      </c>
      <c r="AG210" t="str">
        <f>IFERROR(VLOOKUP(TblFeedFile1[[#This Row],[ Report Number ]],LkupPayrollCycle[],2,FALSE),"TBD")</f>
        <v>Bi-Weekly</v>
      </c>
      <c r="AH210" t="str">
        <f>IF(TblFeedFile1[[#This Row],[Return to Work Date ]]="","","Y")</f>
        <v/>
      </c>
    </row>
    <row r="211" spans="1:34" x14ac:dyDescent="0.25">
      <c r="A211" t="s">
        <v>29</v>
      </c>
      <c r="B211">
        <v>314304</v>
      </c>
      <c r="C211">
        <v>20784593</v>
      </c>
      <c r="D211" s="1" t="s">
        <v>333</v>
      </c>
      <c r="E211" t="s">
        <v>334</v>
      </c>
      <c r="F211" t="s">
        <v>335</v>
      </c>
      <c r="G211">
        <v>20161219</v>
      </c>
      <c r="H211">
        <v>20161219</v>
      </c>
      <c r="I211" t="s">
        <v>43</v>
      </c>
      <c r="L211" t="s">
        <v>34</v>
      </c>
      <c r="M211" t="s">
        <v>34</v>
      </c>
      <c r="N211" t="s">
        <v>35</v>
      </c>
      <c r="O211" t="s">
        <v>35</v>
      </c>
      <c r="P211" t="s">
        <v>35</v>
      </c>
      <c r="Q211" t="s">
        <v>35</v>
      </c>
      <c r="R211" t="s">
        <v>35</v>
      </c>
      <c r="S211" t="s">
        <v>34</v>
      </c>
      <c r="AD211">
        <v>20170124</v>
      </c>
      <c r="AF211" t="str">
        <f>IFERROR(VLOOKUP(RIGHT(TblFeedFile1[[#This Row],[Leave Type ]],6),LkupPayType[],2,FALSE),"TBD")</f>
        <v>TBD</v>
      </c>
      <c r="AG211" t="str">
        <f>IFERROR(VLOOKUP(TblFeedFile1[[#This Row],[ Report Number ]],LkupPayrollCycle[],2,FALSE),"TBD")</f>
        <v>Bi-Weekly</v>
      </c>
      <c r="AH211" t="str">
        <f>IF(TblFeedFile1[[#This Row],[Return to Work Date ]]="","","Y")</f>
        <v/>
      </c>
    </row>
    <row r="212" spans="1:34" x14ac:dyDescent="0.25">
      <c r="A212" t="s">
        <v>37</v>
      </c>
      <c r="B212">
        <v>314304</v>
      </c>
      <c r="C212">
        <v>20784593</v>
      </c>
      <c r="D212" s="1" t="s">
        <v>333</v>
      </c>
      <c r="E212" t="s">
        <v>334</v>
      </c>
      <c r="F212" t="s">
        <v>335</v>
      </c>
      <c r="G212">
        <v>20170109</v>
      </c>
      <c r="H212">
        <v>20170122</v>
      </c>
      <c r="I212" t="s">
        <v>36</v>
      </c>
      <c r="L212" t="s">
        <v>34</v>
      </c>
      <c r="M212" t="s">
        <v>34</v>
      </c>
      <c r="N212" t="s">
        <v>35</v>
      </c>
      <c r="O212" t="s">
        <v>35</v>
      </c>
      <c r="P212" t="s">
        <v>35</v>
      </c>
      <c r="Q212" t="s">
        <v>35</v>
      </c>
      <c r="R212" t="s">
        <v>35</v>
      </c>
      <c r="S212" t="s">
        <v>34</v>
      </c>
      <c r="T212">
        <v>20170123</v>
      </c>
      <c r="AD212">
        <v>20170124</v>
      </c>
      <c r="AF212" t="str">
        <f>IFERROR(VLOOKUP(RIGHT(TblFeedFile1[[#This Row],[Leave Type ]],6),LkupPayType[],2,FALSE),"TBD")</f>
        <v>TBD</v>
      </c>
      <c r="AG212" t="str">
        <f>IFERROR(VLOOKUP(TblFeedFile1[[#This Row],[ Report Number ]],LkupPayrollCycle[],2,FALSE),"TBD")</f>
        <v>Bi-Weekly</v>
      </c>
      <c r="AH212" t="str">
        <f>IF(TblFeedFile1[[#This Row],[Return to Work Date ]]="","","Y")</f>
        <v>Y</v>
      </c>
    </row>
    <row r="213" spans="1:34" x14ac:dyDescent="0.25">
      <c r="A213" t="s">
        <v>37</v>
      </c>
      <c r="B213">
        <v>314305</v>
      </c>
      <c r="C213">
        <v>20797747</v>
      </c>
      <c r="D213" s="1" t="s">
        <v>336</v>
      </c>
      <c r="E213" t="s">
        <v>337</v>
      </c>
      <c r="F213" t="s">
        <v>338</v>
      </c>
      <c r="G213">
        <v>20170123</v>
      </c>
      <c r="H213">
        <v>20170213</v>
      </c>
      <c r="I213" t="s">
        <v>49</v>
      </c>
      <c r="L213" t="s">
        <v>34</v>
      </c>
      <c r="M213" t="s">
        <v>34</v>
      </c>
      <c r="N213" t="s">
        <v>35</v>
      </c>
      <c r="O213" t="s">
        <v>35</v>
      </c>
      <c r="P213" t="s">
        <v>35</v>
      </c>
      <c r="Q213" t="s">
        <v>35</v>
      </c>
      <c r="R213" t="s">
        <v>35</v>
      </c>
      <c r="S213" t="s">
        <v>34</v>
      </c>
      <c r="AD213">
        <v>20170124</v>
      </c>
      <c r="AF213" t="str">
        <f>IFERROR(VLOOKUP(RIGHT(TblFeedFile1[[#This Row],[Leave Type ]],6),LkupPayType[],2,FALSE),"TBD")</f>
        <v>TBD</v>
      </c>
      <c r="AG213" t="str">
        <f>IFERROR(VLOOKUP(TblFeedFile1[[#This Row],[ Report Number ]],LkupPayrollCycle[],2,FALSE),"TBD")</f>
        <v>Bi-Weekly</v>
      </c>
      <c r="AH213" t="str">
        <f>IF(TblFeedFile1[[#This Row],[Return to Work Date ]]="","","Y")</f>
        <v/>
      </c>
    </row>
    <row r="214" spans="1:34" x14ac:dyDescent="0.25">
      <c r="A214" t="s">
        <v>37</v>
      </c>
      <c r="B214">
        <v>314304</v>
      </c>
      <c r="C214">
        <v>20801010</v>
      </c>
      <c r="D214" s="1">
        <v>551701128465</v>
      </c>
      <c r="E214" t="s">
        <v>339</v>
      </c>
      <c r="F214" t="s">
        <v>340</v>
      </c>
      <c r="G214">
        <v>20170124</v>
      </c>
      <c r="H214">
        <v>20170207</v>
      </c>
      <c r="I214" t="s">
        <v>40</v>
      </c>
      <c r="L214" t="s">
        <v>34</v>
      </c>
      <c r="M214" t="s">
        <v>34</v>
      </c>
      <c r="N214" t="s">
        <v>35</v>
      </c>
      <c r="O214" t="s">
        <v>35</v>
      </c>
      <c r="P214" t="s">
        <v>35</v>
      </c>
      <c r="Q214" t="s">
        <v>35</v>
      </c>
      <c r="R214" t="s">
        <v>35</v>
      </c>
      <c r="S214" t="s">
        <v>34</v>
      </c>
      <c r="Y214">
        <v>170</v>
      </c>
      <c r="Z214" t="s">
        <v>341</v>
      </c>
      <c r="AA214">
        <v>20170124</v>
      </c>
      <c r="AB214">
        <v>20170717</v>
      </c>
      <c r="AD214">
        <v>20170124</v>
      </c>
      <c r="AF214" t="str">
        <f>IFERROR(VLOOKUP(RIGHT(TblFeedFile1[[#This Row],[Leave Type ]],6),LkupPayType[],2,FALSE),"TBD")</f>
        <v>TBD</v>
      </c>
      <c r="AG214" t="str">
        <f>IFERROR(VLOOKUP(TblFeedFile1[[#This Row],[ Report Number ]],LkupPayrollCycle[],2,FALSE),"TBD")</f>
        <v>Bi-Weekly</v>
      </c>
      <c r="AH214" t="str">
        <f>IF(TblFeedFile1[[#This Row],[Return to Work Date ]]="","","Y")</f>
        <v/>
      </c>
    </row>
    <row r="215" spans="1:34" x14ac:dyDescent="0.25">
      <c r="A215" t="s">
        <v>29</v>
      </c>
      <c r="B215">
        <v>314304</v>
      </c>
      <c r="C215">
        <v>20812977</v>
      </c>
      <c r="D215" s="1" t="s">
        <v>342</v>
      </c>
      <c r="E215" t="s">
        <v>343</v>
      </c>
      <c r="F215" t="s">
        <v>344</v>
      </c>
      <c r="G215">
        <v>20161201</v>
      </c>
      <c r="H215">
        <v>20161215</v>
      </c>
      <c r="I215" t="s">
        <v>223</v>
      </c>
      <c r="L215" t="s">
        <v>34</v>
      </c>
      <c r="M215" t="s">
        <v>34</v>
      </c>
      <c r="N215" t="s">
        <v>35</v>
      </c>
      <c r="O215" t="s">
        <v>35</v>
      </c>
      <c r="P215" t="s">
        <v>35</v>
      </c>
      <c r="Q215" t="s">
        <v>35</v>
      </c>
      <c r="R215" t="s">
        <v>35</v>
      </c>
      <c r="S215" t="s">
        <v>34</v>
      </c>
      <c r="T215">
        <v>20161216</v>
      </c>
      <c r="AC215" t="s">
        <v>35</v>
      </c>
      <c r="AD215">
        <v>20170124</v>
      </c>
      <c r="AF215" t="str">
        <f>IFERROR(VLOOKUP(RIGHT(TblFeedFile1[[#This Row],[Leave Type ]],6),LkupPayType[],2,FALSE),"TBD")</f>
        <v>TBD</v>
      </c>
      <c r="AG215" t="str">
        <f>IFERROR(VLOOKUP(TblFeedFile1[[#This Row],[ Report Number ]],LkupPayrollCycle[],2,FALSE),"TBD")</f>
        <v>Bi-Weekly</v>
      </c>
      <c r="AH215" t="str">
        <f>IF(TblFeedFile1[[#This Row],[Return to Work Date ]]="","","Y")</f>
        <v>Y</v>
      </c>
    </row>
    <row r="216" spans="1:34" x14ac:dyDescent="0.25">
      <c r="A216" t="s">
        <v>37</v>
      </c>
      <c r="B216">
        <v>314304</v>
      </c>
      <c r="C216">
        <v>20812977</v>
      </c>
      <c r="D216" s="1" t="s">
        <v>342</v>
      </c>
      <c r="E216" t="s">
        <v>343</v>
      </c>
      <c r="F216" t="s">
        <v>344</v>
      </c>
      <c r="G216">
        <v>20161201</v>
      </c>
      <c r="H216">
        <v>20161201</v>
      </c>
      <c r="I216" t="s">
        <v>33</v>
      </c>
      <c r="L216" t="s">
        <v>34</v>
      </c>
      <c r="M216" t="s">
        <v>34</v>
      </c>
      <c r="N216" t="s">
        <v>35</v>
      </c>
      <c r="O216" t="s">
        <v>35</v>
      </c>
      <c r="P216" t="s">
        <v>35</v>
      </c>
      <c r="Q216" t="s">
        <v>35</v>
      </c>
      <c r="R216" t="s">
        <v>35</v>
      </c>
      <c r="S216" t="s">
        <v>34</v>
      </c>
      <c r="AC216" t="s">
        <v>35</v>
      </c>
      <c r="AD216">
        <v>20170124</v>
      </c>
      <c r="AF216" t="str">
        <f>IFERROR(VLOOKUP(RIGHT(TblFeedFile1[[#This Row],[Leave Type ]],6),LkupPayType[],2,FALSE),"TBD")</f>
        <v>TBD</v>
      </c>
      <c r="AG216" t="str">
        <f>IFERROR(VLOOKUP(TblFeedFile1[[#This Row],[ Report Number ]],LkupPayrollCycle[],2,FALSE),"TBD")</f>
        <v>Bi-Weekly</v>
      </c>
      <c r="AH216" t="str">
        <f>IF(TblFeedFile1[[#This Row],[Return to Work Date ]]="","","Y")</f>
        <v/>
      </c>
    </row>
    <row r="217" spans="1:34" x14ac:dyDescent="0.25">
      <c r="A217" t="s">
        <v>37</v>
      </c>
      <c r="B217">
        <v>314304</v>
      </c>
      <c r="C217">
        <v>20812977</v>
      </c>
      <c r="D217" s="1" t="s">
        <v>342</v>
      </c>
      <c r="E217" t="s">
        <v>343</v>
      </c>
      <c r="F217" t="s">
        <v>344</v>
      </c>
      <c r="G217">
        <v>20161203</v>
      </c>
      <c r="H217">
        <v>20161215</v>
      </c>
      <c r="I217" t="s">
        <v>223</v>
      </c>
      <c r="L217" t="s">
        <v>34</v>
      </c>
      <c r="M217" t="s">
        <v>34</v>
      </c>
      <c r="N217" t="s">
        <v>35</v>
      </c>
      <c r="O217" t="s">
        <v>35</v>
      </c>
      <c r="P217" t="s">
        <v>35</v>
      </c>
      <c r="Q217" t="s">
        <v>35</v>
      </c>
      <c r="R217" t="s">
        <v>35</v>
      </c>
      <c r="S217" t="s">
        <v>34</v>
      </c>
      <c r="T217">
        <v>20161216</v>
      </c>
      <c r="AC217" t="s">
        <v>35</v>
      </c>
      <c r="AD217">
        <v>20170124</v>
      </c>
      <c r="AF217" t="str">
        <f>IFERROR(VLOOKUP(RIGHT(TblFeedFile1[[#This Row],[Leave Type ]],6),LkupPayType[],2,FALSE),"TBD")</f>
        <v>TBD</v>
      </c>
      <c r="AG217" t="str">
        <f>IFERROR(VLOOKUP(TblFeedFile1[[#This Row],[ Report Number ]],LkupPayrollCycle[],2,FALSE),"TBD")</f>
        <v>Bi-Weekly</v>
      </c>
      <c r="AH217" t="str">
        <f>IF(TblFeedFile1[[#This Row],[Return to Work Date ]]="","","Y")</f>
        <v>Y</v>
      </c>
    </row>
    <row r="218" spans="1:34" x14ac:dyDescent="0.25">
      <c r="A218" t="s">
        <v>37</v>
      </c>
      <c r="B218">
        <v>314304</v>
      </c>
      <c r="C218">
        <v>20812977</v>
      </c>
      <c r="D218" s="1" t="s">
        <v>342</v>
      </c>
      <c r="E218" t="s">
        <v>343</v>
      </c>
      <c r="F218" t="s">
        <v>344</v>
      </c>
      <c r="G218">
        <v>20161203</v>
      </c>
      <c r="H218">
        <v>20161215</v>
      </c>
      <c r="I218" t="s">
        <v>185</v>
      </c>
      <c r="L218" t="s">
        <v>34</v>
      </c>
      <c r="M218" t="s">
        <v>34</v>
      </c>
      <c r="N218" t="s">
        <v>35</v>
      </c>
      <c r="O218" t="s">
        <v>35</v>
      </c>
      <c r="P218" t="s">
        <v>35</v>
      </c>
      <c r="Q218" t="s">
        <v>35</v>
      </c>
      <c r="R218" t="s">
        <v>35</v>
      </c>
      <c r="S218" t="s">
        <v>34</v>
      </c>
      <c r="AC218" t="s">
        <v>35</v>
      </c>
      <c r="AD218">
        <v>20170124</v>
      </c>
      <c r="AF218" t="str">
        <f>IFERROR(VLOOKUP(RIGHT(TblFeedFile1[[#This Row],[Leave Type ]],6),LkupPayType[],2,FALSE),"TBD")</f>
        <v>TBD</v>
      </c>
      <c r="AG218" t="str">
        <f>IFERROR(VLOOKUP(TblFeedFile1[[#This Row],[ Report Number ]],LkupPayrollCycle[],2,FALSE),"TBD")</f>
        <v>Bi-Weekly</v>
      </c>
      <c r="AH218" t="str">
        <f>IF(TblFeedFile1[[#This Row],[Return to Work Date ]]="","","Y")</f>
        <v/>
      </c>
    </row>
    <row r="219" spans="1:34" x14ac:dyDescent="0.25">
      <c r="A219" t="s">
        <v>37</v>
      </c>
      <c r="B219">
        <v>314304</v>
      </c>
      <c r="C219">
        <v>20821726</v>
      </c>
      <c r="D219" s="1" t="s">
        <v>345</v>
      </c>
      <c r="E219" t="s">
        <v>346</v>
      </c>
      <c r="F219" t="s">
        <v>347</v>
      </c>
      <c r="G219">
        <v>20161129</v>
      </c>
      <c r="H219">
        <v>20170212</v>
      </c>
      <c r="I219" t="s">
        <v>49</v>
      </c>
      <c r="L219" t="s">
        <v>34</v>
      </c>
      <c r="M219" t="s">
        <v>34</v>
      </c>
      <c r="N219" t="s">
        <v>35</v>
      </c>
      <c r="O219" t="s">
        <v>35</v>
      </c>
      <c r="P219" t="s">
        <v>35</v>
      </c>
      <c r="Q219" t="s">
        <v>35</v>
      </c>
      <c r="R219" t="s">
        <v>35</v>
      </c>
      <c r="S219" t="s">
        <v>34</v>
      </c>
      <c r="AD219">
        <v>20170124</v>
      </c>
      <c r="AF219" t="str">
        <f>IFERROR(VLOOKUP(RIGHT(TblFeedFile1[[#This Row],[Leave Type ]],6),LkupPayType[],2,FALSE),"TBD")</f>
        <v>TBD</v>
      </c>
      <c r="AG219" t="str">
        <f>IFERROR(VLOOKUP(TblFeedFile1[[#This Row],[ Report Number ]],LkupPayrollCycle[],2,FALSE),"TBD")</f>
        <v>Bi-Weekly</v>
      </c>
      <c r="AH219" t="str">
        <f>IF(TblFeedFile1[[#This Row],[Return to Work Date ]]="","","Y")</f>
        <v/>
      </c>
    </row>
    <row r="220" spans="1:34" x14ac:dyDescent="0.25">
      <c r="A220" t="s">
        <v>37</v>
      </c>
      <c r="B220">
        <v>314304</v>
      </c>
      <c r="C220">
        <v>20823739</v>
      </c>
      <c r="D220" s="1">
        <v>561701238276</v>
      </c>
      <c r="E220" t="s">
        <v>348</v>
      </c>
      <c r="F220" t="s">
        <v>349</v>
      </c>
      <c r="G220">
        <v>20170120</v>
      </c>
      <c r="H220">
        <v>20170228</v>
      </c>
      <c r="I220" t="s">
        <v>53</v>
      </c>
      <c r="L220" t="s">
        <v>34</v>
      </c>
      <c r="M220" t="s">
        <v>34</v>
      </c>
      <c r="N220" t="s">
        <v>35</v>
      </c>
      <c r="O220" t="s">
        <v>35</v>
      </c>
      <c r="P220" t="s">
        <v>35</v>
      </c>
      <c r="Q220" t="s">
        <v>35</v>
      </c>
      <c r="R220" t="s">
        <v>35</v>
      </c>
      <c r="S220" t="s">
        <v>34</v>
      </c>
      <c r="AD220">
        <v>20170124</v>
      </c>
      <c r="AF220" t="str">
        <f>IFERROR(VLOOKUP(RIGHT(TblFeedFile1[[#This Row],[Leave Type ]],6),LkupPayType[],2,FALSE),"TBD")</f>
        <v>TBD</v>
      </c>
      <c r="AG220" t="str">
        <f>IFERROR(VLOOKUP(TblFeedFile1[[#This Row],[ Report Number ]],LkupPayrollCycle[],2,FALSE),"TBD")</f>
        <v>Bi-Weekly</v>
      </c>
      <c r="AH220" t="str">
        <f>IF(TblFeedFile1[[#This Row],[Return to Work Date ]]="","","Y")</f>
        <v/>
      </c>
    </row>
    <row r="221" spans="1:34" x14ac:dyDescent="0.25">
      <c r="A221" t="s">
        <v>37</v>
      </c>
      <c r="B221">
        <v>314304</v>
      </c>
      <c r="C221">
        <v>20836893</v>
      </c>
      <c r="D221" s="1" t="s">
        <v>350</v>
      </c>
      <c r="E221" t="s">
        <v>351</v>
      </c>
      <c r="F221" t="s">
        <v>352</v>
      </c>
      <c r="G221">
        <v>20170124</v>
      </c>
      <c r="H221">
        <v>20170207</v>
      </c>
      <c r="I221" t="s">
        <v>78</v>
      </c>
      <c r="K221" t="s">
        <v>79</v>
      </c>
      <c r="L221" t="s">
        <v>34</v>
      </c>
      <c r="M221" t="s">
        <v>34</v>
      </c>
      <c r="N221" t="s">
        <v>35</v>
      </c>
      <c r="O221" t="s">
        <v>35</v>
      </c>
      <c r="P221" t="s">
        <v>35</v>
      </c>
      <c r="Q221" t="s">
        <v>35</v>
      </c>
      <c r="R221" t="s">
        <v>35</v>
      </c>
      <c r="S221" t="s">
        <v>34</v>
      </c>
      <c r="AD221">
        <v>20170124</v>
      </c>
      <c r="AF221" t="str">
        <f>IFERROR(VLOOKUP(RIGHT(TblFeedFile1[[#This Row],[Leave Type ]],6),LkupPayType[],2,FALSE),"TBD")</f>
        <v>TBD</v>
      </c>
      <c r="AG221" t="str">
        <f>IFERROR(VLOOKUP(TblFeedFile1[[#This Row],[ Report Number ]],LkupPayrollCycle[],2,FALSE),"TBD")</f>
        <v>Bi-Weekly</v>
      </c>
      <c r="AH221" t="str">
        <f>IF(TblFeedFile1[[#This Row],[Return to Work Date ]]="","","Y")</f>
        <v/>
      </c>
    </row>
    <row r="222" spans="1:34" x14ac:dyDescent="0.25">
      <c r="A222" t="s">
        <v>37</v>
      </c>
      <c r="B222">
        <v>314304</v>
      </c>
      <c r="C222">
        <v>20854562</v>
      </c>
      <c r="D222" s="1" t="s">
        <v>353</v>
      </c>
      <c r="E222" t="s">
        <v>354</v>
      </c>
      <c r="F222" t="s">
        <v>168</v>
      </c>
      <c r="G222">
        <v>20170124</v>
      </c>
      <c r="H222">
        <v>20170223</v>
      </c>
      <c r="I222" t="s">
        <v>36</v>
      </c>
      <c r="L222" t="s">
        <v>34</v>
      </c>
      <c r="M222" t="s">
        <v>34</v>
      </c>
      <c r="N222" t="s">
        <v>35</v>
      </c>
      <c r="O222" t="s">
        <v>35</v>
      </c>
      <c r="P222" t="s">
        <v>35</v>
      </c>
      <c r="Q222" t="s">
        <v>35</v>
      </c>
      <c r="R222" t="s">
        <v>35</v>
      </c>
      <c r="S222" t="s">
        <v>34</v>
      </c>
      <c r="AD222">
        <v>20170124</v>
      </c>
      <c r="AF222" t="str">
        <f>IFERROR(VLOOKUP(RIGHT(TblFeedFile1[[#This Row],[Leave Type ]],6),LkupPayType[],2,FALSE),"TBD")</f>
        <v>TBD</v>
      </c>
      <c r="AG222" t="str">
        <f>IFERROR(VLOOKUP(TblFeedFile1[[#This Row],[ Report Number ]],LkupPayrollCycle[],2,FALSE),"TBD")</f>
        <v>Bi-Weekly</v>
      </c>
      <c r="AH222" t="str">
        <f>IF(TblFeedFile1[[#This Row],[Return to Work Date ]]="","","Y")</f>
        <v/>
      </c>
    </row>
    <row r="223" spans="1:34" x14ac:dyDescent="0.25">
      <c r="A223" t="s">
        <v>29</v>
      </c>
      <c r="B223">
        <v>314307</v>
      </c>
      <c r="C223">
        <v>20861474</v>
      </c>
      <c r="D223" s="1" t="s">
        <v>355</v>
      </c>
      <c r="E223" t="s">
        <v>356</v>
      </c>
      <c r="F223" t="s">
        <v>357</v>
      </c>
      <c r="G223">
        <v>20170121</v>
      </c>
      <c r="H223">
        <v>20170121</v>
      </c>
      <c r="I223" t="s">
        <v>33</v>
      </c>
      <c r="L223" t="s">
        <v>34</v>
      </c>
      <c r="M223" t="s">
        <v>34</v>
      </c>
      <c r="N223" t="s">
        <v>35</v>
      </c>
      <c r="O223" t="s">
        <v>35</v>
      </c>
      <c r="P223" t="s">
        <v>35</v>
      </c>
      <c r="Q223" t="s">
        <v>35</v>
      </c>
      <c r="R223" t="s">
        <v>35</v>
      </c>
      <c r="S223" t="s">
        <v>34</v>
      </c>
      <c r="AD223">
        <v>20170124</v>
      </c>
      <c r="AF223" t="str">
        <f>IFERROR(VLOOKUP(RIGHT(TblFeedFile1[[#This Row],[Leave Type ]],6),LkupPayType[],2,FALSE),"TBD")</f>
        <v>TBD</v>
      </c>
      <c r="AG223" t="str">
        <f>IFERROR(VLOOKUP(TblFeedFile1[[#This Row],[ Report Number ]],LkupPayrollCycle[],2,FALSE),"TBD")</f>
        <v>Semi-Monthly</v>
      </c>
      <c r="AH223" t="str">
        <f>IF(TblFeedFile1[[#This Row],[Return to Work Date ]]="","","Y")</f>
        <v/>
      </c>
    </row>
    <row r="224" spans="1:34" x14ac:dyDescent="0.25">
      <c r="A224" t="s">
        <v>37</v>
      </c>
      <c r="B224">
        <v>314307</v>
      </c>
      <c r="C224">
        <v>20861474</v>
      </c>
      <c r="D224" s="1" t="s">
        <v>355</v>
      </c>
      <c r="E224" t="s">
        <v>356</v>
      </c>
      <c r="F224" t="s">
        <v>357</v>
      </c>
      <c r="G224">
        <v>20170121</v>
      </c>
      <c r="H224">
        <v>20170121</v>
      </c>
      <c r="I224" t="s">
        <v>33</v>
      </c>
      <c r="L224" t="s">
        <v>34</v>
      </c>
      <c r="M224" t="s">
        <v>34</v>
      </c>
      <c r="N224" t="s">
        <v>35</v>
      </c>
      <c r="O224" t="s">
        <v>35</v>
      </c>
      <c r="P224" t="s">
        <v>35</v>
      </c>
      <c r="Q224" t="s">
        <v>35</v>
      </c>
      <c r="R224" t="s">
        <v>35</v>
      </c>
      <c r="S224" t="s">
        <v>34</v>
      </c>
      <c r="AD224">
        <v>20170124</v>
      </c>
      <c r="AF224" t="str">
        <f>IFERROR(VLOOKUP(RIGHT(TblFeedFile1[[#This Row],[Leave Type ]],6),LkupPayType[],2,FALSE),"TBD")</f>
        <v>TBD</v>
      </c>
      <c r="AG224" t="str">
        <f>IFERROR(VLOOKUP(TblFeedFile1[[#This Row],[ Report Number ]],LkupPayrollCycle[],2,FALSE),"TBD")</f>
        <v>Semi-Monthly</v>
      </c>
      <c r="AH224" t="str">
        <f>IF(TblFeedFile1[[#This Row],[Return to Work Date ]]="","","Y")</f>
        <v/>
      </c>
    </row>
    <row r="225" spans="1:34" x14ac:dyDescent="0.25">
      <c r="A225" t="s">
        <v>37</v>
      </c>
      <c r="B225">
        <v>314304</v>
      </c>
      <c r="C225">
        <v>20871150</v>
      </c>
      <c r="D225" s="1" t="s">
        <v>358</v>
      </c>
      <c r="E225" t="s">
        <v>359</v>
      </c>
      <c r="F225" t="s">
        <v>360</v>
      </c>
      <c r="G225">
        <v>20170116</v>
      </c>
      <c r="H225">
        <v>20170630</v>
      </c>
      <c r="I225" t="s">
        <v>36</v>
      </c>
      <c r="L225" t="s">
        <v>34</v>
      </c>
      <c r="M225" t="s">
        <v>34</v>
      </c>
      <c r="N225" t="s">
        <v>35</v>
      </c>
      <c r="O225" t="s">
        <v>35</v>
      </c>
      <c r="P225" t="s">
        <v>35</v>
      </c>
      <c r="Q225" t="s">
        <v>35</v>
      </c>
      <c r="R225" t="s">
        <v>35</v>
      </c>
      <c r="S225" t="s">
        <v>34</v>
      </c>
      <c r="AD225">
        <v>20170124</v>
      </c>
      <c r="AF225" t="str">
        <f>IFERROR(VLOOKUP(RIGHT(TblFeedFile1[[#This Row],[Leave Type ]],6),LkupPayType[],2,FALSE),"TBD")</f>
        <v>TBD</v>
      </c>
      <c r="AG225" t="str">
        <f>IFERROR(VLOOKUP(TblFeedFile1[[#This Row],[ Report Number ]],LkupPayrollCycle[],2,FALSE),"TBD")</f>
        <v>Bi-Weekly</v>
      </c>
      <c r="AH225" t="str">
        <f>IF(TblFeedFile1[[#This Row],[Return to Work Date ]]="","","Y")</f>
        <v/>
      </c>
    </row>
    <row r="226" spans="1:34" x14ac:dyDescent="0.25">
      <c r="A226" t="s">
        <v>37</v>
      </c>
      <c r="B226">
        <v>314304</v>
      </c>
      <c r="C226">
        <v>20876268</v>
      </c>
      <c r="D226" s="1" t="s">
        <v>361</v>
      </c>
      <c r="E226" t="s">
        <v>362</v>
      </c>
      <c r="F226" t="s">
        <v>363</v>
      </c>
      <c r="G226">
        <v>20161205</v>
      </c>
      <c r="H226">
        <v>20170113</v>
      </c>
      <c r="I226" t="s">
        <v>78</v>
      </c>
      <c r="K226" t="s">
        <v>79</v>
      </c>
      <c r="L226" t="s">
        <v>34</v>
      </c>
      <c r="M226" t="s">
        <v>34</v>
      </c>
      <c r="N226" t="s">
        <v>35</v>
      </c>
      <c r="O226" t="s">
        <v>35</v>
      </c>
      <c r="P226" t="s">
        <v>35</v>
      </c>
      <c r="Q226" t="s">
        <v>35</v>
      </c>
      <c r="R226" t="s">
        <v>35</v>
      </c>
      <c r="S226" t="s">
        <v>34</v>
      </c>
      <c r="AC226" t="s">
        <v>35</v>
      </c>
      <c r="AD226">
        <v>20170124</v>
      </c>
      <c r="AF226" t="str">
        <f>IFERROR(VLOOKUP(RIGHT(TblFeedFile1[[#This Row],[Leave Type ]],6),LkupPayType[],2,FALSE),"TBD")</f>
        <v>TBD</v>
      </c>
      <c r="AG226" t="str">
        <f>IFERROR(VLOOKUP(TblFeedFile1[[#This Row],[ Report Number ]],LkupPayrollCycle[],2,FALSE),"TBD")</f>
        <v>Bi-Weekly</v>
      </c>
      <c r="AH226" t="str">
        <f>IF(TblFeedFile1[[#This Row],[Return to Work Date ]]="","","Y")</f>
        <v/>
      </c>
    </row>
    <row r="227" spans="1:34" x14ac:dyDescent="0.25">
      <c r="A227" t="s">
        <v>37</v>
      </c>
      <c r="B227">
        <v>314304</v>
      </c>
      <c r="C227">
        <v>20876268</v>
      </c>
      <c r="D227" s="1" t="s">
        <v>361</v>
      </c>
      <c r="E227" t="s">
        <v>362</v>
      </c>
      <c r="F227" t="s">
        <v>363</v>
      </c>
      <c r="G227">
        <v>20170114</v>
      </c>
      <c r="H227">
        <v>20170114</v>
      </c>
      <c r="I227" t="s">
        <v>33</v>
      </c>
      <c r="L227" t="s">
        <v>34</v>
      </c>
      <c r="M227" t="s">
        <v>34</v>
      </c>
      <c r="N227" t="s">
        <v>35</v>
      </c>
      <c r="O227" t="s">
        <v>35</v>
      </c>
      <c r="P227" t="s">
        <v>35</v>
      </c>
      <c r="Q227" t="s">
        <v>35</v>
      </c>
      <c r="R227" t="s">
        <v>35</v>
      </c>
      <c r="S227" t="s">
        <v>34</v>
      </c>
      <c r="AC227" t="s">
        <v>35</v>
      </c>
      <c r="AD227">
        <v>20170124</v>
      </c>
      <c r="AF227" t="str">
        <f>IFERROR(VLOOKUP(RIGHT(TblFeedFile1[[#This Row],[Leave Type ]],6),LkupPayType[],2,FALSE),"TBD")</f>
        <v>TBD</v>
      </c>
      <c r="AG227" t="str">
        <f>IFERROR(VLOOKUP(TblFeedFile1[[#This Row],[ Report Number ]],LkupPayrollCycle[],2,FALSE),"TBD")</f>
        <v>Bi-Weekly</v>
      </c>
      <c r="AH227" t="str">
        <f>IF(TblFeedFile1[[#This Row],[Return to Work Date ]]="","","Y")</f>
        <v/>
      </c>
    </row>
    <row r="228" spans="1:34" x14ac:dyDescent="0.25">
      <c r="A228" t="s">
        <v>37</v>
      </c>
      <c r="B228">
        <v>314304</v>
      </c>
      <c r="C228">
        <v>20878890</v>
      </c>
      <c r="D228" s="1">
        <v>501701248458</v>
      </c>
      <c r="E228" t="s">
        <v>364</v>
      </c>
      <c r="F228" t="s">
        <v>83</v>
      </c>
      <c r="G228">
        <v>20170115</v>
      </c>
      <c r="I228" t="s">
        <v>53</v>
      </c>
      <c r="L228" t="s">
        <v>34</v>
      </c>
      <c r="M228" t="s">
        <v>34</v>
      </c>
      <c r="N228" t="s">
        <v>35</v>
      </c>
      <c r="O228" t="s">
        <v>35</v>
      </c>
      <c r="P228" t="s">
        <v>35</v>
      </c>
      <c r="Q228" t="s">
        <v>35</v>
      </c>
      <c r="R228" t="s">
        <v>35</v>
      </c>
      <c r="S228" t="s">
        <v>34</v>
      </c>
      <c r="AD228">
        <v>20170124</v>
      </c>
      <c r="AF228" t="str">
        <f>IFERROR(VLOOKUP(RIGHT(TblFeedFile1[[#This Row],[Leave Type ]],6),LkupPayType[],2,FALSE),"TBD")</f>
        <v>TBD</v>
      </c>
      <c r="AG228" t="str">
        <f>IFERROR(VLOOKUP(TblFeedFile1[[#This Row],[ Report Number ]],LkupPayrollCycle[],2,FALSE),"TBD")</f>
        <v>Bi-Weekly</v>
      </c>
      <c r="AH228" t="str">
        <f>IF(TblFeedFile1[[#This Row],[Return to Work Date ]]="","","Y")</f>
        <v/>
      </c>
    </row>
    <row r="229" spans="1:34" x14ac:dyDescent="0.25">
      <c r="A229" t="s">
        <v>37</v>
      </c>
      <c r="B229">
        <v>314304</v>
      </c>
      <c r="C229">
        <v>20878890</v>
      </c>
      <c r="D229" s="1" t="s">
        <v>365</v>
      </c>
      <c r="E229" t="s">
        <v>364</v>
      </c>
      <c r="F229" t="s">
        <v>83</v>
      </c>
      <c r="G229">
        <v>20170117</v>
      </c>
      <c r="H229">
        <v>20170125</v>
      </c>
      <c r="I229" t="s">
        <v>78</v>
      </c>
      <c r="K229" t="s">
        <v>79</v>
      </c>
      <c r="L229" t="s">
        <v>34</v>
      </c>
      <c r="M229" t="s">
        <v>34</v>
      </c>
      <c r="N229" t="s">
        <v>35</v>
      </c>
      <c r="O229" t="s">
        <v>35</v>
      </c>
      <c r="P229" t="s">
        <v>35</v>
      </c>
      <c r="Q229" t="s">
        <v>35</v>
      </c>
      <c r="R229" t="s">
        <v>35</v>
      </c>
      <c r="S229" t="s">
        <v>34</v>
      </c>
      <c r="AD229">
        <v>20170124</v>
      </c>
      <c r="AF229" t="str">
        <f>IFERROR(VLOOKUP(RIGHT(TblFeedFile1[[#This Row],[Leave Type ]],6),LkupPayType[],2,FALSE),"TBD")</f>
        <v>TBD</v>
      </c>
      <c r="AG229" t="str">
        <f>IFERROR(VLOOKUP(TblFeedFile1[[#This Row],[ Report Number ]],LkupPayrollCycle[],2,FALSE),"TBD")</f>
        <v>Bi-Weekly</v>
      </c>
      <c r="AH229" t="str">
        <f>IF(TblFeedFile1[[#This Row],[Return to Work Date ]]="","","Y")</f>
        <v/>
      </c>
    </row>
    <row r="230" spans="1:34" x14ac:dyDescent="0.25">
      <c r="A230" t="s">
        <v>37</v>
      </c>
      <c r="B230">
        <v>314304</v>
      </c>
      <c r="C230">
        <v>20880002</v>
      </c>
      <c r="D230" s="1" t="s">
        <v>366</v>
      </c>
      <c r="E230" t="s">
        <v>313</v>
      </c>
      <c r="F230" t="s">
        <v>367</v>
      </c>
      <c r="G230">
        <v>20170113</v>
      </c>
      <c r="H230">
        <v>20170113</v>
      </c>
      <c r="I230" t="s">
        <v>43</v>
      </c>
      <c r="L230" t="s">
        <v>34</v>
      </c>
      <c r="M230" t="s">
        <v>34</v>
      </c>
      <c r="N230" t="s">
        <v>35</v>
      </c>
      <c r="O230" t="s">
        <v>35</v>
      </c>
      <c r="P230" t="s">
        <v>35</v>
      </c>
      <c r="Q230" t="s">
        <v>35</v>
      </c>
      <c r="R230" t="s">
        <v>35</v>
      </c>
      <c r="S230" t="s">
        <v>34</v>
      </c>
      <c r="AD230">
        <v>20170124</v>
      </c>
      <c r="AF230" t="str">
        <f>IFERROR(VLOOKUP(RIGHT(TblFeedFile1[[#This Row],[Leave Type ]],6),LkupPayType[],2,FALSE),"TBD")</f>
        <v>TBD</v>
      </c>
      <c r="AG230" t="str">
        <f>IFERROR(VLOOKUP(TblFeedFile1[[#This Row],[ Report Number ]],LkupPayrollCycle[],2,FALSE),"TBD")</f>
        <v>Bi-Weekly</v>
      </c>
      <c r="AH230" t="str">
        <f>IF(TblFeedFile1[[#This Row],[Return to Work Date ]]="","","Y")</f>
        <v/>
      </c>
    </row>
    <row r="231" spans="1:34" x14ac:dyDescent="0.25">
      <c r="A231" t="s">
        <v>29</v>
      </c>
      <c r="B231">
        <v>314304</v>
      </c>
      <c r="C231">
        <v>20883130</v>
      </c>
      <c r="D231" s="1">
        <v>541701098824</v>
      </c>
      <c r="E231" t="s">
        <v>368</v>
      </c>
      <c r="F231" t="s">
        <v>369</v>
      </c>
      <c r="G231">
        <v>20170116</v>
      </c>
      <c r="H231">
        <v>20170224</v>
      </c>
      <c r="I231" t="s">
        <v>40</v>
      </c>
      <c r="L231" t="s">
        <v>34</v>
      </c>
      <c r="M231" t="s">
        <v>34</v>
      </c>
      <c r="N231" t="s">
        <v>35</v>
      </c>
      <c r="O231" t="s">
        <v>35</v>
      </c>
      <c r="P231" t="s">
        <v>35</v>
      </c>
      <c r="Q231" t="s">
        <v>35</v>
      </c>
      <c r="R231" t="s">
        <v>35</v>
      </c>
      <c r="S231" t="s">
        <v>34</v>
      </c>
      <c r="X231" t="s">
        <v>35</v>
      </c>
      <c r="AD231">
        <v>20170124</v>
      </c>
      <c r="AF231" t="str">
        <f>IFERROR(VLOOKUP(RIGHT(TblFeedFile1[[#This Row],[Leave Type ]],6),LkupPayType[],2,FALSE),"TBD")</f>
        <v>TBD</v>
      </c>
      <c r="AG231" t="str">
        <f>IFERROR(VLOOKUP(TblFeedFile1[[#This Row],[ Report Number ]],LkupPayrollCycle[],2,FALSE),"TBD")</f>
        <v>Bi-Weekly</v>
      </c>
      <c r="AH231" t="str">
        <f>IF(TblFeedFile1[[#This Row],[Return to Work Date ]]="","","Y")</f>
        <v/>
      </c>
    </row>
    <row r="232" spans="1:34" x14ac:dyDescent="0.25">
      <c r="A232" t="s">
        <v>37</v>
      </c>
      <c r="B232">
        <v>314304</v>
      </c>
      <c r="C232">
        <v>20883130</v>
      </c>
      <c r="D232" s="1">
        <v>541701098824</v>
      </c>
      <c r="E232" t="s">
        <v>368</v>
      </c>
      <c r="F232" t="s">
        <v>369</v>
      </c>
      <c r="G232">
        <v>20170116</v>
      </c>
      <c r="H232">
        <v>20170301</v>
      </c>
      <c r="I232" t="s">
        <v>40</v>
      </c>
      <c r="L232" t="s">
        <v>34</v>
      </c>
      <c r="M232" t="s">
        <v>34</v>
      </c>
      <c r="N232" t="s">
        <v>35</v>
      </c>
      <c r="O232" t="s">
        <v>35</v>
      </c>
      <c r="P232" t="s">
        <v>35</v>
      </c>
      <c r="Q232" t="s">
        <v>35</v>
      </c>
      <c r="R232" t="s">
        <v>35</v>
      </c>
      <c r="S232" t="s">
        <v>34</v>
      </c>
      <c r="X232" t="s">
        <v>35</v>
      </c>
      <c r="Y232">
        <v>651</v>
      </c>
      <c r="Z232" t="s">
        <v>306</v>
      </c>
      <c r="AA232">
        <v>20170116</v>
      </c>
      <c r="AB232">
        <v>20170707</v>
      </c>
      <c r="AD232">
        <v>20170124</v>
      </c>
      <c r="AF232" t="str">
        <f>IFERROR(VLOOKUP(RIGHT(TblFeedFile1[[#This Row],[Leave Type ]],6),LkupPayType[],2,FALSE),"TBD")</f>
        <v>TBD</v>
      </c>
      <c r="AG232" t="str">
        <f>IFERROR(VLOOKUP(TblFeedFile1[[#This Row],[ Report Number ]],LkupPayrollCycle[],2,FALSE),"TBD")</f>
        <v>Bi-Weekly</v>
      </c>
      <c r="AH232" t="str">
        <f>IF(TblFeedFile1[[#This Row],[Return to Work Date ]]="","","Y")</f>
        <v/>
      </c>
    </row>
    <row r="233" spans="1:34" x14ac:dyDescent="0.25">
      <c r="A233" t="s">
        <v>29</v>
      </c>
      <c r="B233">
        <v>314301</v>
      </c>
      <c r="C233">
        <v>20890291</v>
      </c>
      <c r="D233" s="1" t="s">
        <v>370</v>
      </c>
      <c r="E233" t="s">
        <v>371</v>
      </c>
      <c r="F233" t="s">
        <v>372</v>
      </c>
      <c r="G233">
        <v>20170131</v>
      </c>
      <c r="H233">
        <v>20170206</v>
      </c>
      <c r="I233" t="s">
        <v>78</v>
      </c>
      <c r="K233" t="s">
        <v>79</v>
      </c>
      <c r="L233" t="s">
        <v>34</v>
      </c>
      <c r="M233" t="s">
        <v>34</v>
      </c>
      <c r="N233" t="s">
        <v>35</v>
      </c>
      <c r="O233" t="s">
        <v>35</v>
      </c>
      <c r="P233" t="s">
        <v>35</v>
      </c>
      <c r="Q233" t="s">
        <v>35</v>
      </c>
      <c r="R233" t="s">
        <v>35</v>
      </c>
      <c r="S233" t="s">
        <v>34</v>
      </c>
      <c r="AD233">
        <v>20170124</v>
      </c>
      <c r="AF233" t="str">
        <f>IFERROR(VLOOKUP(RIGHT(TblFeedFile1[[#This Row],[Leave Type ]],6),LkupPayType[],2,FALSE),"TBD")</f>
        <v>TBD</v>
      </c>
      <c r="AG233" t="str">
        <f>IFERROR(VLOOKUP(TblFeedFile1[[#This Row],[ Report Number ]],LkupPayrollCycle[],2,FALSE),"TBD")</f>
        <v>Semi-Monthly</v>
      </c>
      <c r="AH233" t="str">
        <f>IF(TblFeedFile1[[#This Row],[Return to Work Date ]]="","","Y")</f>
        <v/>
      </c>
    </row>
    <row r="234" spans="1:34" x14ac:dyDescent="0.25">
      <c r="A234" t="s">
        <v>29</v>
      </c>
      <c r="B234">
        <v>314301</v>
      </c>
      <c r="C234">
        <v>20890291</v>
      </c>
      <c r="D234" s="1">
        <v>521701098812</v>
      </c>
      <c r="E234" t="s">
        <v>371</v>
      </c>
      <c r="F234" t="s">
        <v>372</v>
      </c>
      <c r="G234">
        <v>20170118</v>
      </c>
      <c r="H234">
        <v>20170206</v>
      </c>
      <c r="I234" t="s">
        <v>40</v>
      </c>
      <c r="L234" t="s">
        <v>34</v>
      </c>
      <c r="M234" t="s">
        <v>34</v>
      </c>
      <c r="N234" t="s">
        <v>35</v>
      </c>
      <c r="O234" t="s">
        <v>35</v>
      </c>
      <c r="P234" t="s">
        <v>35</v>
      </c>
      <c r="Q234" t="s">
        <v>35</v>
      </c>
      <c r="R234" t="s">
        <v>35</v>
      </c>
      <c r="S234" t="s">
        <v>34</v>
      </c>
      <c r="X234" t="s">
        <v>35</v>
      </c>
      <c r="AD234">
        <v>20170124</v>
      </c>
      <c r="AF234" t="str">
        <f>IFERROR(VLOOKUP(RIGHT(TblFeedFile1[[#This Row],[Leave Type ]],6),LkupPayType[],2,FALSE),"TBD")</f>
        <v>TBD</v>
      </c>
      <c r="AG234" t="str">
        <f>IFERROR(VLOOKUP(TblFeedFile1[[#This Row],[ Report Number ]],LkupPayrollCycle[],2,FALSE),"TBD")</f>
        <v>Semi-Monthly</v>
      </c>
      <c r="AH234" t="str">
        <f>IF(TblFeedFile1[[#This Row],[Return to Work Date ]]="","","Y")</f>
        <v/>
      </c>
    </row>
    <row r="235" spans="1:34" x14ac:dyDescent="0.25">
      <c r="A235" t="s">
        <v>37</v>
      </c>
      <c r="B235">
        <v>314301</v>
      </c>
      <c r="C235">
        <v>20890291</v>
      </c>
      <c r="D235" s="1">
        <v>521701098812</v>
      </c>
      <c r="E235" t="s">
        <v>371</v>
      </c>
      <c r="F235" t="s">
        <v>372</v>
      </c>
      <c r="G235">
        <v>20170118</v>
      </c>
      <c r="H235">
        <v>20170212</v>
      </c>
      <c r="I235" t="s">
        <v>40</v>
      </c>
      <c r="L235" t="s">
        <v>34</v>
      </c>
      <c r="M235" t="s">
        <v>34</v>
      </c>
      <c r="N235" t="s">
        <v>35</v>
      </c>
      <c r="O235" t="s">
        <v>35</v>
      </c>
      <c r="P235" t="s">
        <v>35</v>
      </c>
      <c r="Q235" t="s">
        <v>35</v>
      </c>
      <c r="R235" t="s">
        <v>35</v>
      </c>
      <c r="S235" t="s">
        <v>34</v>
      </c>
      <c r="X235" t="s">
        <v>35</v>
      </c>
      <c r="AD235">
        <v>20170124</v>
      </c>
      <c r="AF235" t="str">
        <f>IFERROR(VLOOKUP(RIGHT(TblFeedFile1[[#This Row],[Leave Type ]],6),LkupPayType[],2,FALSE),"TBD")</f>
        <v>TBD</v>
      </c>
      <c r="AG235" t="str">
        <f>IFERROR(VLOOKUP(TblFeedFile1[[#This Row],[ Report Number ]],LkupPayrollCycle[],2,FALSE),"TBD")</f>
        <v>Semi-Monthly</v>
      </c>
      <c r="AH235" t="str">
        <f>IF(TblFeedFile1[[#This Row],[Return to Work Date ]]="","","Y")</f>
        <v/>
      </c>
    </row>
    <row r="236" spans="1:34" x14ac:dyDescent="0.25">
      <c r="A236" t="s">
        <v>37</v>
      </c>
      <c r="B236">
        <v>314301</v>
      </c>
      <c r="C236">
        <v>20890291</v>
      </c>
      <c r="D236" s="1" t="s">
        <v>370</v>
      </c>
      <c r="E236" t="s">
        <v>371</v>
      </c>
      <c r="F236" t="s">
        <v>372</v>
      </c>
      <c r="G236">
        <v>20170131</v>
      </c>
      <c r="H236">
        <v>20170212</v>
      </c>
      <c r="I236" t="s">
        <v>78</v>
      </c>
      <c r="K236" t="s">
        <v>79</v>
      </c>
      <c r="L236" t="s">
        <v>34</v>
      </c>
      <c r="M236" t="s">
        <v>34</v>
      </c>
      <c r="N236" t="s">
        <v>35</v>
      </c>
      <c r="O236" t="s">
        <v>35</v>
      </c>
      <c r="P236" t="s">
        <v>35</v>
      </c>
      <c r="Q236" t="s">
        <v>35</v>
      </c>
      <c r="R236" t="s">
        <v>35</v>
      </c>
      <c r="S236" t="s">
        <v>34</v>
      </c>
      <c r="AD236">
        <v>20170124</v>
      </c>
      <c r="AF236" t="str">
        <f>IFERROR(VLOOKUP(RIGHT(TblFeedFile1[[#This Row],[Leave Type ]],6),LkupPayType[],2,FALSE),"TBD")</f>
        <v>TBD</v>
      </c>
      <c r="AG236" t="str">
        <f>IFERROR(VLOOKUP(TblFeedFile1[[#This Row],[ Report Number ]],LkupPayrollCycle[],2,FALSE),"TBD")</f>
        <v>Semi-Monthly</v>
      </c>
      <c r="AH236" t="str">
        <f>IF(TblFeedFile1[[#This Row],[Return to Work Date ]]="","","Y")</f>
        <v/>
      </c>
    </row>
    <row r="237" spans="1:34" x14ac:dyDescent="0.25">
      <c r="A237" t="s">
        <v>29</v>
      </c>
      <c r="B237">
        <v>314304</v>
      </c>
      <c r="C237">
        <v>20893862</v>
      </c>
      <c r="D237" s="1">
        <v>501701098600</v>
      </c>
      <c r="E237" t="s">
        <v>373</v>
      </c>
      <c r="F237" t="s">
        <v>374</v>
      </c>
      <c r="G237">
        <v>20170109</v>
      </c>
      <c r="H237">
        <v>20170118</v>
      </c>
      <c r="I237" t="s">
        <v>40</v>
      </c>
      <c r="L237" t="s">
        <v>34</v>
      </c>
      <c r="M237" t="s">
        <v>34</v>
      </c>
      <c r="N237" t="s">
        <v>35</v>
      </c>
      <c r="O237" t="s">
        <v>35</v>
      </c>
      <c r="P237" t="s">
        <v>35</v>
      </c>
      <c r="Q237" t="s">
        <v>35</v>
      </c>
      <c r="R237" t="s">
        <v>35</v>
      </c>
      <c r="S237" t="s">
        <v>34</v>
      </c>
      <c r="T237">
        <v>20170117</v>
      </c>
      <c r="AD237">
        <v>20170124</v>
      </c>
      <c r="AF237" t="str">
        <f>IFERROR(VLOOKUP(RIGHT(TblFeedFile1[[#This Row],[Leave Type ]],6),LkupPayType[],2,FALSE),"TBD")</f>
        <v>TBD</v>
      </c>
      <c r="AG237" t="str">
        <f>IFERROR(VLOOKUP(TblFeedFile1[[#This Row],[ Report Number ]],LkupPayrollCycle[],2,FALSE),"TBD")</f>
        <v>Bi-Weekly</v>
      </c>
      <c r="AH237" t="str">
        <f>IF(TblFeedFile1[[#This Row],[Return to Work Date ]]="","","Y")</f>
        <v>Y</v>
      </c>
    </row>
    <row r="238" spans="1:34" x14ac:dyDescent="0.25">
      <c r="A238" t="s">
        <v>29</v>
      </c>
      <c r="B238">
        <v>314304</v>
      </c>
      <c r="C238">
        <v>20893862</v>
      </c>
      <c r="D238" s="1" t="s">
        <v>375</v>
      </c>
      <c r="E238" t="s">
        <v>373</v>
      </c>
      <c r="F238" t="s">
        <v>374</v>
      </c>
      <c r="G238">
        <v>20170102</v>
      </c>
      <c r="H238">
        <v>20170116</v>
      </c>
      <c r="I238" t="s">
        <v>78</v>
      </c>
      <c r="K238" t="s">
        <v>79</v>
      </c>
      <c r="L238" t="s">
        <v>34</v>
      </c>
      <c r="M238" t="s">
        <v>34</v>
      </c>
      <c r="N238" t="s">
        <v>35</v>
      </c>
      <c r="O238" t="s">
        <v>35</v>
      </c>
      <c r="P238" t="s">
        <v>35</v>
      </c>
      <c r="Q238" t="s">
        <v>35</v>
      </c>
      <c r="R238" t="s">
        <v>35</v>
      </c>
      <c r="S238" t="s">
        <v>34</v>
      </c>
      <c r="T238">
        <v>20170117</v>
      </c>
      <c r="AD238">
        <v>20170124</v>
      </c>
      <c r="AF238" t="str">
        <f>IFERROR(VLOOKUP(RIGHT(TblFeedFile1[[#This Row],[Leave Type ]],6),LkupPayType[],2,FALSE),"TBD")</f>
        <v>TBD</v>
      </c>
      <c r="AG238" t="str">
        <f>IFERROR(VLOOKUP(TblFeedFile1[[#This Row],[ Report Number ]],LkupPayrollCycle[],2,FALSE),"TBD")</f>
        <v>Bi-Weekly</v>
      </c>
      <c r="AH238" t="str">
        <f>IF(TblFeedFile1[[#This Row],[Return to Work Date ]]="","","Y")</f>
        <v>Y</v>
      </c>
    </row>
    <row r="239" spans="1:34" x14ac:dyDescent="0.25">
      <c r="A239" t="s">
        <v>37</v>
      </c>
      <c r="B239">
        <v>314304</v>
      </c>
      <c r="C239">
        <v>20893862</v>
      </c>
      <c r="D239" s="1" t="s">
        <v>375</v>
      </c>
      <c r="E239" t="s">
        <v>373</v>
      </c>
      <c r="F239" t="s">
        <v>374</v>
      </c>
      <c r="G239">
        <v>20170109</v>
      </c>
      <c r="H239">
        <v>20170116</v>
      </c>
      <c r="I239" t="s">
        <v>36</v>
      </c>
      <c r="L239" t="s">
        <v>34</v>
      </c>
      <c r="M239" t="s">
        <v>34</v>
      </c>
      <c r="N239" t="s">
        <v>35</v>
      </c>
      <c r="O239" t="s">
        <v>35</v>
      </c>
      <c r="P239" t="s">
        <v>35</v>
      </c>
      <c r="Q239" t="s">
        <v>35</v>
      </c>
      <c r="R239" t="s">
        <v>35</v>
      </c>
      <c r="S239" t="s">
        <v>34</v>
      </c>
      <c r="T239">
        <v>20170117</v>
      </c>
      <c r="AD239">
        <v>20170124</v>
      </c>
      <c r="AF239" t="str">
        <f>IFERROR(VLOOKUP(RIGHT(TblFeedFile1[[#This Row],[Leave Type ]],6),LkupPayType[],2,FALSE),"TBD")</f>
        <v>TBD</v>
      </c>
      <c r="AG239" t="str">
        <f>IFERROR(VLOOKUP(TblFeedFile1[[#This Row],[ Report Number ]],LkupPayrollCycle[],2,FALSE),"TBD")</f>
        <v>Bi-Weekly</v>
      </c>
      <c r="AH239" t="str">
        <f>IF(TblFeedFile1[[#This Row],[Return to Work Date ]]="","","Y")</f>
        <v>Y</v>
      </c>
    </row>
    <row r="240" spans="1:34" x14ac:dyDescent="0.25">
      <c r="A240" t="s">
        <v>37</v>
      </c>
      <c r="B240">
        <v>314304</v>
      </c>
      <c r="C240">
        <v>20920518</v>
      </c>
      <c r="D240" s="1" t="s">
        <v>376</v>
      </c>
      <c r="E240" t="s">
        <v>377</v>
      </c>
      <c r="F240" t="s">
        <v>378</v>
      </c>
      <c r="G240">
        <v>20170123</v>
      </c>
      <c r="H240">
        <v>20170323</v>
      </c>
      <c r="I240" t="s">
        <v>36</v>
      </c>
      <c r="L240" t="s">
        <v>35</v>
      </c>
      <c r="AD240">
        <v>20170124</v>
      </c>
      <c r="AF240" t="str">
        <f>IFERROR(VLOOKUP(RIGHT(TblFeedFile1[[#This Row],[Leave Type ]],6),LkupPayType[],2,FALSE),"TBD")</f>
        <v>TBD</v>
      </c>
      <c r="AG240" t="str">
        <f>IFERROR(VLOOKUP(TblFeedFile1[[#This Row],[ Report Number ]],LkupPayrollCycle[],2,FALSE),"TBD")</f>
        <v>Bi-Weekly</v>
      </c>
      <c r="AH240" t="str">
        <f>IF(TblFeedFile1[[#This Row],[Return to Work Date ]]="","","Y")</f>
        <v/>
      </c>
    </row>
    <row r="241" spans="1:34" x14ac:dyDescent="0.25">
      <c r="A241" t="s">
        <v>29</v>
      </c>
      <c r="B241">
        <v>314301</v>
      </c>
      <c r="C241">
        <v>20967678</v>
      </c>
      <c r="D241" s="1" t="s">
        <v>379</v>
      </c>
      <c r="E241" t="s">
        <v>380</v>
      </c>
      <c r="F241" t="s">
        <v>381</v>
      </c>
      <c r="G241">
        <v>20160317</v>
      </c>
      <c r="H241">
        <v>20160603</v>
      </c>
      <c r="I241" t="s">
        <v>185</v>
      </c>
      <c r="L241" t="s">
        <v>34</v>
      </c>
      <c r="M241" t="s">
        <v>34</v>
      </c>
      <c r="N241" t="s">
        <v>35</v>
      </c>
      <c r="O241" t="s">
        <v>35</v>
      </c>
      <c r="P241" t="s">
        <v>35</v>
      </c>
      <c r="Q241" t="s">
        <v>35</v>
      </c>
      <c r="R241" t="s">
        <v>35</v>
      </c>
      <c r="S241" t="s">
        <v>34</v>
      </c>
      <c r="AC241" t="s">
        <v>35</v>
      </c>
      <c r="AD241">
        <v>20170124</v>
      </c>
      <c r="AF241" t="str">
        <f>IFERROR(VLOOKUP(RIGHT(TblFeedFile1[[#This Row],[Leave Type ]],6),LkupPayType[],2,FALSE),"TBD")</f>
        <v>TBD</v>
      </c>
      <c r="AG241" t="str">
        <f>IFERROR(VLOOKUP(TblFeedFile1[[#This Row],[ Report Number ]],LkupPayrollCycle[],2,FALSE),"TBD")</f>
        <v>Semi-Monthly</v>
      </c>
      <c r="AH241" t="str">
        <f>IF(TblFeedFile1[[#This Row],[Return to Work Date ]]="","","Y")</f>
        <v/>
      </c>
    </row>
    <row r="242" spans="1:34" x14ac:dyDescent="0.25">
      <c r="A242" t="s">
        <v>37</v>
      </c>
      <c r="B242">
        <v>314307</v>
      </c>
      <c r="C242">
        <v>20967678</v>
      </c>
      <c r="D242" s="1" t="s">
        <v>379</v>
      </c>
      <c r="E242" t="s">
        <v>380</v>
      </c>
      <c r="F242" t="s">
        <v>381</v>
      </c>
      <c r="G242">
        <v>20160317</v>
      </c>
      <c r="H242">
        <v>20160603</v>
      </c>
      <c r="I242" t="s">
        <v>223</v>
      </c>
      <c r="L242" t="s">
        <v>34</v>
      </c>
      <c r="M242" t="s">
        <v>34</v>
      </c>
      <c r="N242" t="s">
        <v>35</v>
      </c>
      <c r="O242" t="s">
        <v>35</v>
      </c>
      <c r="P242" t="s">
        <v>35</v>
      </c>
      <c r="Q242" t="s">
        <v>35</v>
      </c>
      <c r="R242" t="s">
        <v>35</v>
      </c>
      <c r="S242" t="s">
        <v>34</v>
      </c>
      <c r="AD242">
        <v>20170124</v>
      </c>
      <c r="AF242" t="str">
        <f>IFERROR(VLOOKUP(RIGHT(TblFeedFile1[[#This Row],[Leave Type ]],6),LkupPayType[],2,FALSE),"TBD")</f>
        <v>TBD</v>
      </c>
      <c r="AG242" t="str">
        <f>IFERROR(VLOOKUP(TblFeedFile1[[#This Row],[ Report Number ]],LkupPayrollCycle[],2,FALSE),"TBD")</f>
        <v>Semi-Monthly</v>
      </c>
      <c r="AH242" t="str">
        <f>IF(TblFeedFile1[[#This Row],[Return to Work Date ]]="","","Y")</f>
        <v/>
      </c>
    </row>
    <row r="243" spans="1:34" x14ac:dyDescent="0.25">
      <c r="A243" t="s">
        <v>29</v>
      </c>
      <c r="B243">
        <v>314301</v>
      </c>
      <c r="C243">
        <v>20977138</v>
      </c>
      <c r="D243" s="1">
        <v>521701098752</v>
      </c>
      <c r="E243" t="s">
        <v>382</v>
      </c>
      <c r="F243" t="s">
        <v>383</v>
      </c>
      <c r="G243">
        <v>20170116</v>
      </c>
      <c r="H243">
        <v>20170331</v>
      </c>
      <c r="I243" t="s">
        <v>40</v>
      </c>
      <c r="L243" t="s">
        <v>34</v>
      </c>
      <c r="M243" t="s">
        <v>34</v>
      </c>
      <c r="N243" t="s">
        <v>35</v>
      </c>
      <c r="O243" t="s">
        <v>35</v>
      </c>
      <c r="P243" t="s">
        <v>35</v>
      </c>
      <c r="Q243" t="s">
        <v>35</v>
      </c>
      <c r="R243" t="s">
        <v>35</v>
      </c>
      <c r="S243" t="s">
        <v>34</v>
      </c>
      <c r="AD243">
        <v>20170124</v>
      </c>
      <c r="AF243" t="str">
        <f>IFERROR(VLOOKUP(RIGHT(TblFeedFile1[[#This Row],[Leave Type ]],6),LkupPayType[],2,FALSE),"TBD")</f>
        <v>TBD</v>
      </c>
      <c r="AG243" t="str">
        <f>IFERROR(VLOOKUP(TblFeedFile1[[#This Row],[ Report Number ]],LkupPayrollCycle[],2,FALSE),"TBD")</f>
        <v>Semi-Monthly</v>
      </c>
      <c r="AH243" t="str">
        <f>IF(TblFeedFile1[[#This Row],[Return to Work Date ]]="","","Y")</f>
        <v/>
      </c>
    </row>
    <row r="244" spans="1:34" x14ac:dyDescent="0.25">
      <c r="A244" t="s">
        <v>37</v>
      </c>
      <c r="B244">
        <v>314301</v>
      </c>
      <c r="C244">
        <v>20977138</v>
      </c>
      <c r="D244" s="1">
        <v>521701098752</v>
      </c>
      <c r="E244" t="s">
        <v>382</v>
      </c>
      <c r="F244" t="s">
        <v>383</v>
      </c>
      <c r="G244">
        <v>20170116</v>
      </c>
      <c r="H244">
        <v>20170224</v>
      </c>
      <c r="I244" t="s">
        <v>40</v>
      </c>
      <c r="L244" t="s">
        <v>34</v>
      </c>
      <c r="M244" t="s">
        <v>34</v>
      </c>
      <c r="N244" t="s">
        <v>35</v>
      </c>
      <c r="O244" t="s">
        <v>35</v>
      </c>
      <c r="P244" t="s">
        <v>35</v>
      </c>
      <c r="Q244" t="s">
        <v>35</v>
      </c>
      <c r="R244" t="s">
        <v>35</v>
      </c>
      <c r="S244" t="s">
        <v>34</v>
      </c>
      <c r="AD244">
        <v>20170124</v>
      </c>
      <c r="AF244" t="str">
        <f>IFERROR(VLOOKUP(RIGHT(TblFeedFile1[[#This Row],[Leave Type ]],6),LkupPayType[],2,FALSE),"TBD")</f>
        <v>TBD</v>
      </c>
      <c r="AG244" t="str">
        <f>IFERROR(VLOOKUP(TblFeedFile1[[#This Row],[ Report Number ]],LkupPayrollCycle[],2,FALSE),"TBD")</f>
        <v>Semi-Monthly</v>
      </c>
      <c r="AH244" t="str">
        <f>IF(TblFeedFile1[[#This Row],[Return to Work Date ]]="","","Y")</f>
        <v/>
      </c>
    </row>
    <row r="245" spans="1:34" x14ac:dyDescent="0.25">
      <c r="A245" t="s">
        <v>29</v>
      </c>
      <c r="B245">
        <v>314301</v>
      </c>
      <c r="C245">
        <v>20977393</v>
      </c>
      <c r="D245" s="1" t="s">
        <v>384</v>
      </c>
      <c r="E245" t="s">
        <v>385</v>
      </c>
      <c r="F245" t="s">
        <v>386</v>
      </c>
      <c r="G245">
        <v>20161227</v>
      </c>
      <c r="H245">
        <v>20170131</v>
      </c>
      <c r="I245" t="s">
        <v>185</v>
      </c>
      <c r="L245" t="s">
        <v>34</v>
      </c>
      <c r="M245" t="s">
        <v>34</v>
      </c>
      <c r="N245" t="s">
        <v>35</v>
      </c>
      <c r="O245" t="s">
        <v>35</v>
      </c>
      <c r="P245" t="s">
        <v>35</v>
      </c>
      <c r="Q245" t="s">
        <v>35</v>
      </c>
      <c r="R245" t="s">
        <v>35</v>
      </c>
      <c r="S245" t="s">
        <v>34</v>
      </c>
      <c r="AD245">
        <v>20170124</v>
      </c>
      <c r="AF245" t="str">
        <f>IFERROR(VLOOKUP(RIGHT(TblFeedFile1[[#This Row],[Leave Type ]],6),LkupPayType[],2,FALSE),"TBD")</f>
        <v>TBD</v>
      </c>
      <c r="AG245" t="str">
        <f>IFERROR(VLOOKUP(TblFeedFile1[[#This Row],[ Report Number ]],LkupPayrollCycle[],2,FALSE),"TBD")</f>
        <v>Semi-Monthly</v>
      </c>
      <c r="AH245" t="str">
        <f>IF(TblFeedFile1[[#This Row],[Return to Work Date ]]="","","Y")</f>
        <v/>
      </c>
    </row>
    <row r="246" spans="1:34" x14ac:dyDescent="0.25">
      <c r="A246" t="s">
        <v>37</v>
      </c>
      <c r="B246">
        <v>314304</v>
      </c>
      <c r="C246">
        <v>20978162</v>
      </c>
      <c r="D246" s="1" t="s">
        <v>387</v>
      </c>
      <c r="E246" t="s">
        <v>388</v>
      </c>
      <c r="F246" t="s">
        <v>389</v>
      </c>
      <c r="G246">
        <v>20170123</v>
      </c>
      <c r="H246">
        <v>20170123</v>
      </c>
      <c r="I246" t="s">
        <v>33</v>
      </c>
      <c r="L246" t="s">
        <v>34</v>
      </c>
      <c r="M246" t="s">
        <v>34</v>
      </c>
      <c r="N246" t="s">
        <v>35</v>
      </c>
      <c r="O246" t="s">
        <v>35</v>
      </c>
      <c r="P246" t="s">
        <v>35</v>
      </c>
      <c r="Q246" t="s">
        <v>35</v>
      </c>
      <c r="R246" t="s">
        <v>35</v>
      </c>
      <c r="S246" t="s">
        <v>34</v>
      </c>
      <c r="AD246">
        <v>20170124</v>
      </c>
      <c r="AF246" t="str">
        <f>IFERROR(VLOOKUP(RIGHT(TblFeedFile1[[#This Row],[Leave Type ]],6),LkupPayType[],2,FALSE),"TBD")</f>
        <v>TBD</v>
      </c>
      <c r="AG246" t="str">
        <f>IFERROR(VLOOKUP(TblFeedFile1[[#This Row],[ Report Number ]],LkupPayrollCycle[],2,FALSE),"TBD")</f>
        <v>Bi-Weekly</v>
      </c>
      <c r="AH246" t="str">
        <f>IF(TblFeedFile1[[#This Row],[Return to Work Date ]]="","","Y")</f>
        <v/>
      </c>
    </row>
    <row r="247" spans="1:34" x14ac:dyDescent="0.25">
      <c r="A247" t="s">
        <v>37</v>
      </c>
      <c r="B247">
        <v>314304</v>
      </c>
      <c r="C247">
        <v>21011565</v>
      </c>
      <c r="D247" s="1" t="s">
        <v>390</v>
      </c>
      <c r="E247" t="s">
        <v>391</v>
      </c>
      <c r="F247" t="s">
        <v>392</v>
      </c>
      <c r="G247">
        <v>20170123</v>
      </c>
      <c r="H247">
        <v>20170402</v>
      </c>
      <c r="I247" t="s">
        <v>36</v>
      </c>
      <c r="L247" t="s">
        <v>34</v>
      </c>
      <c r="M247" t="s">
        <v>34</v>
      </c>
      <c r="N247" t="s">
        <v>35</v>
      </c>
      <c r="O247" t="s">
        <v>35</v>
      </c>
      <c r="P247" t="s">
        <v>35</v>
      </c>
      <c r="Q247" t="s">
        <v>35</v>
      </c>
      <c r="R247" t="s">
        <v>35</v>
      </c>
      <c r="S247" t="s">
        <v>34</v>
      </c>
      <c r="AD247">
        <v>20170124</v>
      </c>
      <c r="AF247" t="str">
        <f>IFERROR(VLOOKUP(RIGHT(TblFeedFile1[[#This Row],[Leave Type ]],6),LkupPayType[],2,FALSE),"TBD")</f>
        <v>TBD</v>
      </c>
      <c r="AG247" t="str">
        <f>IFERROR(VLOOKUP(TblFeedFile1[[#This Row],[ Report Number ]],LkupPayrollCycle[],2,FALSE),"TBD")</f>
        <v>Bi-Weekly</v>
      </c>
      <c r="AH247" t="str">
        <f>IF(TblFeedFile1[[#This Row],[Return to Work Date ]]="","","Y")</f>
        <v/>
      </c>
    </row>
    <row r="248" spans="1:34" x14ac:dyDescent="0.25">
      <c r="A248" t="s">
        <v>37</v>
      </c>
      <c r="B248">
        <v>314301</v>
      </c>
      <c r="C248">
        <v>21012694</v>
      </c>
      <c r="D248" s="1" t="s">
        <v>393</v>
      </c>
      <c r="E248" t="s">
        <v>394</v>
      </c>
      <c r="F248" t="s">
        <v>395</v>
      </c>
      <c r="G248">
        <v>20170121</v>
      </c>
      <c r="H248">
        <v>20170121</v>
      </c>
      <c r="I248" t="s">
        <v>33</v>
      </c>
      <c r="L248" t="s">
        <v>34</v>
      </c>
      <c r="M248" t="s">
        <v>34</v>
      </c>
      <c r="N248" t="s">
        <v>35</v>
      </c>
      <c r="O248" t="s">
        <v>35</v>
      </c>
      <c r="P248" t="s">
        <v>35</v>
      </c>
      <c r="Q248" t="s">
        <v>35</v>
      </c>
      <c r="R248" t="s">
        <v>35</v>
      </c>
      <c r="S248" t="s">
        <v>34</v>
      </c>
      <c r="AC248" t="s">
        <v>35</v>
      </c>
      <c r="AD248">
        <v>20170124</v>
      </c>
      <c r="AF248" t="str">
        <f>IFERROR(VLOOKUP(RIGHT(TblFeedFile1[[#This Row],[Leave Type ]],6),LkupPayType[],2,FALSE),"TBD")</f>
        <v>TBD</v>
      </c>
      <c r="AG248" t="str">
        <f>IFERROR(VLOOKUP(TblFeedFile1[[#This Row],[ Report Number ]],LkupPayrollCycle[],2,FALSE),"TBD")</f>
        <v>Semi-Monthly</v>
      </c>
      <c r="AH248" t="str">
        <f>IF(TblFeedFile1[[#This Row],[Return to Work Date ]]="","","Y")</f>
        <v/>
      </c>
    </row>
    <row r="249" spans="1:34" x14ac:dyDescent="0.25">
      <c r="A249" t="s">
        <v>29</v>
      </c>
      <c r="B249">
        <v>314304</v>
      </c>
      <c r="C249">
        <v>21062014</v>
      </c>
      <c r="D249" s="1" t="s">
        <v>396</v>
      </c>
      <c r="E249" t="s">
        <v>397</v>
      </c>
      <c r="F249" t="s">
        <v>398</v>
      </c>
      <c r="G249">
        <v>20160804</v>
      </c>
      <c r="H249">
        <v>20160804</v>
      </c>
      <c r="I249" t="s">
        <v>33</v>
      </c>
      <c r="L249" t="s">
        <v>34</v>
      </c>
      <c r="M249" t="s">
        <v>34</v>
      </c>
      <c r="N249" t="s">
        <v>35</v>
      </c>
      <c r="O249" t="s">
        <v>35</v>
      </c>
      <c r="P249" t="s">
        <v>35</v>
      </c>
      <c r="Q249" t="s">
        <v>35</v>
      </c>
      <c r="R249" t="s">
        <v>35</v>
      </c>
      <c r="S249" t="s">
        <v>34</v>
      </c>
      <c r="AC249" t="s">
        <v>35</v>
      </c>
      <c r="AD249">
        <v>20170124</v>
      </c>
      <c r="AF249" t="str">
        <f>IFERROR(VLOOKUP(RIGHT(TblFeedFile1[[#This Row],[Leave Type ]],6),LkupPayType[],2,FALSE),"TBD")</f>
        <v>TBD</v>
      </c>
      <c r="AG249" t="str">
        <f>IFERROR(VLOOKUP(TblFeedFile1[[#This Row],[ Report Number ]],LkupPayrollCycle[],2,FALSE),"TBD")</f>
        <v>Bi-Weekly</v>
      </c>
      <c r="AH249" t="str">
        <f>IF(TblFeedFile1[[#This Row],[Return to Work Date ]]="","","Y")</f>
        <v/>
      </c>
    </row>
    <row r="250" spans="1:34" x14ac:dyDescent="0.25">
      <c r="A250" t="s">
        <v>29</v>
      </c>
      <c r="B250">
        <v>314304</v>
      </c>
      <c r="C250">
        <v>21062014</v>
      </c>
      <c r="D250" s="1" t="s">
        <v>396</v>
      </c>
      <c r="E250" t="s">
        <v>397</v>
      </c>
      <c r="F250" t="s">
        <v>398</v>
      </c>
      <c r="G250">
        <v>20160414</v>
      </c>
      <c r="H250">
        <v>20160803</v>
      </c>
      <c r="I250" t="s">
        <v>223</v>
      </c>
      <c r="L250" t="s">
        <v>34</v>
      </c>
      <c r="M250" t="s">
        <v>34</v>
      </c>
      <c r="N250" t="s">
        <v>35</v>
      </c>
      <c r="O250" t="s">
        <v>35</v>
      </c>
      <c r="P250" t="s">
        <v>35</v>
      </c>
      <c r="Q250" t="s">
        <v>35</v>
      </c>
      <c r="R250" t="s">
        <v>35</v>
      </c>
      <c r="S250" t="s">
        <v>34</v>
      </c>
      <c r="AC250" t="s">
        <v>35</v>
      </c>
      <c r="AD250">
        <v>20170124</v>
      </c>
      <c r="AF250" t="str">
        <f>IFERROR(VLOOKUP(RIGHT(TblFeedFile1[[#This Row],[Leave Type ]],6),LkupPayType[],2,FALSE),"TBD")</f>
        <v>TBD</v>
      </c>
      <c r="AG250" t="str">
        <f>IFERROR(VLOOKUP(TblFeedFile1[[#This Row],[ Report Number ]],LkupPayrollCycle[],2,FALSE),"TBD")</f>
        <v>Bi-Weekly</v>
      </c>
      <c r="AH250" t="str">
        <f>IF(TblFeedFile1[[#This Row],[Return to Work Date ]]="","","Y")</f>
        <v/>
      </c>
    </row>
    <row r="251" spans="1:34" x14ac:dyDescent="0.25">
      <c r="A251" t="s">
        <v>37</v>
      </c>
      <c r="B251">
        <v>314304</v>
      </c>
      <c r="C251">
        <v>21062014</v>
      </c>
      <c r="D251" s="1" t="s">
        <v>396</v>
      </c>
      <c r="E251" t="s">
        <v>397</v>
      </c>
      <c r="F251" t="s">
        <v>398</v>
      </c>
      <c r="G251">
        <v>20160414</v>
      </c>
      <c r="H251">
        <v>20160414</v>
      </c>
      <c r="I251" t="s">
        <v>43</v>
      </c>
      <c r="L251" t="s">
        <v>34</v>
      </c>
      <c r="M251" t="s">
        <v>34</v>
      </c>
      <c r="N251" t="s">
        <v>35</v>
      </c>
      <c r="O251" t="s">
        <v>35</v>
      </c>
      <c r="P251" t="s">
        <v>35</v>
      </c>
      <c r="Q251" t="s">
        <v>35</v>
      </c>
      <c r="R251" t="s">
        <v>35</v>
      </c>
      <c r="S251" t="s">
        <v>34</v>
      </c>
      <c r="AC251" t="s">
        <v>35</v>
      </c>
      <c r="AD251">
        <v>20170124</v>
      </c>
      <c r="AF251" t="str">
        <f>IFERROR(VLOOKUP(RIGHT(TblFeedFile1[[#This Row],[Leave Type ]],6),LkupPayType[],2,FALSE),"TBD")</f>
        <v>TBD</v>
      </c>
      <c r="AG251" t="str">
        <f>IFERROR(VLOOKUP(TblFeedFile1[[#This Row],[ Report Number ]],LkupPayrollCycle[],2,FALSE),"TBD")</f>
        <v>Bi-Weekly</v>
      </c>
      <c r="AH251" t="str">
        <f>IF(TblFeedFile1[[#This Row],[Return to Work Date ]]="","","Y")</f>
        <v/>
      </c>
    </row>
    <row r="252" spans="1:34" x14ac:dyDescent="0.25">
      <c r="A252" t="s">
        <v>29</v>
      </c>
      <c r="B252">
        <v>314304</v>
      </c>
      <c r="C252">
        <v>21081424</v>
      </c>
      <c r="D252" s="1" t="s">
        <v>399</v>
      </c>
      <c r="E252" t="s">
        <v>400</v>
      </c>
      <c r="F252" t="s">
        <v>401</v>
      </c>
      <c r="G252">
        <v>20161114</v>
      </c>
      <c r="H252">
        <v>20170203</v>
      </c>
      <c r="I252" t="s">
        <v>223</v>
      </c>
      <c r="L252" t="s">
        <v>34</v>
      </c>
      <c r="M252" t="s">
        <v>34</v>
      </c>
      <c r="N252" t="s">
        <v>35</v>
      </c>
      <c r="O252" t="s">
        <v>35</v>
      </c>
      <c r="P252" t="s">
        <v>35</v>
      </c>
      <c r="Q252" t="s">
        <v>35</v>
      </c>
      <c r="R252" t="s">
        <v>35</v>
      </c>
      <c r="S252" t="s">
        <v>34</v>
      </c>
      <c r="AC252" t="s">
        <v>35</v>
      </c>
      <c r="AD252">
        <v>20170124</v>
      </c>
      <c r="AF252" t="str">
        <f>IFERROR(VLOOKUP(RIGHT(TblFeedFile1[[#This Row],[Leave Type ]],6),LkupPayType[],2,FALSE),"TBD")</f>
        <v>TBD</v>
      </c>
      <c r="AG252" t="str">
        <f>IFERROR(VLOOKUP(TblFeedFile1[[#This Row],[ Report Number ]],LkupPayrollCycle[],2,FALSE),"TBD")</f>
        <v>Bi-Weekly</v>
      </c>
      <c r="AH252" t="str">
        <f>IF(TblFeedFile1[[#This Row],[Return to Work Date ]]="","","Y")</f>
        <v/>
      </c>
    </row>
    <row r="253" spans="1:34" x14ac:dyDescent="0.25">
      <c r="A253" t="s">
        <v>37</v>
      </c>
      <c r="B253">
        <v>314304</v>
      </c>
      <c r="C253">
        <v>21081424</v>
      </c>
      <c r="D253" s="1" t="s">
        <v>399</v>
      </c>
      <c r="E253" t="s">
        <v>400</v>
      </c>
      <c r="F253" t="s">
        <v>401</v>
      </c>
      <c r="G253">
        <v>20161114</v>
      </c>
      <c r="H253">
        <v>20170304</v>
      </c>
      <c r="I253" t="s">
        <v>223</v>
      </c>
      <c r="L253" t="s">
        <v>34</v>
      </c>
      <c r="M253" t="s">
        <v>34</v>
      </c>
      <c r="N253" t="s">
        <v>35</v>
      </c>
      <c r="O253" t="s">
        <v>35</v>
      </c>
      <c r="P253" t="s">
        <v>35</v>
      </c>
      <c r="Q253" t="s">
        <v>35</v>
      </c>
      <c r="R253" t="s">
        <v>35</v>
      </c>
      <c r="S253" t="s">
        <v>34</v>
      </c>
      <c r="AC253" t="s">
        <v>35</v>
      </c>
      <c r="AD253">
        <v>20170124</v>
      </c>
      <c r="AF253" t="str">
        <f>IFERROR(VLOOKUP(RIGHT(TblFeedFile1[[#This Row],[Leave Type ]],6),LkupPayType[],2,FALSE),"TBD")</f>
        <v>TBD</v>
      </c>
      <c r="AG253" t="str">
        <f>IFERROR(VLOOKUP(TblFeedFile1[[#This Row],[ Report Number ]],LkupPayrollCycle[],2,FALSE),"TBD")</f>
        <v>Bi-Weekly</v>
      </c>
      <c r="AH253" t="str">
        <f>IF(TblFeedFile1[[#This Row],[Return to Work Date ]]="","","Y")</f>
        <v/>
      </c>
    </row>
    <row r="254" spans="1:34" x14ac:dyDescent="0.25">
      <c r="A254" t="s">
        <v>37</v>
      </c>
      <c r="B254">
        <v>314304</v>
      </c>
      <c r="C254">
        <v>21081424</v>
      </c>
      <c r="D254" s="1" t="s">
        <v>399</v>
      </c>
      <c r="E254" t="s">
        <v>400</v>
      </c>
      <c r="F254" t="s">
        <v>401</v>
      </c>
      <c r="G254">
        <v>20161114</v>
      </c>
      <c r="H254">
        <v>20170304</v>
      </c>
      <c r="I254" t="s">
        <v>185</v>
      </c>
      <c r="L254" t="s">
        <v>34</v>
      </c>
      <c r="M254" t="s">
        <v>34</v>
      </c>
      <c r="N254" t="s">
        <v>35</v>
      </c>
      <c r="O254" t="s">
        <v>35</v>
      </c>
      <c r="P254" t="s">
        <v>35</v>
      </c>
      <c r="Q254" t="s">
        <v>35</v>
      </c>
      <c r="R254" t="s">
        <v>35</v>
      </c>
      <c r="S254" t="s">
        <v>34</v>
      </c>
      <c r="AC254" t="s">
        <v>35</v>
      </c>
      <c r="AD254">
        <v>20170124</v>
      </c>
      <c r="AF254" t="str">
        <f>IFERROR(VLOOKUP(RIGHT(TblFeedFile1[[#This Row],[Leave Type ]],6),LkupPayType[],2,FALSE),"TBD")</f>
        <v>TBD</v>
      </c>
      <c r="AG254" t="str">
        <f>IFERROR(VLOOKUP(TblFeedFile1[[#This Row],[ Report Number ]],LkupPayrollCycle[],2,FALSE),"TBD")</f>
        <v>Bi-Weekly</v>
      </c>
      <c r="AH254" t="str">
        <f>IF(TblFeedFile1[[#This Row],[Return to Work Date ]]="","","Y")</f>
        <v/>
      </c>
    </row>
    <row r="255" spans="1:34" x14ac:dyDescent="0.25">
      <c r="A255" t="s">
        <v>29</v>
      </c>
      <c r="B255">
        <v>314304</v>
      </c>
      <c r="C255">
        <v>21108300</v>
      </c>
      <c r="D255" s="1">
        <v>521701068452</v>
      </c>
      <c r="E255" t="s">
        <v>402</v>
      </c>
      <c r="F255" t="s">
        <v>403</v>
      </c>
      <c r="G255">
        <v>20170102</v>
      </c>
      <c r="H255">
        <v>20170102</v>
      </c>
      <c r="I255" t="s">
        <v>43</v>
      </c>
      <c r="L255" t="s">
        <v>34</v>
      </c>
      <c r="M255" t="s">
        <v>34</v>
      </c>
      <c r="N255" t="s">
        <v>35</v>
      </c>
      <c r="O255" t="s">
        <v>35</v>
      </c>
      <c r="P255" t="s">
        <v>35</v>
      </c>
      <c r="Q255" t="s">
        <v>35</v>
      </c>
      <c r="R255" t="s">
        <v>35</v>
      </c>
      <c r="S255" t="s">
        <v>34</v>
      </c>
      <c r="AD255">
        <v>20170124</v>
      </c>
      <c r="AF255" t="str">
        <f>IFERROR(VLOOKUP(RIGHT(TblFeedFile1[[#This Row],[Leave Type ]],6),LkupPayType[],2,FALSE),"TBD")</f>
        <v>TBD</v>
      </c>
      <c r="AG255" t="str">
        <f>IFERROR(VLOOKUP(TblFeedFile1[[#This Row],[ Report Number ]],LkupPayrollCycle[],2,FALSE),"TBD")</f>
        <v>Bi-Weekly</v>
      </c>
      <c r="AH255" t="str">
        <f>IF(TblFeedFile1[[#This Row],[Return to Work Date ]]="","","Y")</f>
        <v/>
      </c>
    </row>
    <row r="256" spans="1:34" x14ac:dyDescent="0.25">
      <c r="A256" t="s">
        <v>37</v>
      </c>
      <c r="B256">
        <v>314304</v>
      </c>
      <c r="C256">
        <v>21127864</v>
      </c>
      <c r="D256" s="1" t="s">
        <v>404</v>
      </c>
      <c r="E256" t="s">
        <v>405</v>
      </c>
      <c r="F256" t="s">
        <v>406</v>
      </c>
      <c r="G256">
        <v>20170123</v>
      </c>
      <c r="H256">
        <v>20170127</v>
      </c>
      <c r="I256" t="s">
        <v>78</v>
      </c>
      <c r="K256" t="s">
        <v>79</v>
      </c>
      <c r="L256" t="s">
        <v>34</v>
      </c>
      <c r="M256" t="s">
        <v>34</v>
      </c>
      <c r="N256" t="s">
        <v>35</v>
      </c>
      <c r="O256" t="s">
        <v>35</v>
      </c>
      <c r="P256" t="s">
        <v>35</v>
      </c>
      <c r="Q256" t="s">
        <v>35</v>
      </c>
      <c r="R256" t="s">
        <v>35</v>
      </c>
      <c r="S256" t="s">
        <v>34</v>
      </c>
      <c r="AD256">
        <v>20170124</v>
      </c>
      <c r="AF256" t="str">
        <f>IFERROR(VLOOKUP(RIGHT(TblFeedFile1[[#This Row],[Leave Type ]],6),LkupPayType[],2,FALSE),"TBD")</f>
        <v>TBD</v>
      </c>
      <c r="AG256" t="str">
        <f>IFERROR(VLOOKUP(TblFeedFile1[[#This Row],[ Report Number ]],LkupPayrollCycle[],2,FALSE),"TBD")</f>
        <v>Bi-Weekly</v>
      </c>
      <c r="AH256" t="str">
        <f>IF(TblFeedFile1[[#This Row],[Return to Work Date ]]="","","Y")</f>
        <v/>
      </c>
    </row>
    <row r="257" spans="1:34" x14ac:dyDescent="0.25">
      <c r="A257" t="s">
        <v>37</v>
      </c>
      <c r="B257">
        <v>314304</v>
      </c>
      <c r="C257">
        <v>21127864</v>
      </c>
      <c r="D257" s="1">
        <v>521701238232</v>
      </c>
      <c r="E257" t="s">
        <v>405</v>
      </c>
      <c r="F257" t="s">
        <v>406</v>
      </c>
      <c r="G257">
        <v>20170123</v>
      </c>
      <c r="H257">
        <v>20170127</v>
      </c>
      <c r="I257" t="s">
        <v>53</v>
      </c>
      <c r="L257" t="s">
        <v>34</v>
      </c>
      <c r="M257" t="s">
        <v>34</v>
      </c>
      <c r="N257" t="s">
        <v>35</v>
      </c>
      <c r="O257" t="s">
        <v>35</v>
      </c>
      <c r="P257" t="s">
        <v>35</v>
      </c>
      <c r="Q257" t="s">
        <v>35</v>
      </c>
      <c r="R257" t="s">
        <v>35</v>
      </c>
      <c r="S257" t="s">
        <v>34</v>
      </c>
      <c r="AD257">
        <v>20170124</v>
      </c>
      <c r="AF257" t="str">
        <f>IFERROR(VLOOKUP(RIGHT(TblFeedFile1[[#This Row],[Leave Type ]],6),LkupPayType[],2,FALSE),"TBD")</f>
        <v>TBD</v>
      </c>
      <c r="AG257" t="str">
        <f>IFERROR(VLOOKUP(TblFeedFile1[[#This Row],[ Report Number ]],LkupPayrollCycle[],2,FALSE),"TBD")</f>
        <v>Bi-Weekly</v>
      </c>
      <c r="AH257" t="str">
        <f>IF(TblFeedFile1[[#This Row],[Return to Work Date ]]="","","Y")</f>
        <v/>
      </c>
    </row>
    <row r="258" spans="1:34" x14ac:dyDescent="0.25">
      <c r="A258" t="s">
        <v>37</v>
      </c>
      <c r="B258">
        <v>314304</v>
      </c>
      <c r="C258">
        <v>21132757</v>
      </c>
      <c r="D258" s="1">
        <v>561701238226</v>
      </c>
      <c r="E258" t="s">
        <v>407</v>
      </c>
      <c r="F258" t="s">
        <v>408</v>
      </c>
      <c r="G258">
        <v>20170118</v>
      </c>
      <c r="H258">
        <v>20170223</v>
      </c>
      <c r="I258" t="s">
        <v>53</v>
      </c>
      <c r="L258" t="s">
        <v>35</v>
      </c>
      <c r="AD258">
        <v>20170124</v>
      </c>
      <c r="AF258" t="str">
        <f>IFERROR(VLOOKUP(RIGHT(TblFeedFile1[[#This Row],[Leave Type ]],6),LkupPayType[],2,FALSE),"TBD")</f>
        <v>TBD</v>
      </c>
      <c r="AG258" t="str">
        <f>IFERROR(VLOOKUP(TblFeedFile1[[#This Row],[ Report Number ]],LkupPayrollCycle[],2,FALSE),"TBD")</f>
        <v>Bi-Weekly</v>
      </c>
      <c r="AH258" t="str">
        <f>IF(TblFeedFile1[[#This Row],[Return to Work Date ]]="","","Y")</f>
        <v/>
      </c>
    </row>
    <row r="259" spans="1:34" x14ac:dyDescent="0.25">
      <c r="A259" t="s">
        <v>29</v>
      </c>
      <c r="B259">
        <v>314301</v>
      </c>
      <c r="C259">
        <v>21135218</v>
      </c>
      <c r="D259" s="1" t="s">
        <v>409</v>
      </c>
      <c r="E259" t="s">
        <v>348</v>
      </c>
      <c r="F259" t="s">
        <v>410</v>
      </c>
      <c r="G259">
        <v>20161117</v>
      </c>
      <c r="H259">
        <v>20170310</v>
      </c>
      <c r="I259" t="s">
        <v>78</v>
      </c>
      <c r="K259" t="s">
        <v>219</v>
      </c>
      <c r="L259" t="s">
        <v>34</v>
      </c>
      <c r="M259" t="s">
        <v>34</v>
      </c>
      <c r="N259" t="s">
        <v>35</v>
      </c>
      <c r="O259" t="s">
        <v>35</v>
      </c>
      <c r="P259" t="s">
        <v>35</v>
      </c>
      <c r="Q259" t="s">
        <v>35</v>
      </c>
      <c r="R259" t="s">
        <v>35</v>
      </c>
      <c r="S259" t="s">
        <v>34</v>
      </c>
      <c r="AC259" t="s">
        <v>35</v>
      </c>
      <c r="AD259">
        <v>20170124</v>
      </c>
      <c r="AF259" t="str">
        <f>IFERROR(VLOOKUP(RIGHT(TblFeedFile1[[#This Row],[Leave Type ]],6),LkupPayType[],2,FALSE),"TBD")</f>
        <v>TBD</v>
      </c>
      <c r="AG259" t="str">
        <f>IFERROR(VLOOKUP(TblFeedFile1[[#This Row],[ Report Number ]],LkupPayrollCycle[],2,FALSE),"TBD")</f>
        <v>Semi-Monthly</v>
      </c>
      <c r="AH259" t="str">
        <f>IF(TblFeedFile1[[#This Row],[Return to Work Date ]]="","","Y")</f>
        <v/>
      </c>
    </row>
    <row r="260" spans="1:34" x14ac:dyDescent="0.25">
      <c r="A260" t="s">
        <v>37</v>
      </c>
      <c r="B260">
        <v>314301</v>
      </c>
      <c r="C260">
        <v>21135218</v>
      </c>
      <c r="D260" s="1" t="s">
        <v>409</v>
      </c>
      <c r="E260" t="s">
        <v>348</v>
      </c>
      <c r="F260" t="s">
        <v>410</v>
      </c>
      <c r="G260">
        <v>20161117</v>
      </c>
      <c r="H260">
        <v>20161117</v>
      </c>
      <c r="I260" t="s">
        <v>33</v>
      </c>
      <c r="L260" t="s">
        <v>34</v>
      </c>
      <c r="M260" t="s">
        <v>34</v>
      </c>
      <c r="N260" t="s">
        <v>35</v>
      </c>
      <c r="O260" t="s">
        <v>35</v>
      </c>
      <c r="P260" t="s">
        <v>35</v>
      </c>
      <c r="Q260" t="s">
        <v>35</v>
      </c>
      <c r="R260" t="s">
        <v>35</v>
      </c>
      <c r="S260" t="s">
        <v>34</v>
      </c>
      <c r="AC260" t="s">
        <v>35</v>
      </c>
      <c r="AD260">
        <v>20170124</v>
      </c>
      <c r="AF260" t="str">
        <f>IFERROR(VLOOKUP(RIGHT(TblFeedFile1[[#This Row],[Leave Type ]],6),LkupPayType[],2,FALSE),"TBD")</f>
        <v>TBD</v>
      </c>
      <c r="AG260" t="str">
        <f>IFERROR(VLOOKUP(TblFeedFile1[[#This Row],[ Report Number ]],LkupPayrollCycle[],2,FALSE),"TBD")</f>
        <v>Semi-Monthly</v>
      </c>
      <c r="AH260" t="str">
        <f>IF(TblFeedFile1[[#This Row],[Return to Work Date ]]="","","Y")</f>
        <v/>
      </c>
    </row>
    <row r="261" spans="1:34" x14ac:dyDescent="0.25">
      <c r="A261" t="s">
        <v>37</v>
      </c>
      <c r="B261">
        <v>314304</v>
      </c>
      <c r="C261">
        <v>21138277</v>
      </c>
      <c r="D261" s="1" t="s">
        <v>411</v>
      </c>
      <c r="E261" t="s">
        <v>412</v>
      </c>
      <c r="F261" t="s">
        <v>413</v>
      </c>
      <c r="G261">
        <v>20170122</v>
      </c>
      <c r="H261">
        <v>20170717</v>
      </c>
      <c r="I261" t="s">
        <v>36</v>
      </c>
      <c r="L261" t="s">
        <v>34</v>
      </c>
      <c r="M261" t="s">
        <v>34</v>
      </c>
      <c r="N261" t="s">
        <v>35</v>
      </c>
      <c r="O261" t="s">
        <v>35</v>
      </c>
      <c r="P261" t="s">
        <v>35</v>
      </c>
      <c r="Q261" t="s">
        <v>35</v>
      </c>
      <c r="R261" t="s">
        <v>35</v>
      </c>
      <c r="S261" t="s">
        <v>34</v>
      </c>
      <c r="AD261">
        <v>20170124</v>
      </c>
      <c r="AF261" t="str">
        <f>IFERROR(VLOOKUP(RIGHT(TblFeedFile1[[#This Row],[Leave Type ]],6),LkupPayType[],2,FALSE),"TBD")</f>
        <v>TBD</v>
      </c>
      <c r="AG261" t="str">
        <f>IFERROR(VLOOKUP(TblFeedFile1[[#This Row],[ Report Number ]],LkupPayrollCycle[],2,FALSE),"TBD")</f>
        <v>Bi-Weekly</v>
      </c>
      <c r="AH261" t="str">
        <f>IF(TblFeedFile1[[#This Row],[Return to Work Date ]]="","","Y")</f>
        <v/>
      </c>
    </row>
    <row r="262" spans="1:34" x14ac:dyDescent="0.25">
      <c r="A262" t="s">
        <v>29</v>
      </c>
      <c r="B262">
        <v>314304</v>
      </c>
      <c r="C262">
        <v>21154159</v>
      </c>
      <c r="D262" s="1" t="s">
        <v>414</v>
      </c>
      <c r="E262" t="s">
        <v>415</v>
      </c>
      <c r="F262" t="s">
        <v>416</v>
      </c>
      <c r="G262">
        <v>20170104</v>
      </c>
      <c r="H262">
        <v>20170104</v>
      </c>
      <c r="I262" t="s">
        <v>33</v>
      </c>
      <c r="L262" t="s">
        <v>34</v>
      </c>
      <c r="M262" t="s">
        <v>34</v>
      </c>
      <c r="N262" t="s">
        <v>35</v>
      </c>
      <c r="O262" t="s">
        <v>35</v>
      </c>
      <c r="P262" t="s">
        <v>35</v>
      </c>
      <c r="Q262" t="s">
        <v>35</v>
      </c>
      <c r="R262" t="s">
        <v>35</v>
      </c>
      <c r="S262" t="s">
        <v>34</v>
      </c>
      <c r="AC262" t="s">
        <v>35</v>
      </c>
      <c r="AD262">
        <v>20170124</v>
      </c>
      <c r="AF262" t="str">
        <f>IFERROR(VLOOKUP(RIGHT(TblFeedFile1[[#This Row],[Leave Type ]],6),LkupPayType[],2,FALSE),"TBD")</f>
        <v>TBD</v>
      </c>
      <c r="AG262" t="str">
        <f>IFERROR(VLOOKUP(TblFeedFile1[[#This Row],[ Report Number ]],LkupPayrollCycle[],2,FALSE),"TBD")</f>
        <v>Bi-Weekly</v>
      </c>
      <c r="AH262" t="str">
        <f>IF(TblFeedFile1[[#This Row],[Return to Work Date ]]="","","Y")</f>
        <v/>
      </c>
    </row>
    <row r="263" spans="1:34" x14ac:dyDescent="0.25">
      <c r="A263" t="s">
        <v>29</v>
      </c>
      <c r="B263">
        <v>314304</v>
      </c>
      <c r="C263">
        <v>21154159</v>
      </c>
      <c r="D263" s="1" t="s">
        <v>414</v>
      </c>
      <c r="E263" t="s">
        <v>415</v>
      </c>
      <c r="F263" t="s">
        <v>416</v>
      </c>
      <c r="G263">
        <v>20160705</v>
      </c>
      <c r="H263">
        <v>20170103</v>
      </c>
      <c r="I263" t="s">
        <v>36</v>
      </c>
      <c r="L263" t="s">
        <v>34</v>
      </c>
      <c r="M263" t="s">
        <v>34</v>
      </c>
      <c r="N263" t="s">
        <v>35</v>
      </c>
      <c r="O263" t="s">
        <v>35</v>
      </c>
      <c r="P263" t="s">
        <v>35</v>
      </c>
      <c r="Q263" t="s">
        <v>35</v>
      </c>
      <c r="R263" t="s">
        <v>35</v>
      </c>
      <c r="S263" t="s">
        <v>34</v>
      </c>
      <c r="AC263" t="s">
        <v>35</v>
      </c>
      <c r="AD263">
        <v>20170124</v>
      </c>
      <c r="AF263" t="str">
        <f>IFERROR(VLOOKUP(RIGHT(TblFeedFile1[[#This Row],[Leave Type ]],6),LkupPayType[],2,FALSE),"TBD")</f>
        <v>TBD</v>
      </c>
      <c r="AG263" t="str">
        <f>IFERROR(VLOOKUP(TblFeedFile1[[#This Row],[ Report Number ]],LkupPayrollCycle[],2,FALSE),"TBD")</f>
        <v>Bi-Weekly</v>
      </c>
      <c r="AH263" t="str">
        <f>IF(TblFeedFile1[[#This Row],[Return to Work Date ]]="","","Y")</f>
        <v/>
      </c>
    </row>
    <row r="264" spans="1:34" x14ac:dyDescent="0.25">
      <c r="A264" t="s">
        <v>37</v>
      </c>
      <c r="B264">
        <v>314304</v>
      </c>
      <c r="C264">
        <v>21154159</v>
      </c>
      <c r="D264" s="1" t="s">
        <v>414</v>
      </c>
      <c r="E264" t="s">
        <v>415</v>
      </c>
      <c r="F264" t="s">
        <v>416</v>
      </c>
      <c r="G264">
        <v>20160705</v>
      </c>
      <c r="H264">
        <v>20170403</v>
      </c>
      <c r="I264" t="s">
        <v>36</v>
      </c>
      <c r="L264" t="s">
        <v>34</v>
      </c>
      <c r="M264" t="s">
        <v>34</v>
      </c>
      <c r="N264" t="s">
        <v>35</v>
      </c>
      <c r="O264" t="s">
        <v>35</v>
      </c>
      <c r="P264" t="s">
        <v>35</v>
      </c>
      <c r="Q264" t="s">
        <v>35</v>
      </c>
      <c r="R264" t="s">
        <v>35</v>
      </c>
      <c r="S264" t="s">
        <v>34</v>
      </c>
      <c r="AC264" t="s">
        <v>35</v>
      </c>
      <c r="AD264">
        <v>20170124</v>
      </c>
      <c r="AF264" t="str">
        <f>IFERROR(VLOOKUP(RIGHT(TblFeedFile1[[#This Row],[Leave Type ]],6),LkupPayType[],2,FALSE),"TBD")</f>
        <v>TBD</v>
      </c>
      <c r="AG264" t="str">
        <f>IFERROR(VLOOKUP(TblFeedFile1[[#This Row],[ Report Number ]],LkupPayrollCycle[],2,FALSE),"TBD")</f>
        <v>Bi-Weekly</v>
      </c>
      <c r="AH264" t="str">
        <f>IF(TblFeedFile1[[#This Row],[Return to Work Date ]]="","","Y")</f>
        <v/>
      </c>
    </row>
    <row r="265" spans="1:34" x14ac:dyDescent="0.25">
      <c r="A265" t="s">
        <v>29</v>
      </c>
      <c r="B265">
        <v>314304</v>
      </c>
      <c r="C265">
        <v>21160364</v>
      </c>
      <c r="D265" s="1" t="s">
        <v>417</v>
      </c>
      <c r="E265" t="s">
        <v>418</v>
      </c>
      <c r="F265" t="s">
        <v>419</v>
      </c>
      <c r="G265">
        <v>20161212</v>
      </c>
      <c r="H265">
        <v>20170313</v>
      </c>
      <c r="I265" t="s">
        <v>185</v>
      </c>
      <c r="L265" t="s">
        <v>34</v>
      </c>
      <c r="M265" t="s">
        <v>34</v>
      </c>
      <c r="N265" t="s">
        <v>35</v>
      </c>
      <c r="O265" t="s">
        <v>35</v>
      </c>
      <c r="P265" t="s">
        <v>35</v>
      </c>
      <c r="Q265" t="s">
        <v>35</v>
      </c>
      <c r="R265" t="s">
        <v>35</v>
      </c>
      <c r="S265" t="s">
        <v>34</v>
      </c>
      <c r="AC265" t="s">
        <v>35</v>
      </c>
      <c r="AD265">
        <v>20170124</v>
      </c>
      <c r="AF265" t="str">
        <f>IFERROR(VLOOKUP(RIGHT(TblFeedFile1[[#This Row],[Leave Type ]],6),LkupPayType[],2,FALSE),"TBD")</f>
        <v>TBD</v>
      </c>
      <c r="AG265" t="str">
        <f>IFERROR(VLOOKUP(TblFeedFile1[[#This Row],[ Report Number ]],LkupPayrollCycle[],2,FALSE),"TBD")</f>
        <v>Bi-Weekly</v>
      </c>
      <c r="AH265" t="str">
        <f>IF(TblFeedFile1[[#This Row],[Return to Work Date ]]="","","Y")</f>
        <v/>
      </c>
    </row>
    <row r="266" spans="1:34" x14ac:dyDescent="0.25">
      <c r="A266" t="s">
        <v>29</v>
      </c>
      <c r="B266">
        <v>314304</v>
      </c>
      <c r="C266">
        <v>21178219</v>
      </c>
      <c r="D266" s="1" t="s">
        <v>420</v>
      </c>
      <c r="E266" t="s">
        <v>421</v>
      </c>
      <c r="F266" t="s">
        <v>422</v>
      </c>
      <c r="G266">
        <v>20170106</v>
      </c>
      <c r="H266">
        <v>20170203</v>
      </c>
      <c r="I266" t="s">
        <v>423</v>
      </c>
      <c r="L266" t="s">
        <v>34</v>
      </c>
      <c r="M266" t="s">
        <v>34</v>
      </c>
      <c r="N266" t="s">
        <v>35</v>
      </c>
      <c r="O266" t="s">
        <v>35</v>
      </c>
      <c r="P266" t="s">
        <v>35</v>
      </c>
      <c r="Q266" t="s">
        <v>35</v>
      </c>
      <c r="R266" t="s">
        <v>35</v>
      </c>
      <c r="S266" t="s">
        <v>34</v>
      </c>
      <c r="AD266">
        <v>20170124</v>
      </c>
      <c r="AF266" t="str">
        <f>IFERROR(VLOOKUP(RIGHT(TblFeedFile1[[#This Row],[Leave Type ]],6),LkupPayType[],2,FALSE),"TBD")</f>
        <v>TBD</v>
      </c>
      <c r="AG266" t="str">
        <f>IFERROR(VLOOKUP(TblFeedFile1[[#This Row],[ Report Number ]],LkupPayrollCycle[],2,FALSE),"TBD")</f>
        <v>Bi-Weekly</v>
      </c>
      <c r="AH266" t="str">
        <f>IF(TblFeedFile1[[#This Row],[Return to Work Date ]]="","","Y")</f>
        <v/>
      </c>
    </row>
    <row r="267" spans="1:34" x14ac:dyDescent="0.25">
      <c r="A267" t="s">
        <v>37</v>
      </c>
      <c r="B267">
        <v>314304</v>
      </c>
      <c r="C267">
        <v>21178219</v>
      </c>
      <c r="D267" s="1" t="s">
        <v>420</v>
      </c>
      <c r="E267" t="s">
        <v>421</v>
      </c>
      <c r="F267" t="s">
        <v>422</v>
      </c>
      <c r="G267">
        <v>20170106</v>
      </c>
      <c r="H267">
        <v>20170205</v>
      </c>
      <c r="I267" t="s">
        <v>423</v>
      </c>
      <c r="L267" t="s">
        <v>34</v>
      </c>
      <c r="M267" t="s">
        <v>34</v>
      </c>
      <c r="N267" t="s">
        <v>35</v>
      </c>
      <c r="O267" t="s">
        <v>35</v>
      </c>
      <c r="P267" t="s">
        <v>35</v>
      </c>
      <c r="Q267" t="s">
        <v>35</v>
      </c>
      <c r="R267" t="s">
        <v>35</v>
      </c>
      <c r="S267" t="s">
        <v>34</v>
      </c>
      <c r="AD267">
        <v>20170124</v>
      </c>
      <c r="AF267" t="str">
        <f>IFERROR(VLOOKUP(RIGHT(TblFeedFile1[[#This Row],[Leave Type ]],6),LkupPayType[],2,FALSE),"TBD")</f>
        <v>TBD</v>
      </c>
      <c r="AG267" t="str">
        <f>IFERROR(VLOOKUP(TblFeedFile1[[#This Row],[ Report Number ]],LkupPayrollCycle[],2,FALSE),"TBD")</f>
        <v>Bi-Weekly</v>
      </c>
      <c r="AH267" t="str">
        <f>IF(TblFeedFile1[[#This Row],[Return to Work Date ]]="","","Y")</f>
        <v/>
      </c>
    </row>
    <row r="268" spans="1:34" x14ac:dyDescent="0.25">
      <c r="A268" t="s">
        <v>29</v>
      </c>
      <c r="B268">
        <v>314304</v>
      </c>
      <c r="C268">
        <v>21182693</v>
      </c>
      <c r="D268" s="1" t="s">
        <v>424</v>
      </c>
      <c r="E268" t="s">
        <v>425</v>
      </c>
      <c r="F268" t="s">
        <v>426</v>
      </c>
      <c r="G268">
        <v>20170117</v>
      </c>
      <c r="H268">
        <v>20170117</v>
      </c>
      <c r="I268" t="s">
        <v>33</v>
      </c>
      <c r="L268" t="s">
        <v>34</v>
      </c>
      <c r="M268" t="s">
        <v>34</v>
      </c>
      <c r="N268" t="s">
        <v>35</v>
      </c>
      <c r="O268" t="s">
        <v>35</v>
      </c>
      <c r="P268" t="s">
        <v>35</v>
      </c>
      <c r="Q268" t="s">
        <v>35</v>
      </c>
      <c r="R268" t="s">
        <v>35</v>
      </c>
      <c r="S268" t="s">
        <v>34</v>
      </c>
      <c r="AC268" t="s">
        <v>35</v>
      </c>
      <c r="AD268">
        <v>20170124</v>
      </c>
      <c r="AF268" t="str">
        <f>IFERROR(VLOOKUP(RIGHT(TblFeedFile1[[#This Row],[Leave Type ]],6),LkupPayType[],2,FALSE),"TBD")</f>
        <v>TBD</v>
      </c>
      <c r="AG268" t="str">
        <f>IFERROR(VLOOKUP(TblFeedFile1[[#This Row],[ Report Number ]],LkupPayrollCycle[],2,FALSE),"TBD")</f>
        <v>Bi-Weekly</v>
      </c>
      <c r="AH268" t="str">
        <f>IF(TblFeedFile1[[#This Row],[Return to Work Date ]]="","","Y")</f>
        <v/>
      </c>
    </row>
    <row r="269" spans="1:34" x14ac:dyDescent="0.25">
      <c r="A269" t="s">
        <v>29</v>
      </c>
      <c r="B269">
        <v>314304</v>
      </c>
      <c r="C269">
        <v>21182693</v>
      </c>
      <c r="D269" s="1" t="s">
        <v>424</v>
      </c>
      <c r="E269" t="s">
        <v>425</v>
      </c>
      <c r="F269" t="s">
        <v>426</v>
      </c>
      <c r="G269">
        <v>20161112</v>
      </c>
      <c r="H269">
        <v>20170116</v>
      </c>
      <c r="I269" t="s">
        <v>185</v>
      </c>
      <c r="L269" t="s">
        <v>34</v>
      </c>
      <c r="M269" t="s">
        <v>34</v>
      </c>
      <c r="N269" t="s">
        <v>35</v>
      </c>
      <c r="O269" t="s">
        <v>35</v>
      </c>
      <c r="P269" t="s">
        <v>35</v>
      </c>
      <c r="Q269" t="s">
        <v>35</v>
      </c>
      <c r="R269" t="s">
        <v>35</v>
      </c>
      <c r="S269" t="s">
        <v>34</v>
      </c>
      <c r="AC269" t="s">
        <v>35</v>
      </c>
      <c r="AD269">
        <v>20170124</v>
      </c>
      <c r="AF269" t="str">
        <f>IFERROR(VLOOKUP(RIGHT(TblFeedFile1[[#This Row],[Leave Type ]],6),LkupPayType[],2,FALSE),"TBD")</f>
        <v>TBD</v>
      </c>
      <c r="AG269" t="str">
        <f>IFERROR(VLOOKUP(TblFeedFile1[[#This Row],[ Report Number ]],LkupPayrollCycle[],2,FALSE),"TBD")</f>
        <v>Bi-Weekly</v>
      </c>
      <c r="AH269" t="str">
        <f>IF(TblFeedFile1[[#This Row],[Return to Work Date ]]="","","Y")</f>
        <v/>
      </c>
    </row>
    <row r="270" spans="1:34" x14ac:dyDescent="0.25">
      <c r="A270" t="s">
        <v>29</v>
      </c>
      <c r="B270">
        <v>314304</v>
      </c>
      <c r="C270">
        <v>21182693</v>
      </c>
      <c r="D270" s="1" t="s">
        <v>424</v>
      </c>
      <c r="E270" t="s">
        <v>425</v>
      </c>
      <c r="F270" t="s">
        <v>426</v>
      </c>
      <c r="G270">
        <v>20161028</v>
      </c>
      <c r="H270">
        <v>20170216</v>
      </c>
      <c r="I270" t="s">
        <v>223</v>
      </c>
      <c r="L270" t="s">
        <v>34</v>
      </c>
      <c r="M270" t="s">
        <v>34</v>
      </c>
      <c r="N270" t="s">
        <v>35</v>
      </c>
      <c r="O270" t="s">
        <v>35</v>
      </c>
      <c r="P270" t="s">
        <v>35</v>
      </c>
      <c r="Q270" t="s">
        <v>35</v>
      </c>
      <c r="R270" t="s">
        <v>35</v>
      </c>
      <c r="S270" t="s">
        <v>34</v>
      </c>
      <c r="AC270" t="s">
        <v>35</v>
      </c>
      <c r="AD270">
        <v>20170124</v>
      </c>
      <c r="AF270" t="str">
        <f>IFERROR(VLOOKUP(RIGHT(TblFeedFile1[[#This Row],[Leave Type ]],6),LkupPayType[],2,FALSE),"TBD")</f>
        <v>TBD</v>
      </c>
      <c r="AG270" t="str">
        <f>IFERROR(VLOOKUP(TblFeedFile1[[#This Row],[ Report Number ]],LkupPayrollCycle[],2,FALSE),"TBD")</f>
        <v>Bi-Weekly</v>
      </c>
      <c r="AH270" t="str">
        <f>IF(TblFeedFile1[[#This Row],[Return to Work Date ]]="","","Y")</f>
        <v/>
      </c>
    </row>
    <row r="271" spans="1:34" x14ac:dyDescent="0.25">
      <c r="A271" t="s">
        <v>37</v>
      </c>
      <c r="B271">
        <v>314304</v>
      </c>
      <c r="C271">
        <v>21182693</v>
      </c>
      <c r="D271" s="1" t="s">
        <v>424</v>
      </c>
      <c r="E271" t="s">
        <v>425</v>
      </c>
      <c r="F271" t="s">
        <v>426</v>
      </c>
      <c r="G271">
        <v>20161028</v>
      </c>
      <c r="H271">
        <v>20170116</v>
      </c>
      <c r="I271" t="s">
        <v>223</v>
      </c>
      <c r="L271" t="s">
        <v>34</v>
      </c>
      <c r="M271" t="s">
        <v>34</v>
      </c>
      <c r="N271" t="s">
        <v>35</v>
      </c>
      <c r="O271" t="s">
        <v>35</v>
      </c>
      <c r="P271" t="s">
        <v>35</v>
      </c>
      <c r="Q271" t="s">
        <v>35</v>
      </c>
      <c r="R271" t="s">
        <v>35</v>
      </c>
      <c r="S271" t="s">
        <v>34</v>
      </c>
      <c r="T271">
        <v>20170117</v>
      </c>
      <c r="AC271" t="s">
        <v>35</v>
      </c>
      <c r="AD271">
        <v>20170124</v>
      </c>
      <c r="AF271" t="str">
        <f>IFERROR(VLOOKUP(RIGHT(TblFeedFile1[[#This Row],[Leave Type ]],6),LkupPayType[],2,FALSE),"TBD")</f>
        <v>TBD</v>
      </c>
      <c r="AG271" t="str">
        <f>IFERROR(VLOOKUP(TblFeedFile1[[#This Row],[ Report Number ]],LkupPayrollCycle[],2,FALSE),"TBD")</f>
        <v>Bi-Weekly</v>
      </c>
      <c r="AH271" t="str">
        <f>IF(TblFeedFile1[[#This Row],[Return to Work Date ]]="","","Y")</f>
        <v>Y</v>
      </c>
    </row>
    <row r="272" spans="1:34" x14ac:dyDescent="0.25">
      <c r="A272" t="s">
        <v>29</v>
      </c>
      <c r="B272">
        <v>314304</v>
      </c>
      <c r="C272">
        <v>21244980</v>
      </c>
      <c r="D272" s="1" t="s">
        <v>427</v>
      </c>
      <c r="E272" t="s">
        <v>428</v>
      </c>
      <c r="F272" t="s">
        <v>429</v>
      </c>
      <c r="G272">
        <v>20170117</v>
      </c>
      <c r="H272">
        <v>20170117</v>
      </c>
      <c r="I272" t="s">
        <v>33</v>
      </c>
      <c r="L272" t="s">
        <v>34</v>
      </c>
      <c r="M272" t="s">
        <v>34</v>
      </c>
      <c r="N272" t="s">
        <v>35</v>
      </c>
      <c r="O272" t="s">
        <v>35</v>
      </c>
      <c r="P272" t="s">
        <v>35</v>
      </c>
      <c r="Q272" t="s">
        <v>35</v>
      </c>
      <c r="R272" t="s">
        <v>35</v>
      </c>
      <c r="S272" t="s">
        <v>34</v>
      </c>
      <c r="AD272">
        <v>20170124</v>
      </c>
      <c r="AF272" t="str">
        <f>IFERROR(VLOOKUP(RIGHT(TblFeedFile1[[#This Row],[Leave Type ]],6),LkupPayType[],2,FALSE),"TBD")</f>
        <v>TBD</v>
      </c>
      <c r="AG272" t="str">
        <f>IFERROR(VLOOKUP(TblFeedFile1[[#This Row],[ Report Number ]],LkupPayrollCycle[],2,FALSE),"TBD")</f>
        <v>Bi-Weekly</v>
      </c>
      <c r="AH272" t="str">
        <f>IF(TblFeedFile1[[#This Row],[Return to Work Date ]]="","","Y")</f>
        <v/>
      </c>
    </row>
    <row r="273" spans="1:34" x14ac:dyDescent="0.25">
      <c r="A273" t="s">
        <v>29</v>
      </c>
      <c r="B273">
        <v>314304</v>
      </c>
      <c r="C273">
        <v>21244980</v>
      </c>
      <c r="D273" s="1">
        <v>531701138803</v>
      </c>
      <c r="E273" t="s">
        <v>428</v>
      </c>
      <c r="F273" t="s">
        <v>429</v>
      </c>
      <c r="G273">
        <v>20170112</v>
      </c>
      <c r="H273">
        <v>20170202</v>
      </c>
      <c r="I273" t="s">
        <v>40</v>
      </c>
      <c r="L273" t="s">
        <v>34</v>
      </c>
      <c r="M273" t="s">
        <v>34</v>
      </c>
      <c r="N273" t="s">
        <v>35</v>
      </c>
      <c r="O273" t="s">
        <v>35</v>
      </c>
      <c r="P273" t="s">
        <v>35</v>
      </c>
      <c r="Q273" t="s">
        <v>35</v>
      </c>
      <c r="R273" t="s">
        <v>35</v>
      </c>
      <c r="S273" t="s">
        <v>34</v>
      </c>
      <c r="AD273">
        <v>20170124</v>
      </c>
      <c r="AF273" t="str">
        <f>IFERROR(VLOOKUP(RIGHT(TblFeedFile1[[#This Row],[Leave Type ]],6),LkupPayType[],2,FALSE),"TBD")</f>
        <v>TBD</v>
      </c>
      <c r="AG273" t="str">
        <f>IFERROR(VLOOKUP(TblFeedFile1[[#This Row],[ Report Number ]],LkupPayrollCycle[],2,FALSE),"TBD")</f>
        <v>Bi-Weekly</v>
      </c>
      <c r="AH273" t="str">
        <f>IF(TblFeedFile1[[#This Row],[Return to Work Date ]]="","","Y")</f>
        <v/>
      </c>
    </row>
    <row r="274" spans="1:34" x14ac:dyDescent="0.25">
      <c r="A274" t="s">
        <v>37</v>
      </c>
      <c r="B274">
        <v>314304</v>
      </c>
      <c r="C274">
        <v>21244980</v>
      </c>
      <c r="D274" s="1">
        <v>531701138803</v>
      </c>
      <c r="E274" t="s">
        <v>428</v>
      </c>
      <c r="F274" t="s">
        <v>429</v>
      </c>
      <c r="G274">
        <v>20170112</v>
      </c>
      <c r="H274">
        <v>20170123</v>
      </c>
      <c r="I274" t="s">
        <v>40</v>
      </c>
      <c r="L274" t="s">
        <v>34</v>
      </c>
      <c r="M274" t="s">
        <v>34</v>
      </c>
      <c r="N274" t="s">
        <v>35</v>
      </c>
      <c r="O274" t="s">
        <v>35</v>
      </c>
      <c r="P274" t="s">
        <v>35</v>
      </c>
      <c r="Q274" t="s">
        <v>35</v>
      </c>
      <c r="R274" t="s">
        <v>35</v>
      </c>
      <c r="S274" t="s">
        <v>34</v>
      </c>
      <c r="AD274">
        <v>20170124</v>
      </c>
      <c r="AF274" t="str">
        <f>IFERROR(VLOOKUP(RIGHT(TblFeedFile1[[#This Row],[Leave Type ]],6),LkupPayType[],2,FALSE),"TBD")</f>
        <v>TBD</v>
      </c>
      <c r="AG274" t="str">
        <f>IFERROR(VLOOKUP(TblFeedFile1[[#This Row],[ Report Number ]],LkupPayrollCycle[],2,FALSE),"TBD")</f>
        <v>Bi-Weekly</v>
      </c>
      <c r="AH274" t="str">
        <f>IF(TblFeedFile1[[#This Row],[Return to Work Date ]]="","","Y")</f>
        <v/>
      </c>
    </row>
    <row r="275" spans="1:34" x14ac:dyDescent="0.25">
      <c r="A275" t="s">
        <v>37</v>
      </c>
      <c r="B275">
        <v>314304</v>
      </c>
      <c r="C275">
        <v>21244980</v>
      </c>
      <c r="D275" s="1" t="s">
        <v>427</v>
      </c>
      <c r="E275" t="s">
        <v>428</v>
      </c>
      <c r="F275" t="s">
        <v>429</v>
      </c>
      <c r="G275">
        <v>20170117</v>
      </c>
      <c r="H275">
        <v>20170117</v>
      </c>
      <c r="I275" t="s">
        <v>33</v>
      </c>
      <c r="L275" t="s">
        <v>34</v>
      </c>
      <c r="M275" t="s">
        <v>34</v>
      </c>
      <c r="N275" t="s">
        <v>35</v>
      </c>
      <c r="O275" t="s">
        <v>35</v>
      </c>
      <c r="P275" t="s">
        <v>35</v>
      </c>
      <c r="Q275" t="s">
        <v>35</v>
      </c>
      <c r="R275" t="s">
        <v>35</v>
      </c>
      <c r="S275" t="s">
        <v>34</v>
      </c>
      <c r="AD275">
        <v>20170124</v>
      </c>
      <c r="AF275" t="str">
        <f>IFERROR(VLOOKUP(RIGHT(TblFeedFile1[[#This Row],[Leave Type ]],6),LkupPayType[],2,FALSE),"TBD")</f>
        <v>TBD</v>
      </c>
      <c r="AG275" t="str">
        <f>IFERROR(VLOOKUP(TblFeedFile1[[#This Row],[ Report Number ]],LkupPayrollCycle[],2,FALSE),"TBD")</f>
        <v>Bi-Weekly</v>
      </c>
      <c r="AH275" t="str">
        <f>IF(TblFeedFile1[[#This Row],[Return to Work Date ]]="","","Y")</f>
        <v/>
      </c>
    </row>
    <row r="276" spans="1:34" x14ac:dyDescent="0.25">
      <c r="A276" t="s">
        <v>29</v>
      </c>
      <c r="B276">
        <v>314304</v>
      </c>
      <c r="C276">
        <v>21281440</v>
      </c>
      <c r="D276" s="1">
        <v>531701098793</v>
      </c>
      <c r="E276" t="s">
        <v>430</v>
      </c>
      <c r="F276" t="s">
        <v>431</v>
      </c>
      <c r="G276">
        <v>20170112</v>
      </c>
      <c r="H276">
        <v>20170228</v>
      </c>
      <c r="I276" t="s">
        <v>40</v>
      </c>
      <c r="L276" t="s">
        <v>34</v>
      </c>
      <c r="M276" t="s">
        <v>34</v>
      </c>
      <c r="N276" t="s">
        <v>35</v>
      </c>
      <c r="O276" t="s">
        <v>35</v>
      </c>
      <c r="P276" t="s">
        <v>35</v>
      </c>
      <c r="Q276" t="s">
        <v>35</v>
      </c>
      <c r="R276" t="s">
        <v>35</v>
      </c>
      <c r="S276" t="s">
        <v>34</v>
      </c>
      <c r="AD276">
        <v>20170124</v>
      </c>
      <c r="AF276" t="str">
        <f>IFERROR(VLOOKUP(RIGHT(TblFeedFile1[[#This Row],[Leave Type ]],6),LkupPayType[],2,FALSE),"TBD")</f>
        <v>TBD</v>
      </c>
      <c r="AG276" t="str">
        <f>IFERROR(VLOOKUP(TblFeedFile1[[#This Row],[ Report Number ]],LkupPayrollCycle[],2,FALSE),"TBD")</f>
        <v>Bi-Weekly</v>
      </c>
      <c r="AH276" t="str">
        <f>IF(TblFeedFile1[[#This Row],[Return to Work Date ]]="","","Y")</f>
        <v/>
      </c>
    </row>
    <row r="277" spans="1:34" x14ac:dyDescent="0.25">
      <c r="A277" t="s">
        <v>37</v>
      </c>
      <c r="B277">
        <v>314304</v>
      </c>
      <c r="C277">
        <v>21281440</v>
      </c>
      <c r="D277" s="1">
        <v>531701098793</v>
      </c>
      <c r="E277" t="s">
        <v>430</v>
      </c>
      <c r="F277" t="s">
        <v>431</v>
      </c>
      <c r="G277">
        <v>20170112</v>
      </c>
      <c r="H277">
        <v>20170126</v>
      </c>
      <c r="I277" t="s">
        <v>40</v>
      </c>
      <c r="L277" t="s">
        <v>34</v>
      </c>
      <c r="M277" t="s">
        <v>34</v>
      </c>
      <c r="N277" t="s">
        <v>35</v>
      </c>
      <c r="O277" t="s">
        <v>35</v>
      </c>
      <c r="P277" t="s">
        <v>35</v>
      </c>
      <c r="Q277" t="s">
        <v>35</v>
      </c>
      <c r="R277" t="s">
        <v>35</v>
      </c>
      <c r="S277" t="s">
        <v>34</v>
      </c>
      <c r="AD277">
        <v>20170124</v>
      </c>
      <c r="AF277" t="str">
        <f>IFERROR(VLOOKUP(RIGHT(TblFeedFile1[[#This Row],[Leave Type ]],6),LkupPayType[],2,FALSE),"TBD")</f>
        <v>TBD</v>
      </c>
      <c r="AG277" t="str">
        <f>IFERROR(VLOOKUP(TblFeedFile1[[#This Row],[ Report Number ]],LkupPayrollCycle[],2,FALSE),"TBD")</f>
        <v>Bi-Weekly</v>
      </c>
      <c r="AH277" t="str">
        <f>IF(TblFeedFile1[[#This Row],[Return to Work Date ]]="","","Y")</f>
        <v/>
      </c>
    </row>
    <row r="278" spans="1:34" x14ac:dyDescent="0.25">
      <c r="A278" t="s">
        <v>37</v>
      </c>
      <c r="B278">
        <v>314304</v>
      </c>
      <c r="C278">
        <v>21281440</v>
      </c>
      <c r="D278" s="1">
        <v>531701098793</v>
      </c>
      <c r="E278" t="s">
        <v>430</v>
      </c>
      <c r="F278" t="s">
        <v>431</v>
      </c>
      <c r="G278">
        <v>20170124</v>
      </c>
      <c r="H278">
        <v>20170126</v>
      </c>
      <c r="I278" t="s">
        <v>432</v>
      </c>
      <c r="L278" t="s">
        <v>34</v>
      </c>
      <c r="M278" t="s">
        <v>34</v>
      </c>
      <c r="N278" t="s">
        <v>35</v>
      </c>
      <c r="O278" t="s">
        <v>35</v>
      </c>
      <c r="P278" t="s">
        <v>35</v>
      </c>
      <c r="Q278" t="s">
        <v>35</v>
      </c>
      <c r="R278" t="s">
        <v>35</v>
      </c>
      <c r="S278" t="s">
        <v>34</v>
      </c>
      <c r="AD278">
        <v>20170124</v>
      </c>
      <c r="AF278" t="str">
        <f>IFERROR(VLOOKUP(RIGHT(TblFeedFile1[[#This Row],[Leave Type ]],6),LkupPayType[],2,FALSE),"TBD")</f>
        <v>TBD</v>
      </c>
      <c r="AG278" t="str">
        <f>IFERROR(VLOOKUP(TblFeedFile1[[#This Row],[ Report Number ]],LkupPayrollCycle[],2,FALSE),"TBD")</f>
        <v>Bi-Weekly</v>
      </c>
      <c r="AH278" t="str">
        <f>IF(TblFeedFile1[[#This Row],[Return to Work Date ]]="","","Y")</f>
        <v/>
      </c>
    </row>
    <row r="279" spans="1:34" x14ac:dyDescent="0.25">
      <c r="A279" t="s">
        <v>37</v>
      </c>
      <c r="B279">
        <v>314304</v>
      </c>
      <c r="C279">
        <v>21294765</v>
      </c>
      <c r="D279" s="1" t="s">
        <v>433</v>
      </c>
      <c r="E279" t="s">
        <v>434</v>
      </c>
      <c r="F279" t="s">
        <v>435</v>
      </c>
      <c r="G279">
        <v>20170118</v>
      </c>
      <c r="H279">
        <v>20170228</v>
      </c>
      <c r="I279" t="s">
        <v>78</v>
      </c>
      <c r="K279" t="s">
        <v>79</v>
      </c>
      <c r="L279" t="s">
        <v>35</v>
      </c>
      <c r="AD279">
        <v>20170124</v>
      </c>
      <c r="AF279" t="str">
        <f>IFERROR(VLOOKUP(RIGHT(TblFeedFile1[[#This Row],[Leave Type ]],6),LkupPayType[],2,FALSE),"TBD")</f>
        <v>TBD</v>
      </c>
      <c r="AG279" t="str">
        <f>IFERROR(VLOOKUP(TblFeedFile1[[#This Row],[ Report Number ]],LkupPayrollCycle[],2,FALSE),"TBD")</f>
        <v>Bi-Weekly</v>
      </c>
      <c r="AH279" t="str">
        <f>IF(TblFeedFile1[[#This Row],[Return to Work Date ]]="","","Y")</f>
        <v/>
      </c>
    </row>
    <row r="280" spans="1:34" x14ac:dyDescent="0.25">
      <c r="A280" t="s">
        <v>37</v>
      </c>
      <c r="B280">
        <v>314304</v>
      </c>
      <c r="C280">
        <v>21294765</v>
      </c>
      <c r="D280" s="1">
        <v>501701248560</v>
      </c>
      <c r="E280" t="s">
        <v>434</v>
      </c>
      <c r="F280" t="s">
        <v>435</v>
      </c>
      <c r="G280">
        <v>20170118</v>
      </c>
      <c r="I280" t="s">
        <v>53</v>
      </c>
      <c r="L280" t="s">
        <v>35</v>
      </c>
      <c r="AD280">
        <v>20170124</v>
      </c>
      <c r="AF280" t="str">
        <f>IFERROR(VLOOKUP(RIGHT(TblFeedFile1[[#This Row],[Leave Type ]],6),LkupPayType[],2,FALSE),"TBD")</f>
        <v>TBD</v>
      </c>
      <c r="AG280" t="str">
        <f>IFERROR(VLOOKUP(TblFeedFile1[[#This Row],[ Report Number ]],LkupPayrollCycle[],2,FALSE),"TBD")</f>
        <v>Bi-Weekly</v>
      </c>
      <c r="AH280" t="str">
        <f>IF(TblFeedFile1[[#This Row],[Return to Work Date ]]="","","Y")</f>
        <v/>
      </c>
    </row>
    <row r="281" spans="1:34" x14ac:dyDescent="0.25">
      <c r="A281" t="s">
        <v>37</v>
      </c>
      <c r="B281">
        <v>314304</v>
      </c>
      <c r="C281">
        <v>21300097</v>
      </c>
      <c r="D281" s="1">
        <v>571701238357</v>
      </c>
      <c r="E281" t="s">
        <v>436</v>
      </c>
      <c r="F281" t="s">
        <v>437</v>
      </c>
      <c r="G281">
        <v>20170114</v>
      </c>
      <c r="I281" t="s">
        <v>53</v>
      </c>
      <c r="L281" t="s">
        <v>34</v>
      </c>
      <c r="M281" t="s">
        <v>34</v>
      </c>
      <c r="N281" t="s">
        <v>35</v>
      </c>
      <c r="O281" t="s">
        <v>35</v>
      </c>
      <c r="P281" t="s">
        <v>35</v>
      </c>
      <c r="Q281" t="s">
        <v>35</v>
      </c>
      <c r="R281" t="s">
        <v>35</v>
      </c>
      <c r="S281" t="s">
        <v>34</v>
      </c>
      <c r="AD281">
        <v>20170124</v>
      </c>
      <c r="AF281" t="str">
        <f>IFERROR(VLOOKUP(RIGHT(TblFeedFile1[[#This Row],[Leave Type ]],6),LkupPayType[],2,FALSE),"TBD")</f>
        <v>TBD</v>
      </c>
      <c r="AG281" t="str">
        <f>IFERROR(VLOOKUP(TblFeedFile1[[#This Row],[ Report Number ]],LkupPayrollCycle[],2,FALSE),"TBD")</f>
        <v>Bi-Weekly</v>
      </c>
      <c r="AH281" t="str">
        <f>IF(TblFeedFile1[[#This Row],[Return to Work Date ]]="","","Y")</f>
        <v/>
      </c>
    </row>
    <row r="282" spans="1:34" x14ac:dyDescent="0.25">
      <c r="A282" t="s">
        <v>37</v>
      </c>
      <c r="B282">
        <v>314304</v>
      </c>
      <c r="C282">
        <v>21300097</v>
      </c>
      <c r="D282" s="1" t="s">
        <v>438</v>
      </c>
      <c r="E282" t="s">
        <v>436</v>
      </c>
      <c r="F282" t="s">
        <v>437</v>
      </c>
      <c r="G282">
        <v>20170117</v>
      </c>
      <c r="H282">
        <v>20170130</v>
      </c>
      <c r="I282" t="s">
        <v>78</v>
      </c>
      <c r="K282" t="s">
        <v>79</v>
      </c>
      <c r="L282" t="s">
        <v>34</v>
      </c>
      <c r="M282" t="s">
        <v>34</v>
      </c>
      <c r="N282" t="s">
        <v>35</v>
      </c>
      <c r="O282" t="s">
        <v>35</v>
      </c>
      <c r="P282" t="s">
        <v>35</v>
      </c>
      <c r="Q282" t="s">
        <v>35</v>
      </c>
      <c r="R282" t="s">
        <v>35</v>
      </c>
      <c r="S282" t="s">
        <v>34</v>
      </c>
      <c r="AD282">
        <v>20170124</v>
      </c>
      <c r="AF282" t="str">
        <f>IFERROR(VLOOKUP(RIGHT(TblFeedFile1[[#This Row],[Leave Type ]],6),LkupPayType[],2,FALSE),"TBD")</f>
        <v>TBD</v>
      </c>
      <c r="AG282" t="str">
        <f>IFERROR(VLOOKUP(TblFeedFile1[[#This Row],[ Report Number ]],LkupPayrollCycle[],2,FALSE),"TBD")</f>
        <v>Bi-Weekly</v>
      </c>
      <c r="AH282" t="str">
        <f>IF(TblFeedFile1[[#This Row],[Return to Work Date ]]="","","Y")</f>
        <v/>
      </c>
    </row>
    <row r="283" spans="1:34" x14ac:dyDescent="0.25">
      <c r="A283" t="s">
        <v>29</v>
      </c>
      <c r="B283">
        <v>314304</v>
      </c>
      <c r="C283">
        <v>21303916</v>
      </c>
      <c r="D283" s="1" t="s">
        <v>439</v>
      </c>
      <c r="E283" t="s">
        <v>356</v>
      </c>
      <c r="F283" t="s">
        <v>440</v>
      </c>
      <c r="G283">
        <v>20161004</v>
      </c>
      <c r="H283">
        <v>20170207</v>
      </c>
      <c r="I283" t="s">
        <v>223</v>
      </c>
      <c r="L283" t="s">
        <v>34</v>
      </c>
      <c r="M283" t="s">
        <v>34</v>
      </c>
      <c r="N283" t="s">
        <v>35</v>
      </c>
      <c r="O283" t="s">
        <v>35</v>
      </c>
      <c r="P283" t="s">
        <v>35</v>
      </c>
      <c r="Q283" t="s">
        <v>35</v>
      </c>
      <c r="R283" t="s">
        <v>35</v>
      </c>
      <c r="S283" t="s">
        <v>34</v>
      </c>
      <c r="AC283" t="s">
        <v>35</v>
      </c>
      <c r="AD283">
        <v>20170124</v>
      </c>
      <c r="AF283" t="str">
        <f>IFERROR(VLOOKUP(RIGHT(TblFeedFile1[[#This Row],[Leave Type ]],6),LkupPayType[],2,FALSE),"TBD")</f>
        <v>TBD</v>
      </c>
      <c r="AG283" t="str">
        <f>IFERROR(VLOOKUP(TblFeedFile1[[#This Row],[ Report Number ]],LkupPayrollCycle[],2,FALSE),"TBD")</f>
        <v>Bi-Weekly</v>
      </c>
      <c r="AH283" t="str">
        <f>IF(TblFeedFile1[[#This Row],[Return to Work Date ]]="","","Y")</f>
        <v/>
      </c>
    </row>
    <row r="284" spans="1:34" x14ac:dyDescent="0.25">
      <c r="A284" t="s">
        <v>37</v>
      </c>
      <c r="B284">
        <v>314304</v>
      </c>
      <c r="C284">
        <v>21303916</v>
      </c>
      <c r="D284" s="1" t="s">
        <v>439</v>
      </c>
      <c r="E284" t="s">
        <v>356</v>
      </c>
      <c r="F284" t="s">
        <v>440</v>
      </c>
      <c r="G284">
        <v>20161004</v>
      </c>
      <c r="H284">
        <v>20170123</v>
      </c>
      <c r="I284" t="s">
        <v>223</v>
      </c>
      <c r="L284" t="s">
        <v>34</v>
      </c>
      <c r="M284" t="s">
        <v>34</v>
      </c>
      <c r="N284" t="s">
        <v>35</v>
      </c>
      <c r="O284" t="s">
        <v>35</v>
      </c>
      <c r="P284" t="s">
        <v>35</v>
      </c>
      <c r="Q284" t="s">
        <v>35</v>
      </c>
      <c r="R284" t="s">
        <v>35</v>
      </c>
      <c r="S284" t="s">
        <v>34</v>
      </c>
      <c r="T284">
        <v>20170124</v>
      </c>
      <c r="AC284" t="s">
        <v>35</v>
      </c>
      <c r="AD284">
        <v>20170124</v>
      </c>
      <c r="AF284" t="str">
        <f>IFERROR(VLOOKUP(RIGHT(TblFeedFile1[[#This Row],[Leave Type ]],6),LkupPayType[],2,FALSE),"TBD")</f>
        <v>TBD</v>
      </c>
      <c r="AG284" t="str">
        <f>IFERROR(VLOOKUP(TblFeedFile1[[#This Row],[ Report Number ]],LkupPayrollCycle[],2,FALSE),"TBD")</f>
        <v>Bi-Weekly</v>
      </c>
      <c r="AH284" t="str">
        <f>IF(TblFeedFile1[[#This Row],[Return to Work Date ]]="","","Y")</f>
        <v>Y</v>
      </c>
    </row>
    <row r="285" spans="1:34" x14ac:dyDescent="0.25">
      <c r="A285" t="s">
        <v>29</v>
      </c>
      <c r="B285">
        <v>314301</v>
      </c>
      <c r="C285">
        <v>21355219</v>
      </c>
      <c r="D285" s="1" t="s">
        <v>441</v>
      </c>
      <c r="E285" t="s">
        <v>442</v>
      </c>
      <c r="F285" t="s">
        <v>443</v>
      </c>
      <c r="G285">
        <v>20170127</v>
      </c>
      <c r="H285">
        <v>20170728</v>
      </c>
      <c r="I285" t="s">
        <v>36</v>
      </c>
      <c r="L285" t="s">
        <v>34</v>
      </c>
      <c r="M285" t="s">
        <v>34</v>
      </c>
      <c r="N285" t="s">
        <v>35</v>
      </c>
      <c r="O285" t="s">
        <v>35</v>
      </c>
      <c r="P285" t="s">
        <v>35</v>
      </c>
      <c r="Q285" t="s">
        <v>35</v>
      </c>
      <c r="R285" t="s">
        <v>35</v>
      </c>
      <c r="S285" t="s">
        <v>34</v>
      </c>
      <c r="AD285">
        <v>20170124</v>
      </c>
      <c r="AF285" t="str">
        <f>IFERROR(VLOOKUP(RIGHT(TblFeedFile1[[#This Row],[Leave Type ]],6),LkupPayType[],2,FALSE),"TBD")</f>
        <v>TBD</v>
      </c>
      <c r="AG285" t="str">
        <f>IFERROR(VLOOKUP(TblFeedFile1[[#This Row],[ Report Number ]],LkupPayrollCycle[],2,FALSE),"TBD")</f>
        <v>Semi-Monthly</v>
      </c>
      <c r="AH285" t="str">
        <f>IF(TblFeedFile1[[#This Row],[Return to Work Date ]]="","","Y")</f>
        <v/>
      </c>
    </row>
    <row r="286" spans="1:34" x14ac:dyDescent="0.25">
      <c r="A286" t="s">
        <v>37</v>
      </c>
      <c r="B286">
        <v>314301</v>
      </c>
      <c r="C286">
        <v>21355219</v>
      </c>
      <c r="D286" s="1" t="s">
        <v>441</v>
      </c>
      <c r="E286" t="s">
        <v>442</v>
      </c>
      <c r="F286" t="s">
        <v>443</v>
      </c>
      <c r="G286">
        <v>20170124</v>
      </c>
      <c r="H286">
        <v>20170320</v>
      </c>
      <c r="I286" t="s">
        <v>36</v>
      </c>
      <c r="L286" t="s">
        <v>34</v>
      </c>
      <c r="M286" t="s">
        <v>34</v>
      </c>
      <c r="N286" t="s">
        <v>35</v>
      </c>
      <c r="O286" t="s">
        <v>35</v>
      </c>
      <c r="P286" t="s">
        <v>35</v>
      </c>
      <c r="Q286" t="s">
        <v>35</v>
      </c>
      <c r="R286" t="s">
        <v>35</v>
      </c>
      <c r="S286" t="s">
        <v>34</v>
      </c>
      <c r="AD286">
        <v>20170124</v>
      </c>
      <c r="AF286" t="str">
        <f>IFERROR(VLOOKUP(RIGHT(TblFeedFile1[[#This Row],[Leave Type ]],6),LkupPayType[],2,FALSE),"TBD")</f>
        <v>TBD</v>
      </c>
      <c r="AG286" t="str">
        <f>IFERROR(VLOOKUP(TblFeedFile1[[#This Row],[ Report Number ]],LkupPayrollCycle[],2,FALSE),"TBD")</f>
        <v>Semi-Monthly</v>
      </c>
      <c r="AH286" t="str">
        <f>IF(TblFeedFile1[[#This Row],[Return to Work Date ]]="","","Y")</f>
        <v/>
      </c>
    </row>
    <row r="287" spans="1:34" x14ac:dyDescent="0.25">
      <c r="A287" t="s">
        <v>37</v>
      </c>
      <c r="B287">
        <v>314301</v>
      </c>
      <c r="C287">
        <v>21362103</v>
      </c>
      <c r="D287" s="1" t="s">
        <v>444</v>
      </c>
      <c r="E287" t="s">
        <v>445</v>
      </c>
      <c r="F287" t="s">
        <v>446</v>
      </c>
      <c r="G287">
        <v>20170119</v>
      </c>
      <c r="H287">
        <v>20170302</v>
      </c>
      <c r="I287" t="s">
        <v>78</v>
      </c>
      <c r="K287" t="s">
        <v>79</v>
      </c>
      <c r="L287" t="s">
        <v>34</v>
      </c>
      <c r="M287" t="s">
        <v>34</v>
      </c>
      <c r="N287" t="s">
        <v>35</v>
      </c>
      <c r="O287" t="s">
        <v>35</v>
      </c>
      <c r="P287" t="s">
        <v>35</v>
      </c>
      <c r="Q287" t="s">
        <v>35</v>
      </c>
      <c r="R287" t="s">
        <v>35</v>
      </c>
      <c r="S287" t="s">
        <v>34</v>
      </c>
      <c r="AD287">
        <v>20170124</v>
      </c>
      <c r="AF287" t="str">
        <f>IFERROR(VLOOKUP(RIGHT(TblFeedFile1[[#This Row],[Leave Type ]],6),LkupPayType[],2,FALSE),"TBD")</f>
        <v>TBD</v>
      </c>
      <c r="AG287" t="str">
        <f>IFERROR(VLOOKUP(TblFeedFile1[[#This Row],[ Report Number ]],LkupPayrollCycle[],2,FALSE),"TBD")</f>
        <v>Semi-Monthly</v>
      </c>
      <c r="AH287" t="str">
        <f>IF(TblFeedFile1[[#This Row],[Return to Work Date ]]="","","Y")</f>
        <v/>
      </c>
    </row>
    <row r="288" spans="1:34" x14ac:dyDescent="0.25">
      <c r="A288" t="s">
        <v>37</v>
      </c>
      <c r="B288">
        <v>314301</v>
      </c>
      <c r="C288">
        <v>21362103</v>
      </c>
      <c r="D288" s="1">
        <v>511612278039</v>
      </c>
      <c r="E288" t="s">
        <v>445</v>
      </c>
      <c r="F288" t="s">
        <v>446</v>
      </c>
      <c r="G288">
        <v>20170119</v>
      </c>
      <c r="H288">
        <v>20170302</v>
      </c>
      <c r="I288" t="s">
        <v>53</v>
      </c>
      <c r="L288" t="s">
        <v>34</v>
      </c>
      <c r="M288" t="s">
        <v>34</v>
      </c>
      <c r="N288" t="s">
        <v>35</v>
      </c>
      <c r="O288" t="s">
        <v>35</v>
      </c>
      <c r="P288" t="s">
        <v>35</v>
      </c>
      <c r="Q288" t="s">
        <v>35</v>
      </c>
      <c r="R288" t="s">
        <v>35</v>
      </c>
      <c r="S288" t="s">
        <v>34</v>
      </c>
      <c r="AD288">
        <v>20170124</v>
      </c>
      <c r="AF288" t="str">
        <f>IFERROR(VLOOKUP(RIGHT(TblFeedFile1[[#This Row],[Leave Type ]],6),LkupPayType[],2,FALSE),"TBD")</f>
        <v>TBD</v>
      </c>
      <c r="AG288" t="str">
        <f>IFERROR(VLOOKUP(TblFeedFile1[[#This Row],[ Report Number ]],LkupPayrollCycle[],2,FALSE),"TBD")</f>
        <v>Semi-Monthly</v>
      </c>
      <c r="AH288" t="str">
        <f>IF(TblFeedFile1[[#This Row],[Return to Work Date ]]="","","Y")</f>
        <v/>
      </c>
    </row>
    <row r="289" spans="1:34" x14ac:dyDescent="0.25">
      <c r="A289" t="s">
        <v>29</v>
      </c>
      <c r="B289">
        <v>314305</v>
      </c>
      <c r="C289">
        <v>21379362</v>
      </c>
      <c r="D289" s="1">
        <v>511701128499</v>
      </c>
      <c r="E289" t="s">
        <v>447</v>
      </c>
      <c r="F289" t="s">
        <v>448</v>
      </c>
      <c r="G289">
        <v>20170111</v>
      </c>
      <c r="H289">
        <v>20170122</v>
      </c>
      <c r="I289" t="s">
        <v>40</v>
      </c>
      <c r="L289" t="s">
        <v>34</v>
      </c>
      <c r="M289" t="s">
        <v>34</v>
      </c>
      <c r="N289" t="s">
        <v>34</v>
      </c>
      <c r="O289" t="s">
        <v>34</v>
      </c>
      <c r="P289" t="s">
        <v>35</v>
      </c>
      <c r="Q289" t="s">
        <v>35</v>
      </c>
      <c r="R289" t="s">
        <v>35</v>
      </c>
      <c r="S289" t="s">
        <v>35</v>
      </c>
      <c r="AD289">
        <v>20170124</v>
      </c>
      <c r="AF289" t="str">
        <f>IFERROR(VLOOKUP(RIGHT(TblFeedFile1[[#This Row],[Leave Type ]],6),LkupPayType[],2,FALSE),"TBD")</f>
        <v>TBD</v>
      </c>
      <c r="AG289" t="str">
        <f>IFERROR(VLOOKUP(TblFeedFile1[[#This Row],[ Report Number ]],LkupPayrollCycle[],2,FALSE),"TBD")</f>
        <v>Bi-Weekly</v>
      </c>
      <c r="AH289" t="str">
        <f>IF(TblFeedFile1[[#This Row],[Return to Work Date ]]="","","Y")</f>
        <v/>
      </c>
    </row>
    <row r="290" spans="1:34" x14ac:dyDescent="0.25">
      <c r="A290" t="s">
        <v>29</v>
      </c>
      <c r="B290">
        <v>314305</v>
      </c>
      <c r="C290">
        <v>21379362</v>
      </c>
      <c r="D290" s="1" t="s">
        <v>449</v>
      </c>
      <c r="E290" t="s">
        <v>447</v>
      </c>
      <c r="F290" t="s">
        <v>448</v>
      </c>
      <c r="G290">
        <v>20170104</v>
      </c>
      <c r="H290">
        <v>20170122</v>
      </c>
      <c r="I290" t="s">
        <v>36</v>
      </c>
      <c r="L290" t="s">
        <v>34</v>
      </c>
      <c r="M290" t="s">
        <v>34</v>
      </c>
      <c r="N290" t="s">
        <v>34</v>
      </c>
      <c r="O290" t="s">
        <v>34</v>
      </c>
      <c r="P290" t="s">
        <v>35</v>
      </c>
      <c r="Q290" t="s">
        <v>35</v>
      </c>
      <c r="R290" t="s">
        <v>35</v>
      </c>
      <c r="S290" t="s">
        <v>35</v>
      </c>
      <c r="AD290">
        <v>20170124</v>
      </c>
      <c r="AF290" t="str">
        <f>IFERROR(VLOOKUP(RIGHT(TblFeedFile1[[#This Row],[Leave Type ]],6),LkupPayType[],2,FALSE),"TBD")</f>
        <v>TBD</v>
      </c>
      <c r="AG290" t="str">
        <f>IFERROR(VLOOKUP(TblFeedFile1[[#This Row],[ Report Number ]],LkupPayrollCycle[],2,FALSE),"TBD")</f>
        <v>Bi-Weekly</v>
      </c>
      <c r="AH290" t="str">
        <f>IF(TblFeedFile1[[#This Row],[Return to Work Date ]]="","","Y")</f>
        <v/>
      </c>
    </row>
    <row r="291" spans="1:34" x14ac:dyDescent="0.25">
      <c r="A291" t="s">
        <v>37</v>
      </c>
      <c r="B291">
        <v>314305</v>
      </c>
      <c r="C291">
        <v>21379362</v>
      </c>
      <c r="D291" s="1">
        <v>511701128499</v>
      </c>
      <c r="E291" t="s">
        <v>447</v>
      </c>
      <c r="F291" t="s">
        <v>448</v>
      </c>
      <c r="G291">
        <v>20170111</v>
      </c>
      <c r="H291">
        <v>20170122</v>
      </c>
      <c r="I291" t="s">
        <v>40</v>
      </c>
      <c r="L291" t="s">
        <v>34</v>
      </c>
      <c r="M291" t="s">
        <v>34</v>
      </c>
      <c r="N291" t="s">
        <v>35</v>
      </c>
      <c r="O291" t="s">
        <v>35</v>
      </c>
      <c r="P291" t="s">
        <v>35</v>
      </c>
      <c r="Q291" t="s">
        <v>35</v>
      </c>
      <c r="R291" t="s">
        <v>35</v>
      </c>
      <c r="S291" t="s">
        <v>34</v>
      </c>
      <c r="AD291">
        <v>20170124</v>
      </c>
      <c r="AF291" t="str">
        <f>IFERROR(VLOOKUP(RIGHT(TblFeedFile1[[#This Row],[Leave Type ]],6),LkupPayType[],2,FALSE),"TBD")</f>
        <v>TBD</v>
      </c>
      <c r="AG291" t="str">
        <f>IFERROR(VLOOKUP(TblFeedFile1[[#This Row],[ Report Number ]],LkupPayrollCycle[],2,FALSE),"TBD")</f>
        <v>Bi-Weekly</v>
      </c>
      <c r="AH291" t="str">
        <f>IF(TblFeedFile1[[#This Row],[Return to Work Date ]]="","","Y")</f>
        <v/>
      </c>
    </row>
    <row r="292" spans="1:34" x14ac:dyDescent="0.25">
      <c r="A292" t="s">
        <v>37</v>
      </c>
      <c r="B292">
        <v>314305</v>
      </c>
      <c r="C292">
        <v>21379362</v>
      </c>
      <c r="D292" s="1" t="s">
        <v>449</v>
      </c>
      <c r="E292" t="s">
        <v>447</v>
      </c>
      <c r="F292" t="s">
        <v>448</v>
      </c>
      <c r="G292">
        <v>20170123</v>
      </c>
      <c r="H292">
        <v>20170123</v>
      </c>
      <c r="I292" t="s">
        <v>33</v>
      </c>
      <c r="L292" t="s">
        <v>34</v>
      </c>
      <c r="M292" t="s">
        <v>34</v>
      </c>
      <c r="N292" t="s">
        <v>35</v>
      </c>
      <c r="O292" t="s">
        <v>35</v>
      </c>
      <c r="P292" t="s">
        <v>35</v>
      </c>
      <c r="Q292" t="s">
        <v>35</v>
      </c>
      <c r="R292" t="s">
        <v>35</v>
      </c>
      <c r="S292" t="s">
        <v>34</v>
      </c>
      <c r="AD292">
        <v>20170124</v>
      </c>
      <c r="AF292" t="str">
        <f>IFERROR(VLOOKUP(RIGHT(TblFeedFile1[[#This Row],[Leave Type ]],6),LkupPayType[],2,FALSE),"TBD")</f>
        <v>TBD</v>
      </c>
      <c r="AG292" t="str">
        <f>IFERROR(VLOOKUP(TblFeedFile1[[#This Row],[ Report Number ]],LkupPayrollCycle[],2,FALSE),"TBD")</f>
        <v>Bi-Weekly</v>
      </c>
      <c r="AH292" t="str">
        <f>IF(TblFeedFile1[[#This Row],[Return to Work Date ]]="","","Y")</f>
        <v/>
      </c>
    </row>
    <row r="293" spans="1:34" x14ac:dyDescent="0.25">
      <c r="A293" t="s">
        <v>37</v>
      </c>
      <c r="B293">
        <v>314304</v>
      </c>
      <c r="C293">
        <v>21388195</v>
      </c>
      <c r="D293" s="1" t="s">
        <v>450</v>
      </c>
      <c r="E293" t="s">
        <v>418</v>
      </c>
      <c r="F293" t="s">
        <v>451</v>
      </c>
      <c r="G293">
        <v>20161230</v>
      </c>
      <c r="H293">
        <v>20170102</v>
      </c>
      <c r="I293" t="s">
        <v>49</v>
      </c>
      <c r="L293" t="s">
        <v>34</v>
      </c>
      <c r="M293" t="s">
        <v>34</v>
      </c>
      <c r="N293" t="s">
        <v>35</v>
      </c>
      <c r="O293" t="s">
        <v>35</v>
      </c>
      <c r="P293" t="s">
        <v>35</v>
      </c>
      <c r="Q293" t="s">
        <v>35</v>
      </c>
      <c r="R293" t="s">
        <v>35</v>
      </c>
      <c r="S293" t="s">
        <v>34</v>
      </c>
      <c r="T293">
        <v>20170106</v>
      </c>
      <c r="AD293">
        <v>20170124</v>
      </c>
      <c r="AF293" t="str">
        <f>IFERROR(VLOOKUP(RIGHT(TblFeedFile1[[#This Row],[Leave Type ]],6),LkupPayType[],2,FALSE),"TBD")</f>
        <v>TBD</v>
      </c>
      <c r="AG293" t="str">
        <f>IFERROR(VLOOKUP(TblFeedFile1[[#This Row],[ Report Number ]],LkupPayrollCycle[],2,FALSE),"TBD")</f>
        <v>Bi-Weekly</v>
      </c>
      <c r="AH293" t="str">
        <f>IF(TblFeedFile1[[#This Row],[Return to Work Date ]]="","","Y")</f>
        <v>Y</v>
      </c>
    </row>
    <row r="294" spans="1:34" x14ac:dyDescent="0.25">
      <c r="A294" t="s">
        <v>37</v>
      </c>
      <c r="B294">
        <v>314304</v>
      </c>
      <c r="C294">
        <v>21388195</v>
      </c>
      <c r="D294" s="1" t="s">
        <v>452</v>
      </c>
      <c r="E294" t="s">
        <v>418</v>
      </c>
      <c r="F294" t="s">
        <v>451</v>
      </c>
      <c r="G294">
        <v>20161230</v>
      </c>
      <c r="H294">
        <v>20161230</v>
      </c>
      <c r="I294" t="s">
        <v>43</v>
      </c>
      <c r="L294" t="s">
        <v>34</v>
      </c>
      <c r="M294" t="s">
        <v>34</v>
      </c>
      <c r="N294" t="s">
        <v>35</v>
      </c>
      <c r="O294" t="s">
        <v>35</v>
      </c>
      <c r="P294" t="s">
        <v>35</v>
      </c>
      <c r="Q294" t="s">
        <v>35</v>
      </c>
      <c r="R294" t="s">
        <v>35</v>
      </c>
      <c r="S294" t="s">
        <v>34</v>
      </c>
      <c r="AD294">
        <v>20170124</v>
      </c>
      <c r="AF294" t="str">
        <f>IFERROR(VLOOKUP(RIGHT(TblFeedFile1[[#This Row],[Leave Type ]],6),LkupPayType[],2,FALSE),"TBD")</f>
        <v>TBD</v>
      </c>
      <c r="AG294" t="str">
        <f>IFERROR(VLOOKUP(TblFeedFile1[[#This Row],[ Report Number ]],LkupPayrollCycle[],2,FALSE),"TBD")</f>
        <v>Bi-Weekly</v>
      </c>
      <c r="AH294" t="str">
        <f>IF(TblFeedFile1[[#This Row],[Return to Work Date ]]="","","Y")</f>
        <v/>
      </c>
    </row>
    <row r="295" spans="1:34" x14ac:dyDescent="0.25">
      <c r="A295" t="s">
        <v>29</v>
      </c>
      <c r="B295">
        <v>314301</v>
      </c>
      <c r="C295">
        <v>21407199</v>
      </c>
      <c r="D295" s="1" t="s">
        <v>453</v>
      </c>
      <c r="E295" t="s">
        <v>454</v>
      </c>
      <c r="F295" t="s">
        <v>455</v>
      </c>
      <c r="G295">
        <v>20170117</v>
      </c>
      <c r="H295">
        <v>20170314</v>
      </c>
      <c r="I295" t="s">
        <v>78</v>
      </c>
      <c r="K295" t="s">
        <v>219</v>
      </c>
      <c r="L295" t="s">
        <v>34</v>
      </c>
      <c r="M295" t="s">
        <v>34</v>
      </c>
      <c r="N295" t="s">
        <v>35</v>
      </c>
      <c r="O295" t="s">
        <v>35</v>
      </c>
      <c r="P295" t="s">
        <v>35</v>
      </c>
      <c r="Q295" t="s">
        <v>35</v>
      </c>
      <c r="R295" t="s">
        <v>35</v>
      </c>
      <c r="S295" t="s">
        <v>34</v>
      </c>
      <c r="AD295">
        <v>20170124</v>
      </c>
      <c r="AF295" t="str">
        <f>IFERROR(VLOOKUP(RIGHT(TblFeedFile1[[#This Row],[Leave Type ]],6),LkupPayType[],2,FALSE),"TBD")</f>
        <v>TBD</v>
      </c>
      <c r="AG295" t="str">
        <f>IFERROR(VLOOKUP(TblFeedFile1[[#This Row],[ Report Number ]],LkupPayrollCycle[],2,FALSE),"TBD")</f>
        <v>Semi-Monthly</v>
      </c>
      <c r="AH295" t="str">
        <f>IF(TblFeedFile1[[#This Row],[Return to Work Date ]]="","","Y")</f>
        <v/>
      </c>
    </row>
    <row r="296" spans="1:34" x14ac:dyDescent="0.25">
      <c r="A296" t="s">
        <v>37</v>
      </c>
      <c r="B296">
        <v>314301</v>
      </c>
      <c r="C296">
        <v>21407199</v>
      </c>
      <c r="D296" s="1" t="s">
        <v>453</v>
      </c>
      <c r="E296" t="s">
        <v>454</v>
      </c>
      <c r="F296" t="s">
        <v>455</v>
      </c>
      <c r="G296">
        <v>20170117</v>
      </c>
      <c r="H296">
        <v>20170313</v>
      </c>
      <c r="I296" t="s">
        <v>155</v>
      </c>
      <c r="L296" t="s">
        <v>34</v>
      </c>
      <c r="M296" t="s">
        <v>34</v>
      </c>
      <c r="N296" t="s">
        <v>35</v>
      </c>
      <c r="O296" t="s">
        <v>35</v>
      </c>
      <c r="P296" t="s">
        <v>35</v>
      </c>
      <c r="Q296" t="s">
        <v>35</v>
      </c>
      <c r="R296" t="s">
        <v>35</v>
      </c>
      <c r="S296" t="s">
        <v>34</v>
      </c>
      <c r="AD296">
        <v>20170124</v>
      </c>
      <c r="AF296" t="str">
        <f>IFERROR(VLOOKUP(RIGHT(TblFeedFile1[[#This Row],[Leave Type ]],6),LkupPayType[],2,FALSE),"TBD")</f>
        <v>TBD</v>
      </c>
      <c r="AG296" t="str">
        <f>IFERROR(VLOOKUP(TblFeedFile1[[#This Row],[ Report Number ]],LkupPayrollCycle[],2,FALSE),"TBD")</f>
        <v>Semi-Monthly</v>
      </c>
      <c r="AH296" t="str">
        <f>IF(TblFeedFile1[[#This Row],[Return to Work Date ]]="","","Y")</f>
        <v/>
      </c>
    </row>
    <row r="297" spans="1:34" x14ac:dyDescent="0.25">
      <c r="A297" t="s">
        <v>37</v>
      </c>
      <c r="B297">
        <v>314304</v>
      </c>
      <c r="C297">
        <v>21458926</v>
      </c>
      <c r="D297" s="1">
        <v>571701248517</v>
      </c>
      <c r="E297" t="s">
        <v>80</v>
      </c>
      <c r="F297" t="s">
        <v>456</v>
      </c>
      <c r="G297">
        <v>20170119</v>
      </c>
      <c r="I297" t="s">
        <v>53</v>
      </c>
      <c r="L297" t="s">
        <v>35</v>
      </c>
      <c r="AD297">
        <v>20170124</v>
      </c>
      <c r="AF297" t="str">
        <f>IFERROR(VLOOKUP(RIGHT(TblFeedFile1[[#This Row],[Leave Type ]],6),LkupPayType[],2,FALSE),"TBD")</f>
        <v>TBD</v>
      </c>
      <c r="AG297" t="str">
        <f>IFERROR(VLOOKUP(TblFeedFile1[[#This Row],[ Report Number ]],LkupPayrollCycle[],2,FALSE),"TBD")</f>
        <v>Bi-Weekly</v>
      </c>
      <c r="AH297" t="str">
        <f>IF(TblFeedFile1[[#This Row],[Return to Work Date ]]="","","Y")</f>
        <v/>
      </c>
    </row>
    <row r="298" spans="1:34" x14ac:dyDescent="0.25">
      <c r="A298" t="s">
        <v>29</v>
      </c>
      <c r="B298">
        <v>314307</v>
      </c>
      <c r="C298">
        <v>21461304</v>
      </c>
      <c r="D298" s="1">
        <v>511701208879</v>
      </c>
      <c r="E298" t="s">
        <v>457</v>
      </c>
      <c r="F298" t="s">
        <v>458</v>
      </c>
      <c r="G298">
        <v>20170119</v>
      </c>
      <c r="I298" t="s">
        <v>53</v>
      </c>
      <c r="L298" t="s">
        <v>34</v>
      </c>
      <c r="M298" t="s">
        <v>34</v>
      </c>
      <c r="N298" t="s">
        <v>35</v>
      </c>
      <c r="O298" t="s">
        <v>35</v>
      </c>
      <c r="P298" t="s">
        <v>35</v>
      </c>
      <c r="Q298" t="s">
        <v>35</v>
      </c>
      <c r="R298" t="s">
        <v>35</v>
      </c>
      <c r="S298" t="s">
        <v>34</v>
      </c>
      <c r="AD298">
        <v>20170124</v>
      </c>
      <c r="AF298" t="str">
        <f>IFERROR(VLOOKUP(RIGHT(TblFeedFile1[[#This Row],[Leave Type ]],6),LkupPayType[],2,FALSE),"TBD")</f>
        <v>TBD</v>
      </c>
      <c r="AG298" t="str">
        <f>IFERROR(VLOOKUP(TblFeedFile1[[#This Row],[ Report Number ]],LkupPayrollCycle[],2,FALSE),"TBD")</f>
        <v>Semi-Monthly</v>
      </c>
      <c r="AH298" t="str">
        <f>IF(TblFeedFile1[[#This Row],[Return to Work Date ]]="","","Y")</f>
        <v/>
      </c>
    </row>
    <row r="299" spans="1:34" x14ac:dyDescent="0.25">
      <c r="A299" t="s">
        <v>37</v>
      </c>
      <c r="B299">
        <v>314307</v>
      </c>
      <c r="C299">
        <v>21461304</v>
      </c>
      <c r="D299" s="1">
        <v>511701208879</v>
      </c>
      <c r="E299" t="s">
        <v>457</v>
      </c>
      <c r="F299" t="s">
        <v>458</v>
      </c>
      <c r="G299">
        <v>20170119</v>
      </c>
      <c r="H299">
        <v>20180119</v>
      </c>
      <c r="I299" t="s">
        <v>155</v>
      </c>
      <c r="L299" t="s">
        <v>34</v>
      </c>
      <c r="M299" t="s">
        <v>34</v>
      </c>
      <c r="N299" t="s">
        <v>35</v>
      </c>
      <c r="O299" t="s">
        <v>35</v>
      </c>
      <c r="P299" t="s">
        <v>35</v>
      </c>
      <c r="Q299" t="s">
        <v>35</v>
      </c>
      <c r="R299" t="s">
        <v>35</v>
      </c>
      <c r="S299" t="s">
        <v>34</v>
      </c>
      <c r="AD299">
        <v>20170124</v>
      </c>
      <c r="AF299" t="str">
        <f>IFERROR(VLOOKUP(RIGHT(TblFeedFile1[[#This Row],[Leave Type ]],6),LkupPayType[],2,FALSE),"TBD")</f>
        <v>TBD</v>
      </c>
      <c r="AG299" t="str">
        <f>IFERROR(VLOOKUP(TblFeedFile1[[#This Row],[ Report Number ]],LkupPayrollCycle[],2,FALSE),"TBD")</f>
        <v>Semi-Monthly</v>
      </c>
      <c r="AH299" t="str">
        <f>IF(TblFeedFile1[[#This Row],[Return to Work Date ]]="","","Y")</f>
        <v/>
      </c>
    </row>
    <row r="300" spans="1:34" x14ac:dyDescent="0.25">
      <c r="A300" t="s">
        <v>37</v>
      </c>
      <c r="B300">
        <v>314307</v>
      </c>
      <c r="C300">
        <v>21461304</v>
      </c>
      <c r="D300" s="1">
        <v>511701208879</v>
      </c>
      <c r="E300" t="s">
        <v>457</v>
      </c>
      <c r="F300" t="s">
        <v>458</v>
      </c>
      <c r="G300">
        <v>20170126</v>
      </c>
      <c r="H300">
        <v>20180119</v>
      </c>
      <c r="I300" t="s">
        <v>459</v>
      </c>
      <c r="L300" t="s">
        <v>34</v>
      </c>
      <c r="M300" t="s">
        <v>34</v>
      </c>
      <c r="N300" t="s">
        <v>35</v>
      </c>
      <c r="O300" t="s">
        <v>35</v>
      </c>
      <c r="P300" t="s">
        <v>35</v>
      </c>
      <c r="Q300" t="s">
        <v>35</v>
      </c>
      <c r="R300" t="s">
        <v>35</v>
      </c>
      <c r="S300" t="s">
        <v>34</v>
      </c>
      <c r="AD300">
        <v>20170124</v>
      </c>
      <c r="AF300" t="str">
        <f>IFERROR(VLOOKUP(RIGHT(TblFeedFile1[[#This Row],[Leave Type ]],6),LkupPayType[],2,FALSE),"TBD")</f>
        <v>TBD</v>
      </c>
      <c r="AG300" t="str">
        <f>IFERROR(VLOOKUP(TblFeedFile1[[#This Row],[ Report Number ]],LkupPayrollCycle[],2,FALSE),"TBD")</f>
        <v>Semi-Monthly</v>
      </c>
      <c r="AH300" t="str">
        <f>IF(TblFeedFile1[[#This Row],[Return to Work Date ]]="","","Y")</f>
        <v/>
      </c>
    </row>
    <row r="301" spans="1:34" x14ac:dyDescent="0.25">
      <c r="A301" t="s">
        <v>29</v>
      </c>
      <c r="B301">
        <v>314301</v>
      </c>
      <c r="C301">
        <v>21504738</v>
      </c>
      <c r="D301" s="1" t="s">
        <v>460</v>
      </c>
      <c r="E301" t="s">
        <v>461</v>
      </c>
      <c r="F301" t="s">
        <v>462</v>
      </c>
      <c r="G301">
        <v>20161114</v>
      </c>
      <c r="H301">
        <v>20170308</v>
      </c>
      <c r="I301" t="s">
        <v>223</v>
      </c>
      <c r="L301" t="s">
        <v>34</v>
      </c>
      <c r="M301" t="s">
        <v>34</v>
      </c>
      <c r="N301" t="s">
        <v>35</v>
      </c>
      <c r="O301" t="s">
        <v>35</v>
      </c>
      <c r="P301" t="s">
        <v>35</v>
      </c>
      <c r="Q301" t="s">
        <v>35</v>
      </c>
      <c r="R301" t="s">
        <v>35</v>
      </c>
      <c r="S301" t="s">
        <v>34</v>
      </c>
      <c r="AC301" t="s">
        <v>35</v>
      </c>
      <c r="AD301">
        <v>20170124</v>
      </c>
      <c r="AF301" t="str">
        <f>IFERROR(VLOOKUP(RIGHT(TblFeedFile1[[#This Row],[Leave Type ]],6),LkupPayType[],2,FALSE),"TBD")</f>
        <v>TBD</v>
      </c>
      <c r="AG301" t="str">
        <f>IFERROR(VLOOKUP(TblFeedFile1[[#This Row],[ Report Number ]],LkupPayrollCycle[],2,FALSE),"TBD")</f>
        <v>Semi-Monthly</v>
      </c>
      <c r="AH301" t="str">
        <f>IF(TblFeedFile1[[#This Row],[Return to Work Date ]]="","","Y")</f>
        <v/>
      </c>
    </row>
    <row r="302" spans="1:34" x14ac:dyDescent="0.25">
      <c r="A302" t="s">
        <v>37</v>
      </c>
      <c r="B302">
        <v>314301</v>
      </c>
      <c r="C302">
        <v>21504738</v>
      </c>
      <c r="D302" s="1" t="s">
        <v>460</v>
      </c>
      <c r="E302" t="s">
        <v>461</v>
      </c>
      <c r="F302" t="s">
        <v>462</v>
      </c>
      <c r="G302">
        <v>20161114</v>
      </c>
      <c r="H302">
        <v>20161114</v>
      </c>
      <c r="I302" t="s">
        <v>33</v>
      </c>
      <c r="L302" t="s">
        <v>34</v>
      </c>
      <c r="M302" t="s">
        <v>34</v>
      </c>
      <c r="N302" t="s">
        <v>35</v>
      </c>
      <c r="O302" t="s">
        <v>35</v>
      </c>
      <c r="P302" t="s">
        <v>35</v>
      </c>
      <c r="Q302" t="s">
        <v>35</v>
      </c>
      <c r="R302" t="s">
        <v>35</v>
      </c>
      <c r="S302" t="s">
        <v>34</v>
      </c>
      <c r="AC302" t="s">
        <v>35</v>
      </c>
      <c r="AD302">
        <v>20170124</v>
      </c>
      <c r="AF302" t="str">
        <f>IFERROR(VLOOKUP(RIGHT(TblFeedFile1[[#This Row],[Leave Type ]],6),LkupPayType[],2,FALSE),"TBD")</f>
        <v>TBD</v>
      </c>
      <c r="AG302" t="str">
        <f>IFERROR(VLOOKUP(TblFeedFile1[[#This Row],[ Report Number ]],LkupPayrollCycle[],2,FALSE),"TBD")</f>
        <v>Semi-Monthly</v>
      </c>
      <c r="AH302" t="str">
        <f>IF(TblFeedFile1[[#This Row],[Return to Work Date ]]="","","Y")</f>
        <v/>
      </c>
    </row>
    <row r="303" spans="1:34" x14ac:dyDescent="0.25">
      <c r="A303" t="s">
        <v>37</v>
      </c>
      <c r="B303">
        <v>314304</v>
      </c>
      <c r="C303">
        <v>21509446</v>
      </c>
      <c r="D303" s="1" t="s">
        <v>463</v>
      </c>
      <c r="E303" t="s">
        <v>464</v>
      </c>
      <c r="F303" t="s">
        <v>465</v>
      </c>
      <c r="G303">
        <v>20170123</v>
      </c>
      <c r="H303">
        <v>20170127</v>
      </c>
      <c r="I303" t="s">
        <v>185</v>
      </c>
      <c r="L303" t="s">
        <v>34</v>
      </c>
      <c r="M303" t="s">
        <v>34</v>
      </c>
      <c r="N303" t="s">
        <v>35</v>
      </c>
      <c r="O303" t="s">
        <v>35</v>
      </c>
      <c r="P303" t="s">
        <v>35</v>
      </c>
      <c r="Q303" t="s">
        <v>35</v>
      </c>
      <c r="R303" t="s">
        <v>35</v>
      </c>
      <c r="S303" t="s">
        <v>34</v>
      </c>
      <c r="AC303" t="s">
        <v>35</v>
      </c>
      <c r="AD303">
        <v>20170124</v>
      </c>
      <c r="AF303" t="str">
        <f>IFERROR(VLOOKUP(RIGHT(TblFeedFile1[[#This Row],[Leave Type ]],6),LkupPayType[],2,FALSE),"TBD")</f>
        <v>TBD</v>
      </c>
      <c r="AG303" t="str">
        <f>IFERROR(VLOOKUP(TblFeedFile1[[#This Row],[ Report Number ]],LkupPayrollCycle[],2,FALSE),"TBD")</f>
        <v>Bi-Weekly</v>
      </c>
      <c r="AH303" t="str">
        <f>IF(TblFeedFile1[[#This Row],[Return to Work Date ]]="","","Y")</f>
        <v/>
      </c>
    </row>
    <row r="304" spans="1:34" x14ac:dyDescent="0.25">
      <c r="A304" t="s">
        <v>29</v>
      </c>
      <c r="B304">
        <v>314304</v>
      </c>
      <c r="C304">
        <v>21512672</v>
      </c>
      <c r="D304" s="1" t="s">
        <v>466</v>
      </c>
      <c r="E304" t="s">
        <v>467</v>
      </c>
      <c r="F304" t="s">
        <v>468</v>
      </c>
      <c r="G304">
        <v>20170105</v>
      </c>
      <c r="H304">
        <v>20170105</v>
      </c>
      <c r="I304" t="s">
        <v>33</v>
      </c>
      <c r="L304" t="s">
        <v>34</v>
      </c>
      <c r="M304" t="s">
        <v>34</v>
      </c>
      <c r="N304" t="s">
        <v>35</v>
      </c>
      <c r="O304" t="s">
        <v>35</v>
      </c>
      <c r="P304" t="s">
        <v>35</v>
      </c>
      <c r="Q304" t="s">
        <v>35</v>
      </c>
      <c r="R304" t="s">
        <v>35</v>
      </c>
      <c r="S304" t="s">
        <v>34</v>
      </c>
      <c r="AC304" t="s">
        <v>35</v>
      </c>
      <c r="AD304">
        <v>20170124</v>
      </c>
      <c r="AF304" t="str">
        <f>IFERROR(VLOOKUP(RIGHT(TblFeedFile1[[#This Row],[Leave Type ]],6),LkupPayType[],2,FALSE),"TBD")</f>
        <v>TBD</v>
      </c>
      <c r="AG304" t="str">
        <f>IFERROR(VLOOKUP(TblFeedFile1[[#This Row],[ Report Number ]],LkupPayrollCycle[],2,FALSE),"TBD")</f>
        <v>Bi-Weekly</v>
      </c>
      <c r="AH304" t="str">
        <f>IF(TblFeedFile1[[#This Row],[Return to Work Date ]]="","","Y")</f>
        <v/>
      </c>
    </row>
    <row r="305" spans="1:34" x14ac:dyDescent="0.25">
      <c r="A305" t="s">
        <v>29</v>
      </c>
      <c r="B305">
        <v>314304</v>
      </c>
      <c r="C305">
        <v>21512672</v>
      </c>
      <c r="D305" s="1" t="s">
        <v>466</v>
      </c>
      <c r="E305" t="s">
        <v>467</v>
      </c>
      <c r="F305" t="s">
        <v>468</v>
      </c>
      <c r="G305">
        <v>20150105</v>
      </c>
      <c r="H305">
        <v>20170104</v>
      </c>
      <c r="I305" t="s">
        <v>36</v>
      </c>
      <c r="L305" t="s">
        <v>34</v>
      </c>
      <c r="M305" t="s">
        <v>34</v>
      </c>
      <c r="N305" t="s">
        <v>35</v>
      </c>
      <c r="O305" t="s">
        <v>35</v>
      </c>
      <c r="P305" t="s">
        <v>35</v>
      </c>
      <c r="Q305" t="s">
        <v>35</v>
      </c>
      <c r="R305" t="s">
        <v>35</v>
      </c>
      <c r="S305" t="s">
        <v>34</v>
      </c>
      <c r="AC305" t="s">
        <v>35</v>
      </c>
      <c r="AD305">
        <v>20170124</v>
      </c>
      <c r="AF305" t="str">
        <f>IFERROR(VLOOKUP(RIGHT(TblFeedFile1[[#This Row],[Leave Type ]],6),LkupPayType[],2,FALSE),"TBD")</f>
        <v>TBD</v>
      </c>
      <c r="AG305" t="str">
        <f>IFERROR(VLOOKUP(TblFeedFile1[[#This Row],[ Report Number ]],LkupPayrollCycle[],2,FALSE),"TBD")</f>
        <v>Bi-Weekly</v>
      </c>
      <c r="AH305" t="str">
        <f>IF(TblFeedFile1[[#This Row],[Return to Work Date ]]="","","Y")</f>
        <v/>
      </c>
    </row>
    <row r="306" spans="1:34" x14ac:dyDescent="0.25">
      <c r="A306" t="s">
        <v>37</v>
      </c>
      <c r="B306">
        <v>314304</v>
      </c>
      <c r="C306">
        <v>21512672</v>
      </c>
      <c r="D306" s="1" t="s">
        <v>466</v>
      </c>
      <c r="E306" t="s">
        <v>467</v>
      </c>
      <c r="F306" t="s">
        <v>468</v>
      </c>
      <c r="G306">
        <v>20150105</v>
      </c>
      <c r="H306">
        <v>20161215</v>
      </c>
      <c r="I306" t="s">
        <v>36</v>
      </c>
      <c r="L306" t="s">
        <v>34</v>
      </c>
      <c r="M306" t="s">
        <v>34</v>
      </c>
      <c r="N306" t="s">
        <v>35</v>
      </c>
      <c r="O306" t="s">
        <v>35</v>
      </c>
      <c r="P306" t="s">
        <v>35</v>
      </c>
      <c r="Q306" t="s">
        <v>35</v>
      </c>
      <c r="R306" t="s">
        <v>35</v>
      </c>
      <c r="S306" t="s">
        <v>34</v>
      </c>
      <c r="AC306" t="s">
        <v>35</v>
      </c>
      <c r="AD306">
        <v>20170124</v>
      </c>
      <c r="AF306" t="str">
        <f>IFERROR(VLOOKUP(RIGHT(TblFeedFile1[[#This Row],[Leave Type ]],6),LkupPayType[],2,FALSE),"TBD")</f>
        <v>TBD</v>
      </c>
      <c r="AG306" t="str">
        <f>IFERROR(VLOOKUP(TblFeedFile1[[#This Row],[ Report Number ]],LkupPayrollCycle[],2,FALSE),"TBD")</f>
        <v>Bi-Weekly</v>
      </c>
      <c r="AH306" t="str">
        <f>IF(TblFeedFile1[[#This Row],[Return to Work Date ]]="","","Y")</f>
        <v/>
      </c>
    </row>
    <row r="307" spans="1:34" x14ac:dyDescent="0.25">
      <c r="A307" t="s">
        <v>37</v>
      </c>
      <c r="B307">
        <v>314304</v>
      </c>
      <c r="C307">
        <v>21512672</v>
      </c>
      <c r="D307" s="1" t="s">
        <v>466</v>
      </c>
      <c r="E307" t="s">
        <v>467</v>
      </c>
      <c r="F307" t="s">
        <v>468</v>
      </c>
      <c r="G307">
        <v>20161216</v>
      </c>
      <c r="H307">
        <v>20161216</v>
      </c>
      <c r="I307" t="s">
        <v>33</v>
      </c>
      <c r="L307" t="s">
        <v>34</v>
      </c>
      <c r="M307" t="s">
        <v>34</v>
      </c>
      <c r="N307" t="s">
        <v>35</v>
      </c>
      <c r="O307" t="s">
        <v>35</v>
      </c>
      <c r="P307" t="s">
        <v>35</v>
      </c>
      <c r="Q307" t="s">
        <v>35</v>
      </c>
      <c r="R307" t="s">
        <v>35</v>
      </c>
      <c r="S307" t="s">
        <v>34</v>
      </c>
      <c r="AC307" t="s">
        <v>35</v>
      </c>
      <c r="AD307">
        <v>20170124</v>
      </c>
      <c r="AF307" t="str">
        <f>IFERROR(VLOOKUP(RIGHT(TblFeedFile1[[#This Row],[Leave Type ]],6),LkupPayType[],2,FALSE),"TBD")</f>
        <v>TBD</v>
      </c>
      <c r="AG307" t="str">
        <f>IFERROR(VLOOKUP(TblFeedFile1[[#This Row],[ Report Number ]],LkupPayrollCycle[],2,FALSE),"TBD")</f>
        <v>Bi-Weekly</v>
      </c>
      <c r="AH307" t="str">
        <f>IF(TblFeedFile1[[#This Row],[Return to Work Date ]]="","","Y")</f>
        <v/>
      </c>
    </row>
    <row r="308" spans="1:34" x14ac:dyDescent="0.25">
      <c r="A308" t="s">
        <v>37</v>
      </c>
      <c r="B308">
        <v>314301</v>
      </c>
      <c r="C308">
        <v>21518484</v>
      </c>
      <c r="D308" s="1" t="s">
        <v>469</v>
      </c>
      <c r="E308" t="s">
        <v>470</v>
      </c>
      <c r="F308" t="s">
        <v>471</v>
      </c>
      <c r="G308">
        <v>20170121</v>
      </c>
      <c r="H308">
        <v>20170121</v>
      </c>
      <c r="I308" t="s">
        <v>33</v>
      </c>
      <c r="L308" t="s">
        <v>34</v>
      </c>
      <c r="M308" t="s">
        <v>34</v>
      </c>
      <c r="N308" t="s">
        <v>35</v>
      </c>
      <c r="O308" t="s">
        <v>35</v>
      </c>
      <c r="P308" t="s">
        <v>35</v>
      </c>
      <c r="Q308" t="s">
        <v>35</v>
      </c>
      <c r="R308" t="s">
        <v>35</v>
      </c>
      <c r="S308" t="s">
        <v>34</v>
      </c>
      <c r="AD308">
        <v>20170124</v>
      </c>
      <c r="AF308" t="str">
        <f>IFERROR(VLOOKUP(RIGHT(TblFeedFile1[[#This Row],[Leave Type ]],6),LkupPayType[],2,FALSE),"TBD")</f>
        <v>TBD</v>
      </c>
      <c r="AG308" t="str">
        <f>IFERROR(VLOOKUP(TblFeedFile1[[#This Row],[ Report Number ]],LkupPayrollCycle[],2,FALSE),"TBD")</f>
        <v>Semi-Monthly</v>
      </c>
      <c r="AH308" t="str">
        <f>IF(TblFeedFile1[[#This Row],[Return to Work Date ]]="","","Y")</f>
        <v/>
      </c>
    </row>
    <row r="309" spans="1:34" x14ac:dyDescent="0.25">
      <c r="A309" t="s">
        <v>29</v>
      </c>
      <c r="B309">
        <v>314304</v>
      </c>
      <c r="C309">
        <v>21519188</v>
      </c>
      <c r="D309" s="1">
        <v>501701198738</v>
      </c>
      <c r="E309" t="s">
        <v>472</v>
      </c>
      <c r="F309" t="s">
        <v>473</v>
      </c>
      <c r="G309">
        <v>20170118</v>
      </c>
      <c r="H309">
        <v>20170228</v>
      </c>
      <c r="I309" t="s">
        <v>53</v>
      </c>
      <c r="L309" t="s">
        <v>34</v>
      </c>
      <c r="M309" t="s">
        <v>34</v>
      </c>
      <c r="N309" t="s">
        <v>35</v>
      </c>
      <c r="O309" t="s">
        <v>35</v>
      </c>
      <c r="P309" t="s">
        <v>35</v>
      </c>
      <c r="Q309" t="s">
        <v>35</v>
      </c>
      <c r="R309" t="s">
        <v>35</v>
      </c>
      <c r="S309" t="s">
        <v>34</v>
      </c>
      <c r="X309" t="s">
        <v>35</v>
      </c>
      <c r="AD309">
        <v>20170124</v>
      </c>
      <c r="AF309" t="str">
        <f>IFERROR(VLOOKUP(RIGHT(TblFeedFile1[[#This Row],[Leave Type ]],6),LkupPayType[],2,FALSE),"TBD")</f>
        <v>TBD</v>
      </c>
      <c r="AG309" t="str">
        <f>IFERROR(VLOOKUP(TblFeedFile1[[#This Row],[ Report Number ]],LkupPayrollCycle[],2,FALSE),"TBD")</f>
        <v>Bi-Weekly</v>
      </c>
      <c r="AH309" t="str">
        <f>IF(TblFeedFile1[[#This Row],[Return to Work Date ]]="","","Y")</f>
        <v/>
      </c>
    </row>
    <row r="310" spans="1:34" x14ac:dyDescent="0.25">
      <c r="A310" t="s">
        <v>37</v>
      </c>
      <c r="B310">
        <v>314304</v>
      </c>
      <c r="C310">
        <v>21519188</v>
      </c>
      <c r="D310" s="1">
        <v>501701198738</v>
      </c>
      <c r="E310" t="s">
        <v>472</v>
      </c>
      <c r="F310" t="s">
        <v>473</v>
      </c>
      <c r="G310">
        <v>20170118</v>
      </c>
      <c r="H310">
        <v>20170228</v>
      </c>
      <c r="I310" t="s">
        <v>53</v>
      </c>
      <c r="L310" t="s">
        <v>34</v>
      </c>
      <c r="M310" t="s">
        <v>34</v>
      </c>
      <c r="N310" t="s">
        <v>34</v>
      </c>
      <c r="O310" t="s">
        <v>35</v>
      </c>
      <c r="P310" t="s">
        <v>35</v>
      </c>
      <c r="Q310" t="s">
        <v>35</v>
      </c>
      <c r="R310" t="s">
        <v>35</v>
      </c>
      <c r="S310" t="s">
        <v>35</v>
      </c>
      <c r="X310" t="s">
        <v>35</v>
      </c>
      <c r="AD310">
        <v>20170124</v>
      </c>
      <c r="AF310" t="str">
        <f>IFERROR(VLOOKUP(RIGHT(TblFeedFile1[[#This Row],[Leave Type ]],6),LkupPayType[],2,FALSE),"TBD")</f>
        <v>TBD</v>
      </c>
      <c r="AG310" t="str">
        <f>IFERROR(VLOOKUP(TblFeedFile1[[#This Row],[ Report Number ]],LkupPayrollCycle[],2,FALSE),"TBD")</f>
        <v>Bi-Weekly</v>
      </c>
      <c r="AH310" t="str">
        <f>IF(TblFeedFile1[[#This Row],[Return to Work Date ]]="","","Y")</f>
        <v/>
      </c>
    </row>
    <row r="311" spans="1:34" x14ac:dyDescent="0.25">
      <c r="A311" t="s">
        <v>37</v>
      </c>
      <c r="B311">
        <v>314305</v>
      </c>
      <c r="C311">
        <v>21529016</v>
      </c>
      <c r="D311" s="1" t="s">
        <v>474</v>
      </c>
      <c r="E311" t="s">
        <v>475</v>
      </c>
      <c r="F311" t="s">
        <v>476</v>
      </c>
      <c r="G311">
        <v>20170124</v>
      </c>
      <c r="H311">
        <v>20170321</v>
      </c>
      <c r="I311" t="s">
        <v>36</v>
      </c>
      <c r="L311" t="s">
        <v>34</v>
      </c>
      <c r="M311" t="s">
        <v>34</v>
      </c>
      <c r="N311" t="s">
        <v>35</v>
      </c>
      <c r="O311" t="s">
        <v>35</v>
      </c>
      <c r="P311" t="s">
        <v>35</v>
      </c>
      <c r="Q311" t="s">
        <v>35</v>
      </c>
      <c r="R311" t="s">
        <v>35</v>
      </c>
      <c r="S311" t="s">
        <v>34</v>
      </c>
      <c r="AD311">
        <v>20170124</v>
      </c>
      <c r="AF311" t="str">
        <f>IFERROR(VLOOKUP(RIGHT(TblFeedFile1[[#This Row],[Leave Type ]],6),LkupPayType[],2,FALSE),"TBD")</f>
        <v>TBD</v>
      </c>
      <c r="AG311" t="str">
        <f>IFERROR(VLOOKUP(TblFeedFile1[[#This Row],[ Report Number ]],LkupPayrollCycle[],2,FALSE),"TBD")</f>
        <v>Bi-Weekly</v>
      </c>
      <c r="AH311" t="str">
        <f>IF(TblFeedFile1[[#This Row],[Return to Work Date ]]="","","Y")</f>
        <v/>
      </c>
    </row>
    <row r="312" spans="1:34" x14ac:dyDescent="0.25">
      <c r="A312" t="s">
        <v>37</v>
      </c>
      <c r="B312">
        <v>314304</v>
      </c>
      <c r="C312">
        <v>21557646</v>
      </c>
      <c r="D312" s="1">
        <v>531701238223</v>
      </c>
      <c r="E312" t="s">
        <v>477</v>
      </c>
      <c r="F312" t="s">
        <v>478</v>
      </c>
      <c r="G312">
        <v>20170123</v>
      </c>
      <c r="H312">
        <v>20170223</v>
      </c>
      <c r="I312" t="s">
        <v>53</v>
      </c>
      <c r="L312" t="s">
        <v>34</v>
      </c>
      <c r="M312" t="s">
        <v>34</v>
      </c>
      <c r="N312" t="s">
        <v>35</v>
      </c>
      <c r="O312" t="s">
        <v>35</v>
      </c>
      <c r="P312" t="s">
        <v>35</v>
      </c>
      <c r="Q312" t="s">
        <v>35</v>
      </c>
      <c r="R312" t="s">
        <v>35</v>
      </c>
      <c r="S312" t="s">
        <v>34</v>
      </c>
      <c r="AD312">
        <v>20170124</v>
      </c>
      <c r="AF312" t="str">
        <f>IFERROR(VLOOKUP(RIGHT(TblFeedFile1[[#This Row],[Leave Type ]],6),LkupPayType[],2,FALSE),"TBD")</f>
        <v>TBD</v>
      </c>
      <c r="AG312" t="str">
        <f>IFERROR(VLOOKUP(TblFeedFile1[[#This Row],[ Report Number ]],LkupPayrollCycle[],2,FALSE),"TBD")</f>
        <v>Bi-Weekly</v>
      </c>
      <c r="AH312" t="str">
        <f>IF(TblFeedFile1[[#This Row],[Return to Work Date ]]="","","Y")</f>
        <v/>
      </c>
    </row>
    <row r="313" spans="1:34" x14ac:dyDescent="0.25">
      <c r="A313" t="s">
        <v>29</v>
      </c>
      <c r="B313">
        <v>314304</v>
      </c>
      <c r="C313">
        <v>21567811</v>
      </c>
      <c r="D313" s="1" t="s">
        <v>479</v>
      </c>
      <c r="E313" t="s">
        <v>230</v>
      </c>
      <c r="F313" t="s">
        <v>480</v>
      </c>
      <c r="G313">
        <v>20170118</v>
      </c>
      <c r="H313">
        <v>20170118</v>
      </c>
      <c r="I313" t="s">
        <v>33</v>
      </c>
      <c r="L313" t="s">
        <v>34</v>
      </c>
      <c r="M313" t="s">
        <v>35</v>
      </c>
      <c r="N313" t="s">
        <v>35</v>
      </c>
      <c r="O313" t="s">
        <v>35</v>
      </c>
      <c r="P313" t="s">
        <v>34</v>
      </c>
      <c r="Q313" t="s">
        <v>35</v>
      </c>
      <c r="R313" t="s">
        <v>35</v>
      </c>
      <c r="S313" t="s">
        <v>35</v>
      </c>
      <c r="AD313">
        <v>20170124</v>
      </c>
      <c r="AF313" t="str">
        <f>IFERROR(VLOOKUP(RIGHT(TblFeedFile1[[#This Row],[Leave Type ]],6),LkupPayType[],2,FALSE),"TBD")</f>
        <v>TBD</v>
      </c>
      <c r="AG313" t="str">
        <f>IFERROR(VLOOKUP(TblFeedFile1[[#This Row],[ Report Number ]],LkupPayrollCycle[],2,FALSE),"TBD")</f>
        <v>Bi-Weekly</v>
      </c>
      <c r="AH313" t="str">
        <f>IF(TblFeedFile1[[#This Row],[Return to Work Date ]]="","","Y")</f>
        <v/>
      </c>
    </row>
    <row r="314" spans="1:34" x14ac:dyDescent="0.25">
      <c r="A314" t="s">
        <v>37</v>
      </c>
      <c r="B314">
        <v>314304</v>
      </c>
      <c r="C314">
        <v>21567811</v>
      </c>
      <c r="D314" s="1" t="s">
        <v>479</v>
      </c>
      <c r="E314" t="s">
        <v>230</v>
      </c>
      <c r="F314" t="s">
        <v>480</v>
      </c>
      <c r="G314">
        <v>20170118</v>
      </c>
      <c r="H314">
        <v>20170118</v>
      </c>
      <c r="I314" t="s">
        <v>33</v>
      </c>
      <c r="L314" t="s">
        <v>34</v>
      </c>
      <c r="M314" t="s">
        <v>35</v>
      </c>
      <c r="N314" t="s">
        <v>35</v>
      </c>
      <c r="O314" t="s">
        <v>35</v>
      </c>
      <c r="P314" t="s">
        <v>35</v>
      </c>
      <c r="Q314" t="s">
        <v>35</v>
      </c>
      <c r="R314" t="s">
        <v>35</v>
      </c>
      <c r="S314" t="s">
        <v>34</v>
      </c>
      <c r="AD314">
        <v>20170124</v>
      </c>
      <c r="AF314" t="str">
        <f>IFERROR(VLOOKUP(RIGHT(TblFeedFile1[[#This Row],[Leave Type ]],6),LkupPayType[],2,FALSE),"TBD")</f>
        <v>TBD</v>
      </c>
      <c r="AG314" t="str">
        <f>IFERROR(VLOOKUP(TblFeedFile1[[#This Row],[ Report Number ]],LkupPayrollCycle[],2,FALSE),"TBD")</f>
        <v>Bi-Weekly</v>
      </c>
      <c r="AH314" t="str">
        <f>IF(TblFeedFile1[[#This Row],[Return to Work Date ]]="","","Y")</f>
        <v/>
      </c>
    </row>
    <row r="315" spans="1:34" x14ac:dyDescent="0.25">
      <c r="A315" t="s">
        <v>37</v>
      </c>
      <c r="B315">
        <v>314301</v>
      </c>
      <c r="C315">
        <v>21591619</v>
      </c>
      <c r="D315" s="1" t="s">
        <v>481</v>
      </c>
      <c r="E315" t="s">
        <v>482</v>
      </c>
      <c r="F315" t="s">
        <v>483</v>
      </c>
      <c r="G315">
        <v>20170118</v>
      </c>
      <c r="H315">
        <v>20170210</v>
      </c>
      <c r="I315" t="s">
        <v>78</v>
      </c>
      <c r="K315" t="s">
        <v>79</v>
      </c>
      <c r="L315" t="s">
        <v>35</v>
      </c>
      <c r="AD315">
        <v>20170124</v>
      </c>
      <c r="AF315" t="str">
        <f>IFERROR(VLOOKUP(RIGHT(TblFeedFile1[[#This Row],[Leave Type ]],6),LkupPayType[],2,FALSE),"TBD")</f>
        <v>TBD</v>
      </c>
      <c r="AG315" t="str">
        <f>IFERROR(VLOOKUP(TblFeedFile1[[#This Row],[ Report Number ]],LkupPayrollCycle[],2,FALSE),"TBD")</f>
        <v>Semi-Monthly</v>
      </c>
      <c r="AH315" t="str">
        <f>IF(TblFeedFile1[[#This Row],[Return to Work Date ]]="","","Y")</f>
        <v/>
      </c>
    </row>
    <row r="316" spans="1:34" x14ac:dyDescent="0.25">
      <c r="A316" t="s">
        <v>37</v>
      </c>
      <c r="B316">
        <v>314301</v>
      </c>
      <c r="C316">
        <v>21591619</v>
      </c>
      <c r="D316" s="1">
        <v>541701248474</v>
      </c>
      <c r="E316" t="s">
        <v>482</v>
      </c>
      <c r="F316" t="s">
        <v>483</v>
      </c>
      <c r="G316">
        <v>20170118</v>
      </c>
      <c r="I316" t="s">
        <v>53</v>
      </c>
      <c r="L316" t="s">
        <v>35</v>
      </c>
      <c r="AD316">
        <v>20170124</v>
      </c>
      <c r="AF316" t="str">
        <f>IFERROR(VLOOKUP(RIGHT(TblFeedFile1[[#This Row],[Leave Type ]],6),LkupPayType[],2,FALSE),"TBD")</f>
        <v>TBD</v>
      </c>
      <c r="AG316" t="str">
        <f>IFERROR(VLOOKUP(TblFeedFile1[[#This Row],[ Report Number ]],LkupPayrollCycle[],2,FALSE),"TBD")</f>
        <v>Semi-Monthly</v>
      </c>
      <c r="AH316" t="str">
        <f>IF(TblFeedFile1[[#This Row],[Return to Work Date ]]="","","Y")</f>
        <v/>
      </c>
    </row>
    <row r="317" spans="1:34" x14ac:dyDescent="0.25">
      <c r="A317" t="s">
        <v>37</v>
      </c>
      <c r="B317">
        <v>314304</v>
      </c>
      <c r="C317">
        <v>21624026</v>
      </c>
      <c r="D317" s="1" t="s">
        <v>484</v>
      </c>
      <c r="E317" t="s">
        <v>138</v>
      </c>
      <c r="F317" t="s">
        <v>485</v>
      </c>
      <c r="G317">
        <v>20170104</v>
      </c>
      <c r="H317">
        <v>20180103</v>
      </c>
      <c r="I317" t="s">
        <v>36</v>
      </c>
      <c r="L317" t="s">
        <v>34</v>
      </c>
      <c r="M317" t="s">
        <v>34</v>
      </c>
      <c r="N317" t="s">
        <v>35</v>
      </c>
      <c r="O317" t="s">
        <v>35</v>
      </c>
      <c r="P317" t="s">
        <v>35</v>
      </c>
      <c r="Q317" t="s">
        <v>35</v>
      </c>
      <c r="R317" t="s">
        <v>35</v>
      </c>
      <c r="S317" t="s">
        <v>34</v>
      </c>
      <c r="AD317">
        <v>20170124</v>
      </c>
      <c r="AF317" t="str">
        <f>IFERROR(VLOOKUP(RIGHT(TblFeedFile1[[#This Row],[Leave Type ]],6),LkupPayType[],2,FALSE),"TBD")</f>
        <v>TBD</v>
      </c>
      <c r="AG317" t="str">
        <f>IFERROR(VLOOKUP(TblFeedFile1[[#This Row],[ Report Number ]],LkupPayrollCycle[],2,FALSE),"TBD")</f>
        <v>Bi-Weekly</v>
      </c>
      <c r="AH317" t="str">
        <f>IF(TblFeedFile1[[#This Row],[Return to Work Date ]]="","","Y")</f>
        <v/>
      </c>
    </row>
    <row r="318" spans="1:34" x14ac:dyDescent="0.25">
      <c r="A318" t="s">
        <v>29</v>
      </c>
      <c r="B318">
        <v>314304</v>
      </c>
      <c r="C318">
        <v>21633215</v>
      </c>
      <c r="D318" s="1" t="s">
        <v>486</v>
      </c>
      <c r="E318" t="s">
        <v>112</v>
      </c>
      <c r="F318" t="s">
        <v>487</v>
      </c>
      <c r="G318">
        <v>20160104</v>
      </c>
      <c r="H318">
        <v>20160104</v>
      </c>
      <c r="I318" t="s">
        <v>33</v>
      </c>
      <c r="L318" t="s">
        <v>34</v>
      </c>
      <c r="M318" t="s">
        <v>34</v>
      </c>
      <c r="N318" t="s">
        <v>35</v>
      </c>
      <c r="O318" t="s">
        <v>35</v>
      </c>
      <c r="P318" t="s">
        <v>35</v>
      </c>
      <c r="Q318" t="s">
        <v>35</v>
      </c>
      <c r="R318" t="s">
        <v>35</v>
      </c>
      <c r="S318" t="s">
        <v>34</v>
      </c>
      <c r="AC318" t="s">
        <v>35</v>
      </c>
      <c r="AD318">
        <v>20170124</v>
      </c>
      <c r="AF318" t="str">
        <f>IFERROR(VLOOKUP(RIGHT(TblFeedFile1[[#This Row],[Leave Type ]],6),LkupPayType[],2,FALSE),"TBD")</f>
        <v>TBD</v>
      </c>
      <c r="AG318" t="str">
        <f>IFERROR(VLOOKUP(TblFeedFile1[[#This Row],[ Report Number ]],LkupPayrollCycle[],2,FALSE),"TBD")</f>
        <v>Bi-Weekly</v>
      </c>
      <c r="AH318" t="str">
        <f>IF(TblFeedFile1[[#This Row],[Return to Work Date ]]="","","Y")</f>
        <v/>
      </c>
    </row>
    <row r="319" spans="1:34" x14ac:dyDescent="0.25">
      <c r="A319" t="s">
        <v>37</v>
      </c>
      <c r="B319">
        <v>314304</v>
      </c>
      <c r="C319">
        <v>21633215</v>
      </c>
      <c r="D319" s="1" t="s">
        <v>486</v>
      </c>
      <c r="E319" t="s">
        <v>112</v>
      </c>
      <c r="F319" t="s">
        <v>487</v>
      </c>
      <c r="G319">
        <v>20160711</v>
      </c>
      <c r="H319">
        <v>20161207</v>
      </c>
      <c r="I319" t="s">
        <v>36</v>
      </c>
      <c r="L319" t="s">
        <v>34</v>
      </c>
      <c r="M319" t="s">
        <v>34</v>
      </c>
      <c r="N319" t="s">
        <v>35</v>
      </c>
      <c r="O319" t="s">
        <v>35</v>
      </c>
      <c r="P319" t="s">
        <v>35</v>
      </c>
      <c r="Q319" t="s">
        <v>35</v>
      </c>
      <c r="R319" t="s">
        <v>35</v>
      </c>
      <c r="S319" t="s">
        <v>34</v>
      </c>
      <c r="AC319" t="s">
        <v>35</v>
      </c>
      <c r="AD319">
        <v>20170124</v>
      </c>
      <c r="AF319" t="str">
        <f>IFERROR(VLOOKUP(RIGHT(TblFeedFile1[[#This Row],[Leave Type ]],6),LkupPayType[],2,FALSE),"TBD")</f>
        <v>TBD</v>
      </c>
      <c r="AG319" t="str">
        <f>IFERROR(VLOOKUP(TblFeedFile1[[#This Row],[ Report Number ]],LkupPayrollCycle[],2,FALSE),"TBD")</f>
        <v>Bi-Weekly</v>
      </c>
      <c r="AH319" t="str">
        <f>IF(TblFeedFile1[[#This Row],[Return to Work Date ]]="","","Y")</f>
        <v/>
      </c>
    </row>
    <row r="320" spans="1:34" x14ac:dyDescent="0.25">
      <c r="A320" t="s">
        <v>37</v>
      </c>
      <c r="B320">
        <v>314304</v>
      </c>
      <c r="C320">
        <v>21633215</v>
      </c>
      <c r="D320" s="1" t="s">
        <v>486</v>
      </c>
      <c r="E320" t="s">
        <v>112</v>
      </c>
      <c r="F320" t="s">
        <v>487</v>
      </c>
      <c r="G320">
        <v>20160929</v>
      </c>
      <c r="H320">
        <v>20161207</v>
      </c>
      <c r="I320" t="s">
        <v>78</v>
      </c>
      <c r="K320" t="s">
        <v>79</v>
      </c>
      <c r="L320" t="s">
        <v>34</v>
      </c>
      <c r="M320" t="s">
        <v>34</v>
      </c>
      <c r="N320" t="s">
        <v>35</v>
      </c>
      <c r="O320" t="s">
        <v>35</v>
      </c>
      <c r="P320" t="s">
        <v>35</v>
      </c>
      <c r="Q320" t="s">
        <v>35</v>
      </c>
      <c r="R320" t="s">
        <v>35</v>
      </c>
      <c r="S320" t="s">
        <v>34</v>
      </c>
      <c r="AC320" t="s">
        <v>35</v>
      </c>
      <c r="AD320">
        <v>20170124</v>
      </c>
      <c r="AF320" t="str">
        <f>IFERROR(VLOOKUP(RIGHT(TblFeedFile1[[#This Row],[Leave Type ]],6),LkupPayType[],2,FALSE),"TBD")</f>
        <v>TBD</v>
      </c>
      <c r="AG320" t="str">
        <f>IFERROR(VLOOKUP(TblFeedFile1[[#This Row],[ Report Number ]],LkupPayrollCycle[],2,FALSE),"TBD")</f>
        <v>Bi-Weekly</v>
      </c>
      <c r="AH320" t="str">
        <f>IF(TblFeedFile1[[#This Row],[Return to Work Date ]]="","","Y")</f>
        <v/>
      </c>
    </row>
    <row r="321" spans="1:34" x14ac:dyDescent="0.25">
      <c r="A321" t="s">
        <v>37</v>
      </c>
      <c r="B321">
        <v>314304</v>
      </c>
      <c r="C321">
        <v>21633215</v>
      </c>
      <c r="D321" s="1" t="s">
        <v>486</v>
      </c>
      <c r="E321" t="s">
        <v>112</v>
      </c>
      <c r="F321" t="s">
        <v>487</v>
      </c>
      <c r="G321">
        <v>20161003</v>
      </c>
      <c r="H321">
        <v>20161003</v>
      </c>
      <c r="I321" t="s">
        <v>33</v>
      </c>
      <c r="L321" t="s">
        <v>34</v>
      </c>
      <c r="M321" t="s">
        <v>34</v>
      </c>
      <c r="N321" t="s">
        <v>35</v>
      </c>
      <c r="O321" t="s">
        <v>35</v>
      </c>
      <c r="P321" t="s">
        <v>35</v>
      </c>
      <c r="Q321" t="s">
        <v>35</v>
      </c>
      <c r="R321" t="s">
        <v>35</v>
      </c>
      <c r="S321" t="s">
        <v>34</v>
      </c>
      <c r="AC321" t="s">
        <v>35</v>
      </c>
      <c r="AD321">
        <v>20170124</v>
      </c>
      <c r="AF321" t="str">
        <f>IFERROR(VLOOKUP(RIGHT(TblFeedFile1[[#This Row],[Leave Type ]],6),LkupPayType[],2,FALSE),"TBD")</f>
        <v>TBD</v>
      </c>
      <c r="AG321" t="str">
        <f>IFERROR(VLOOKUP(TblFeedFile1[[#This Row],[ Report Number ]],LkupPayrollCycle[],2,FALSE),"TBD")</f>
        <v>Bi-Weekly</v>
      </c>
      <c r="AH321" t="str">
        <f>IF(TblFeedFile1[[#This Row],[Return to Work Date ]]="","","Y")</f>
        <v/>
      </c>
    </row>
    <row r="322" spans="1:34" x14ac:dyDescent="0.25">
      <c r="A322" t="s">
        <v>37</v>
      </c>
      <c r="B322">
        <v>314304</v>
      </c>
      <c r="C322">
        <v>21633215</v>
      </c>
      <c r="D322" s="1" t="s">
        <v>486</v>
      </c>
      <c r="E322" t="s">
        <v>112</v>
      </c>
      <c r="F322" t="s">
        <v>487</v>
      </c>
      <c r="G322">
        <v>20161110</v>
      </c>
      <c r="H322">
        <v>20161207</v>
      </c>
      <c r="I322" t="s">
        <v>78</v>
      </c>
      <c r="K322" t="s">
        <v>79</v>
      </c>
      <c r="L322" t="s">
        <v>34</v>
      </c>
      <c r="M322" t="s">
        <v>34</v>
      </c>
      <c r="N322" t="s">
        <v>35</v>
      </c>
      <c r="O322" t="s">
        <v>35</v>
      </c>
      <c r="P322" t="s">
        <v>35</v>
      </c>
      <c r="Q322" t="s">
        <v>35</v>
      </c>
      <c r="R322" t="s">
        <v>35</v>
      </c>
      <c r="S322" t="s">
        <v>34</v>
      </c>
      <c r="AC322" t="s">
        <v>35</v>
      </c>
      <c r="AD322">
        <v>20170124</v>
      </c>
      <c r="AF322" t="str">
        <f>IFERROR(VLOOKUP(RIGHT(TblFeedFile1[[#This Row],[Leave Type ]],6),LkupPayType[],2,FALSE),"TBD")</f>
        <v>TBD</v>
      </c>
      <c r="AG322" t="str">
        <f>IFERROR(VLOOKUP(TblFeedFile1[[#This Row],[ Report Number ]],LkupPayrollCycle[],2,FALSE),"TBD")</f>
        <v>Bi-Weekly</v>
      </c>
      <c r="AH322" t="str">
        <f>IF(TblFeedFile1[[#This Row],[Return to Work Date ]]="","","Y")</f>
        <v/>
      </c>
    </row>
    <row r="323" spans="1:34" x14ac:dyDescent="0.25">
      <c r="A323" t="s">
        <v>37</v>
      </c>
      <c r="B323">
        <v>314304</v>
      </c>
      <c r="C323">
        <v>21633215</v>
      </c>
      <c r="D323" s="1" t="s">
        <v>486</v>
      </c>
      <c r="E323" t="s">
        <v>112</v>
      </c>
      <c r="F323" t="s">
        <v>487</v>
      </c>
      <c r="G323">
        <v>20161208</v>
      </c>
      <c r="H323">
        <v>20161208</v>
      </c>
      <c r="I323" t="s">
        <v>33</v>
      </c>
      <c r="L323" t="s">
        <v>34</v>
      </c>
      <c r="M323" t="s">
        <v>34</v>
      </c>
      <c r="N323" t="s">
        <v>35</v>
      </c>
      <c r="O323" t="s">
        <v>35</v>
      </c>
      <c r="P323" t="s">
        <v>35</v>
      </c>
      <c r="Q323" t="s">
        <v>35</v>
      </c>
      <c r="R323" t="s">
        <v>35</v>
      </c>
      <c r="S323" t="s">
        <v>34</v>
      </c>
      <c r="AC323" t="s">
        <v>35</v>
      </c>
      <c r="AD323">
        <v>20170124</v>
      </c>
      <c r="AF323" t="str">
        <f>IFERROR(VLOOKUP(RIGHT(TblFeedFile1[[#This Row],[Leave Type ]],6),LkupPayType[],2,FALSE),"TBD")</f>
        <v>TBD</v>
      </c>
      <c r="AG323" t="str">
        <f>IFERROR(VLOOKUP(TblFeedFile1[[#This Row],[ Report Number ]],LkupPayrollCycle[],2,FALSE),"TBD")</f>
        <v>Bi-Weekly</v>
      </c>
      <c r="AH323" t="str">
        <f>IF(TblFeedFile1[[#This Row],[Return to Work Date ]]="","","Y")</f>
        <v/>
      </c>
    </row>
    <row r="324" spans="1:34" x14ac:dyDescent="0.25">
      <c r="A324" t="s">
        <v>29</v>
      </c>
      <c r="B324">
        <v>314304</v>
      </c>
      <c r="C324">
        <v>21639364</v>
      </c>
      <c r="D324" s="1" t="s">
        <v>488</v>
      </c>
      <c r="E324" t="s">
        <v>489</v>
      </c>
      <c r="F324" t="s">
        <v>490</v>
      </c>
      <c r="G324">
        <v>20161212</v>
      </c>
      <c r="H324">
        <v>20170117</v>
      </c>
      <c r="I324" t="s">
        <v>36</v>
      </c>
      <c r="L324" t="s">
        <v>34</v>
      </c>
      <c r="M324" t="s">
        <v>34</v>
      </c>
      <c r="N324" t="s">
        <v>35</v>
      </c>
      <c r="O324" t="s">
        <v>35</v>
      </c>
      <c r="P324" t="s">
        <v>35</v>
      </c>
      <c r="Q324" t="s">
        <v>35</v>
      </c>
      <c r="R324" t="s">
        <v>35</v>
      </c>
      <c r="S324" t="s">
        <v>34</v>
      </c>
      <c r="T324">
        <v>20170118</v>
      </c>
      <c r="AD324">
        <v>20170124</v>
      </c>
      <c r="AF324" t="str">
        <f>IFERROR(VLOOKUP(RIGHT(TblFeedFile1[[#This Row],[Leave Type ]],6),LkupPayType[],2,FALSE),"TBD")</f>
        <v>TBD</v>
      </c>
      <c r="AG324" t="str">
        <f>IFERROR(VLOOKUP(TblFeedFile1[[#This Row],[ Report Number ]],LkupPayrollCycle[],2,FALSE),"TBD")</f>
        <v>Bi-Weekly</v>
      </c>
      <c r="AH324" t="str">
        <f>IF(TblFeedFile1[[#This Row],[Return to Work Date ]]="","","Y")</f>
        <v>Y</v>
      </c>
    </row>
    <row r="325" spans="1:34" x14ac:dyDescent="0.25">
      <c r="A325" t="s">
        <v>37</v>
      </c>
      <c r="B325">
        <v>314304</v>
      </c>
      <c r="C325">
        <v>21639364</v>
      </c>
      <c r="D325" s="1" t="s">
        <v>488</v>
      </c>
      <c r="E325" t="s">
        <v>489</v>
      </c>
      <c r="F325" t="s">
        <v>490</v>
      </c>
      <c r="G325">
        <v>20161212</v>
      </c>
      <c r="H325">
        <v>20170227</v>
      </c>
      <c r="I325" t="s">
        <v>36</v>
      </c>
      <c r="L325" t="s">
        <v>34</v>
      </c>
      <c r="M325" t="s">
        <v>34</v>
      </c>
      <c r="N325" t="s">
        <v>35</v>
      </c>
      <c r="O325" t="s">
        <v>35</v>
      </c>
      <c r="P325" t="s">
        <v>35</v>
      </c>
      <c r="Q325" t="s">
        <v>35</v>
      </c>
      <c r="R325" t="s">
        <v>35</v>
      </c>
      <c r="S325" t="s">
        <v>34</v>
      </c>
      <c r="AD325">
        <v>20170124</v>
      </c>
      <c r="AF325" t="str">
        <f>IFERROR(VLOOKUP(RIGHT(TblFeedFile1[[#This Row],[Leave Type ]],6),LkupPayType[],2,FALSE),"TBD")</f>
        <v>TBD</v>
      </c>
      <c r="AG325" t="str">
        <f>IFERROR(VLOOKUP(TblFeedFile1[[#This Row],[ Report Number ]],LkupPayrollCycle[],2,FALSE),"TBD")</f>
        <v>Bi-Weekly</v>
      </c>
      <c r="AH325" t="str">
        <f>IF(TblFeedFile1[[#This Row],[Return to Work Date ]]="","","Y")</f>
        <v/>
      </c>
    </row>
    <row r="326" spans="1:34" x14ac:dyDescent="0.25">
      <c r="A326" t="s">
        <v>37</v>
      </c>
      <c r="B326">
        <v>314301</v>
      </c>
      <c r="C326">
        <v>21666848</v>
      </c>
      <c r="D326" s="1">
        <v>501701118380</v>
      </c>
      <c r="E326" t="s">
        <v>491</v>
      </c>
      <c r="F326" t="s">
        <v>492</v>
      </c>
      <c r="G326">
        <v>20170120</v>
      </c>
      <c r="H326">
        <v>20170303</v>
      </c>
      <c r="I326" t="s">
        <v>53</v>
      </c>
      <c r="L326" t="s">
        <v>34</v>
      </c>
      <c r="M326" t="s">
        <v>34</v>
      </c>
      <c r="N326" t="s">
        <v>35</v>
      </c>
      <c r="O326" t="s">
        <v>35</v>
      </c>
      <c r="P326" t="s">
        <v>35</v>
      </c>
      <c r="Q326" t="s">
        <v>35</v>
      </c>
      <c r="R326" t="s">
        <v>35</v>
      </c>
      <c r="S326" t="s">
        <v>34</v>
      </c>
      <c r="AD326">
        <v>20170124</v>
      </c>
      <c r="AF326" t="str">
        <f>IFERROR(VLOOKUP(RIGHT(TblFeedFile1[[#This Row],[Leave Type ]],6),LkupPayType[],2,FALSE),"TBD")</f>
        <v>TBD</v>
      </c>
      <c r="AG326" t="str">
        <f>IFERROR(VLOOKUP(TblFeedFile1[[#This Row],[ Report Number ]],LkupPayrollCycle[],2,FALSE),"TBD")</f>
        <v>Semi-Monthly</v>
      </c>
      <c r="AH326" t="str">
        <f>IF(TblFeedFile1[[#This Row],[Return to Work Date ]]="","","Y")</f>
        <v/>
      </c>
    </row>
    <row r="327" spans="1:34" x14ac:dyDescent="0.25">
      <c r="A327" t="s">
        <v>37</v>
      </c>
      <c r="B327">
        <v>314301</v>
      </c>
      <c r="C327">
        <v>21666848</v>
      </c>
      <c r="D327" s="1">
        <v>501701118380</v>
      </c>
      <c r="E327" t="s">
        <v>491</v>
      </c>
      <c r="F327" t="s">
        <v>492</v>
      </c>
      <c r="G327">
        <v>20170127</v>
      </c>
      <c r="H327">
        <v>20170303</v>
      </c>
      <c r="I327" t="s">
        <v>40</v>
      </c>
      <c r="L327" t="s">
        <v>34</v>
      </c>
      <c r="M327" t="s">
        <v>34</v>
      </c>
      <c r="N327" t="s">
        <v>35</v>
      </c>
      <c r="O327" t="s">
        <v>35</v>
      </c>
      <c r="P327" t="s">
        <v>35</v>
      </c>
      <c r="Q327" t="s">
        <v>35</v>
      </c>
      <c r="R327" t="s">
        <v>35</v>
      </c>
      <c r="S327" t="s">
        <v>34</v>
      </c>
      <c r="AD327">
        <v>20170124</v>
      </c>
      <c r="AF327" t="str">
        <f>IFERROR(VLOOKUP(RIGHT(TblFeedFile1[[#This Row],[Leave Type ]],6),LkupPayType[],2,FALSE),"TBD")</f>
        <v>TBD</v>
      </c>
      <c r="AG327" t="str">
        <f>IFERROR(VLOOKUP(TblFeedFile1[[#This Row],[ Report Number ]],LkupPayrollCycle[],2,FALSE),"TBD")</f>
        <v>Semi-Monthly</v>
      </c>
      <c r="AH327" t="str">
        <f>IF(TblFeedFile1[[#This Row],[Return to Work Date ]]="","","Y")</f>
        <v/>
      </c>
    </row>
    <row r="328" spans="1:34" x14ac:dyDescent="0.25">
      <c r="A328" t="s">
        <v>37</v>
      </c>
      <c r="B328">
        <v>314301</v>
      </c>
      <c r="C328">
        <v>21700429</v>
      </c>
      <c r="D328" s="1" t="s">
        <v>493</v>
      </c>
      <c r="E328" t="s">
        <v>494</v>
      </c>
      <c r="F328" t="s">
        <v>495</v>
      </c>
      <c r="G328">
        <v>20170121</v>
      </c>
      <c r="H328">
        <v>20170121</v>
      </c>
      <c r="I328" t="s">
        <v>33</v>
      </c>
      <c r="L328" t="s">
        <v>34</v>
      </c>
      <c r="M328" t="s">
        <v>34</v>
      </c>
      <c r="N328" t="s">
        <v>35</v>
      </c>
      <c r="O328" t="s">
        <v>35</v>
      </c>
      <c r="P328" t="s">
        <v>35</v>
      </c>
      <c r="Q328" t="s">
        <v>35</v>
      </c>
      <c r="R328" t="s">
        <v>35</v>
      </c>
      <c r="S328" t="s">
        <v>34</v>
      </c>
      <c r="AC328" t="s">
        <v>35</v>
      </c>
      <c r="AD328">
        <v>20170124</v>
      </c>
      <c r="AF328" t="str">
        <f>IFERROR(VLOOKUP(RIGHT(TblFeedFile1[[#This Row],[Leave Type ]],6),LkupPayType[],2,FALSE),"TBD")</f>
        <v>TBD</v>
      </c>
      <c r="AG328" t="str">
        <f>IFERROR(VLOOKUP(TblFeedFile1[[#This Row],[ Report Number ]],LkupPayrollCycle[],2,FALSE),"TBD")</f>
        <v>Semi-Monthly</v>
      </c>
      <c r="AH328" t="str">
        <f>IF(TblFeedFile1[[#This Row],[Return to Work Date ]]="","","Y")</f>
        <v/>
      </c>
    </row>
    <row r="329" spans="1:34" x14ac:dyDescent="0.25">
      <c r="A329" t="s">
        <v>37</v>
      </c>
      <c r="B329">
        <v>314304</v>
      </c>
      <c r="C329">
        <v>21726180</v>
      </c>
      <c r="D329" s="1" t="s">
        <v>496</v>
      </c>
      <c r="E329" t="s">
        <v>497</v>
      </c>
      <c r="F329" t="s">
        <v>498</v>
      </c>
      <c r="G329">
        <v>20170123</v>
      </c>
      <c r="H329">
        <v>20170514</v>
      </c>
      <c r="I329" t="s">
        <v>223</v>
      </c>
      <c r="L329" t="s">
        <v>34</v>
      </c>
      <c r="M329" t="s">
        <v>34</v>
      </c>
      <c r="N329" t="s">
        <v>35</v>
      </c>
      <c r="O329" t="s">
        <v>35</v>
      </c>
      <c r="P329" t="s">
        <v>35</v>
      </c>
      <c r="Q329" t="s">
        <v>35</v>
      </c>
      <c r="R329" t="s">
        <v>35</v>
      </c>
      <c r="S329" t="s">
        <v>34</v>
      </c>
      <c r="AD329">
        <v>20170124</v>
      </c>
      <c r="AF329" t="str">
        <f>IFERROR(VLOOKUP(RIGHT(TblFeedFile1[[#This Row],[Leave Type ]],6),LkupPayType[],2,FALSE),"TBD")</f>
        <v>TBD</v>
      </c>
      <c r="AG329" t="str">
        <f>IFERROR(VLOOKUP(TblFeedFile1[[#This Row],[ Report Number ]],LkupPayrollCycle[],2,FALSE),"TBD")</f>
        <v>Bi-Weekly</v>
      </c>
      <c r="AH329" t="str">
        <f>IF(TblFeedFile1[[#This Row],[Return to Work Date ]]="","","Y")</f>
        <v/>
      </c>
    </row>
    <row r="330" spans="1:34" x14ac:dyDescent="0.25">
      <c r="A330" t="s">
        <v>37</v>
      </c>
      <c r="B330">
        <v>314304</v>
      </c>
      <c r="C330">
        <v>21732851</v>
      </c>
      <c r="D330" s="1">
        <v>521701198782</v>
      </c>
      <c r="E330" t="s">
        <v>499</v>
      </c>
      <c r="F330" t="s">
        <v>500</v>
      </c>
      <c r="G330">
        <v>20170119</v>
      </c>
      <c r="H330">
        <v>20170203</v>
      </c>
      <c r="I330" t="s">
        <v>40</v>
      </c>
      <c r="L330" t="s">
        <v>34</v>
      </c>
      <c r="M330" t="s">
        <v>34</v>
      </c>
      <c r="N330" t="s">
        <v>35</v>
      </c>
      <c r="O330" t="s">
        <v>35</v>
      </c>
      <c r="P330" t="s">
        <v>35</v>
      </c>
      <c r="Q330" t="s">
        <v>35</v>
      </c>
      <c r="R330" t="s">
        <v>35</v>
      </c>
      <c r="S330" t="s">
        <v>34</v>
      </c>
      <c r="AD330">
        <v>20170124</v>
      </c>
      <c r="AF330" t="str">
        <f>IFERROR(VLOOKUP(RIGHT(TblFeedFile1[[#This Row],[Leave Type ]],6),LkupPayType[],2,FALSE),"TBD")</f>
        <v>TBD</v>
      </c>
      <c r="AG330" t="str">
        <f>IFERROR(VLOOKUP(TblFeedFile1[[#This Row],[ Report Number ]],LkupPayrollCycle[],2,FALSE),"TBD")</f>
        <v>Bi-Weekly</v>
      </c>
      <c r="AH330" t="str">
        <f>IF(TblFeedFile1[[#This Row],[Return to Work Date ]]="","","Y")</f>
        <v/>
      </c>
    </row>
    <row r="331" spans="1:34" x14ac:dyDescent="0.25">
      <c r="A331" t="s">
        <v>29</v>
      </c>
      <c r="B331">
        <v>314304</v>
      </c>
      <c r="C331">
        <v>21772932</v>
      </c>
      <c r="D331" s="1">
        <v>501701108170</v>
      </c>
      <c r="E331" t="s">
        <v>501</v>
      </c>
      <c r="F331" t="s">
        <v>502</v>
      </c>
      <c r="G331">
        <v>20170118</v>
      </c>
      <c r="H331">
        <v>20170203</v>
      </c>
      <c r="I331" t="s">
        <v>53</v>
      </c>
      <c r="L331" t="s">
        <v>34</v>
      </c>
      <c r="M331" t="s">
        <v>34</v>
      </c>
      <c r="N331" t="s">
        <v>35</v>
      </c>
      <c r="O331" t="s">
        <v>35</v>
      </c>
      <c r="P331" t="s">
        <v>35</v>
      </c>
      <c r="Q331" t="s">
        <v>35</v>
      </c>
      <c r="R331" t="s">
        <v>35</v>
      </c>
      <c r="S331" t="s">
        <v>34</v>
      </c>
      <c r="AD331">
        <v>20170124</v>
      </c>
      <c r="AF331" t="str">
        <f>IFERROR(VLOOKUP(RIGHT(TblFeedFile1[[#This Row],[Leave Type ]],6),LkupPayType[],2,FALSE),"TBD")</f>
        <v>TBD</v>
      </c>
      <c r="AG331" t="str">
        <f>IFERROR(VLOOKUP(TblFeedFile1[[#This Row],[ Report Number ]],LkupPayrollCycle[],2,FALSE),"TBD")</f>
        <v>Bi-Weekly</v>
      </c>
      <c r="AH331" t="str">
        <f>IF(TblFeedFile1[[#This Row],[Return to Work Date ]]="","","Y")</f>
        <v/>
      </c>
    </row>
    <row r="332" spans="1:34" x14ac:dyDescent="0.25">
      <c r="A332" t="s">
        <v>37</v>
      </c>
      <c r="B332">
        <v>314304</v>
      </c>
      <c r="C332">
        <v>21806067</v>
      </c>
      <c r="D332" s="1">
        <v>531701208973</v>
      </c>
      <c r="E332" t="s">
        <v>503</v>
      </c>
      <c r="F332" t="s">
        <v>504</v>
      </c>
      <c r="G332">
        <v>20170123</v>
      </c>
      <c r="H332">
        <v>20170212</v>
      </c>
      <c r="I332" t="s">
        <v>53</v>
      </c>
      <c r="L332" t="s">
        <v>34</v>
      </c>
      <c r="M332" t="s">
        <v>34</v>
      </c>
      <c r="N332" t="s">
        <v>35</v>
      </c>
      <c r="O332" t="s">
        <v>35</v>
      </c>
      <c r="P332" t="s">
        <v>35</v>
      </c>
      <c r="Q332" t="s">
        <v>35</v>
      </c>
      <c r="R332" t="s">
        <v>35</v>
      </c>
      <c r="S332" t="s">
        <v>34</v>
      </c>
      <c r="AD332">
        <v>20170124</v>
      </c>
      <c r="AF332" t="str">
        <f>IFERROR(VLOOKUP(RIGHT(TblFeedFile1[[#This Row],[Leave Type ]],6),LkupPayType[],2,FALSE),"TBD")</f>
        <v>TBD</v>
      </c>
      <c r="AG332" t="str">
        <f>IFERROR(VLOOKUP(TblFeedFile1[[#This Row],[ Report Number ]],LkupPayrollCycle[],2,FALSE),"TBD")</f>
        <v>Bi-Weekly</v>
      </c>
      <c r="AH332" t="str">
        <f>IF(TblFeedFile1[[#This Row],[Return to Work Date ]]="","","Y")</f>
        <v/>
      </c>
    </row>
    <row r="333" spans="1:34" x14ac:dyDescent="0.25">
      <c r="A333" t="s">
        <v>37</v>
      </c>
      <c r="B333">
        <v>314304</v>
      </c>
      <c r="C333">
        <v>21824669</v>
      </c>
      <c r="D333" s="1" t="s">
        <v>505</v>
      </c>
      <c r="E333" t="s">
        <v>506</v>
      </c>
      <c r="F333" t="s">
        <v>507</v>
      </c>
      <c r="G333">
        <v>20161114</v>
      </c>
      <c r="H333">
        <v>20170305</v>
      </c>
      <c r="I333" t="s">
        <v>185</v>
      </c>
      <c r="L333" t="s">
        <v>34</v>
      </c>
      <c r="M333" t="s">
        <v>34</v>
      </c>
      <c r="N333" t="s">
        <v>35</v>
      </c>
      <c r="O333" t="s">
        <v>35</v>
      </c>
      <c r="P333" t="s">
        <v>35</v>
      </c>
      <c r="Q333" t="s">
        <v>35</v>
      </c>
      <c r="R333" t="s">
        <v>35</v>
      </c>
      <c r="S333" t="s">
        <v>34</v>
      </c>
      <c r="AC333" t="s">
        <v>35</v>
      </c>
      <c r="AD333">
        <v>20170124</v>
      </c>
      <c r="AF333" t="str">
        <f>IFERROR(VLOOKUP(RIGHT(TblFeedFile1[[#This Row],[Leave Type ]],6),LkupPayType[],2,FALSE),"TBD")</f>
        <v>TBD</v>
      </c>
      <c r="AG333" t="str">
        <f>IFERROR(VLOOKUP(TblFeedFile1[[#This Row],[ Report Number ]],LkupPayrollCycle[],2,FALSE),"TBD")</f>
        <v>Bi-Weekly</v>
      </c>
      <c r="AH333" t="str">
        <f>IF(TblFeedFile1[[#This Row],[Return to Work Date ]]="","","Y")</f>
        <v/>
      </c>
    </row>
    <row r="334" spans="1:34" x14ac:dyDescent="0.25">
      <c r="A334" t="s">
        <v>29</v>
      </c>
      <c r="B334">
        <v>314304</v>
      </c>
      <c r="C334">
        <v>21836540</v>
      </c>
      <c r="D334" s="1" t="s">
        <v>508</v>
      </c>
      <c r="E334" t="s">
        <v>509</v>
      </c>
      <c r="F334" t="s">
        <v>510</v>
      </c>
      <c r="G334">
        <v>20160206</v>
      </c>
      <c r="H334">
        <v>20160206</v>
      </c>
      <c r="I334" t="s">
        <v>33</v>
      </c>
      <c r="L334" t="s">
        <v>34</v>
      </c>
      <c r="M334" t="s">
        <v>34</v>
      </c>
      <c r="N334" t="s">
        <v>35</v>
      </c>
      <c r="O334" t="s">
        <v>35</v>
      </c>
      <c r="P334" t="s">
        <v>35</v>
      </c>
      <c r="Q334" t="s">
        <v>35</v>
      </c>
      <c r="R334" t="s">
        <v>35</v>
      </c>
      <c r="S334" t="s">
        <v>34</v>
      </c>
      <c r="AC334" t="s">
        <v>35</v>
      </c>
      <c r="AD334">
        <v>20170124</v>
      </c>
      <c r="AF334" t="str">
        <f>IFERROR(VLOOKUP(RIGHT(TblFeedFile1[[#This Row],[Leave Type ]],6),LkupPayType[],2,FALSE),"TBD")</f>
        <v>TBD</v>
      </c>
      <c r="AG334" t="str">
        <f>IFERROR(VLOOKUP(TblFeedFile1[[#This Row],[ Report Number ]],LkupPayrollCycle[],2,FALSE),"TBD")</f>
        <v>Bi-Weekly</v>
      </c>
      <c r="AH334" t="str">
        <f>IF(TblFeedFile1[[#This Row],[Return to Work Date ]]="","","Y")</f>
        <v/>
      </c>
    </row>
    <row r="335" spans="1:34" x14ac:dyDescent="0.25">
      <c r="A335" t="s">
        <v>37</v>
      </c>
      <c r="B335">
        <v>314304</v>
      </c>
      <c r="C335">
        <v>21836540</v>
      </c>
      <c r="D335" s="1" t="s">
        <v>508</v>
      </c>
      <c r="E335" t="s">
        <v>509</v>
      </c>
      <c r="F335" t="s">
        <v>510</v>
      </c>
      <c r="G335">
        <v>20160119</v>
      </c>
      <c r="H335">
        <v>20160205</v>
      </c>
      <c r="I335" t="s">
        <v>36</v>
      </c>
      <c r="L335" t="s">
        <v>34</v>
      </c>
      <c r="M335" t="s">
        <v>34</v>
      </c>
      <c r="N335" t="s">
        <v>35</v>
      </c>
      <c r="O335" t="s">
        <v>35</v>
      </c>
      <c r="P335" t="s">
        <v>35</v>
      </c>
      <c r="Q335" t="s">
        <v>35</v>
      </c>
      <c r="R335" t="s">
        <v>35</v>
      </c>
      <c r="S335" t="s">
        <v>34</v>
      </c>
      <c r="T335">
        <v>20160206</v>
      </c>
      <c r="AC335" t="s">
        <v>35</v>
      </c>
      <c r="AD335">
        <v>20170124</v>
      </c>
      <c r="AF335" t="str">
        <f>IFERROR(VLOOKUP(RIGHT(TblFeedFile1[[#This Row],[Leave Type ]],6),LkupPayType[],2,FALSE),"TBD")</f>
        <v>TBD</v>
      </c>
      <c r="AG335" t="str">
        <f>IFERROR(VLOOKUP(TblFeedFile1[[#This Row],[ Report Number ]],LkupPayrollCycle[],2,FALSE),"TBD")</f>
        <v>Bi-Weekly</v>
      </c>
      <c r="AH335" t="str">
        <f>IF(TblFeedFile1[[#This Row],[Return to Work Date ]]="","","Y")</f>
        <v>Y</v>
      </c>
    </row>
    <row r="336" spans="1:34" x14ac:dyDescent="0.25">
      <c r="A336" t="s">
        <v>37</v>
      </c>
      <c r="B336">
        <v>314304</v>
      </c>
      <c r="C336">
        <v>21839813</v>
      </c>
      <c r="D336" s="1">
        <v>541701188374</v>
      </c>
      <c r="E336" t="s">
        <v>511</v>
      </c>
      <c r="F336" t="s">
        <v>512</v>
      </c>
      <c r="G336">
        <v>20170124</v>
      </c>
      <c r="H336">
        <v>20170313</v>
      </c>
      <c r="I336" t="s">
        <v>40</v>
      </c>
      <c r="L336" t="s">
        <v>34</v>
      </c>
      <c r="M336" t="s">
        <v>34</v>
      </c>
      <c r="N336" t="s">
        <v>35</v>
      </c>
      <c r="O336" t="s">
        <v>35</v>
      </c>
      <c r="P336" t="s">
        <v>35</v>
      </c>
      <c r="Q336" t="s">
        <v>35</v>
      </c>
      <c r="R336" t="s">
        <v>35</v>
      </c>
      <c r="S336" t="s">
        <v>34</v>
      </c>
      <c r="AD336">
        <v>20170124</v>
      </c>
      <c r="AF336" t="str">
        <f>IFERROR(VLOOKUP(RIGHT(TblFeedFile1[[#This Row],[Leave Type ]],6),LkupPayType[],2,FALSE),"TBD")</f>
        <v>TBD</v>
      </c>
      <c r="AG336" t="str">
        <f>IFERROR(VLOOKUP(TblFeedFile1[[#This Row],[ Report Number ]],LkupPayrollCycle[],2,FALSE),"TBD")</f>
        <v>Bi-Weekly</v>
      </c>
      <c r="AH336" t="str">
        <f>IF(TblFeedFile1[[#This Row],[Return to Work Date ]]="","","Y")</f>
        <v/>
      </c>
    </row>
    <row r="337" spans="1:34" x14ac:dyDescent="0.25">
      <c r="A337" t="s">
        <v>29</v>
      </c>
      <c r="B337">
        <v>314305</v>
      </c>
      <c r="C337">
        <v>21872611</v>
      </c>
      <c r="D337" s="1" t="s">
        <v>513</v>
      </c>
      <c r="E337" t="s">
        <v>514</v>
      </c>
      <c r="F337" t="s">
        <v>515</v>
      </c>
      <c r="G337">
        <v>20170113</v>
      </c>
      <c r="H337">
        <v>20170113</v>
      </c>
      <c r="I337" t="s">
        <v>33</v>
      </c>
      <c r="L337" t="s">
        <v>34</v>
      </c>
      <c r="M337" t="s">
        <v>34</v>
      </c>
      <c r="N337" t="s">
        <v>35</v>
      </c>
      <c r="O337" t="s">
        <v>35</v>
      </c>
      <c r="P337" t="s">
        <v>35</v>
      </c>
      <c r="Q337" t="s">
        <v>35</v>
      </c>
      <c r="R337" t="s">
        <v>35</v>
      </c>
      <c r="S337" t="s">
        <v>34</v>
      </c>
      <c r="AC337" t="s">
        <v>35</v>
      </c>
      <c r="AD337">
        <v>20170124</v>
      </c>
      <c r="AF337" t="str">
        <f>IFERROR(VLOOKUP(RIGHT(TblFeedFile1[[#This Row],[Leave Type ]],6),LkupPayType[],2,FALSE),"TBD")</f>
        <v>TBD</v>
      </c>
      <c r="AG337" t="str">
        <f>IFERROR(VLOOKUP(TblFeedFile1[[#This Row],[ Report Number ]],LkupPayrollCycle[],2,FALSE),"TBD")</f>
        <v>Bi-Weekly</v>
      </c>
      <c r="AH337" t="str">
        <f>IF(TblFeedFile1[[#This Row],[Return to Work Date ]]="","","Y")</f>
        <v/>
      </c>
    </row>
    <row r="338" spans="1:34" x14ac:dyDescent="0.25">
      <c r="A338" t="s">
        <v>37</v>
      </c>
      <c r="B338">
        <v>314305</v>
      </c>
      <c r="C338">
        <v>21872611</v>
      </c>
      <c r="D338" s="1" t="s">
        <v>513</v>
      </c>
      <c r="E338" t="s">
        <v>514</v>
      </c>
      <c r="F338" t="s">
        <v>515</v>
      </c>
      <c r="G338">
        <v>20161219</v>
      </c>
      <c r="H338">
        <v>20170112</v>
      </c>
      <c r="I338" t="s">
        <v>36</v>
      </c>
      <c r="L338" t="s">
        <v>34</v>
      </c>
      <c r="M338" t="s">
        <v>34</v>
      </c>
      <c r="N338" t="s">
        <v>35</v>
      </c>
      <c r="O338" t="s">
        <v>35</v>
      </c>
      <c r="P338" t="s">
        <v>35</v>
      </c>
      <c r="Q338" t="s">
        <v>35</v>
      </c>
      <c r="R338" t="s">
        <v>35</v>
      </c>
      <c r="S338" t="s">
        <v>34</v>
      </c>
      <c r="T338">
        <v>20170125</v>
      </c>
      <c r="AC338" t="s">
        <v>35</v>
      </c>
      <c r="AD338">
        <v>20170124</v>
      </c>
      <c r="AF338" t="str">
        <f>IFERROR(VLOOKUP(RIGHT(TblFeedFile1[[#This Row],[Leave Type ]],6),LkupPayType[],2,FALSE),"TBD")</f>
        <v>TBD</v>
      </c>
      <c r="AG338" t="str">
        <f>IFERROR(VLOOKUP(TblFeedFile1[[#This Row],[ Report Number ]],LkupPayrollCycle[],2,FALSE),"TBD")</f>
        <v>Bi-Weekly</v>
      </c>
      <c r="AH338" t="str">
        <f>IF(TblFeedFile1[[#This Row],[Return to Work Date ]]="","","Y")</f>
        <v>Y</v>
      </c>
    </row>
    <row r="339" spans="1:34" x14ac:dyDescent="0.25">
      <c r="A339" t="s">
        <v>29</v>
      </c>
      <c r="B339">
        <v>314304</v>
      </c>
      <c r="C339">
        <v>21882114</v>
      </c>
      <c r="D339" s="1" t="s">
        <v>516</v>
      </c>
      <c r="E339" t="s">
        <v>517</v>
      </c>
      <c r="F339" t="s">
        <v>518</v>
      </c>
      <c r="G339">
        <v>20170114</v>
      </c>
      <c r="H339">
        <v>20170114</v>
      </c>
      <c r="I339" t="s">
        <v>33</v>
      </c>
      <c r="L339" t="s">
        <v>34</v>
      </c>
      <c r="M339" t="s">
        <v>34</v>
      </c>
      <c r="N339" t="s">
        <v>35</v>
      </c>
      <c r="O339" t="s">
        <v>35</v>
      </c>
      <c r="P339" t="s">
        <v>35</v>
      </c>
      <c r="Q339" t="s">
        <v>35</v>
      </c>
      <c r="R339" t="s">
        <v>35</v>
      </c>
      <c r="S339" t="s">
        <v>34</v>
      </c>
      <c r="AD339">
        <v>20170124</v>
      </c>
      <c r="AF339" t="str">
        <f>IFERROR(VLOOKUP(RIGHT(TblFeedFile1[[#This Row],[Leave Type ]],6),LkupPayType[],2,FALSE),"TBD")</f>
        <v>TBD</v>
      </c>
      <c r="AG339" t="str">
        <f>IFERROR(VLOOKUP(TblFeedFile1[[#This Row],[ Report Number ]],LkupPayrollCycle[],2,FALSE),"TBD")</f>
        <v>Bi-Weekly</v>
      </c>
      <c r="AH339" t="str">
        <f>IF(TblFeedFile1[[#This Row],[Return to Work Date ]]="","","Y")</f>
        <v/>
      </c>
    </row>
    <row r="340" spans="1:34" x14ac:dyDescent="0.25">
      <c r="A340" t="s">
        <v>29</v>
      </c>
      <c r="B340">
        <v>314304</v>
      </c>
      <c r="C340">
        <v>21882114</v>
      </c>
      <c r="D340" s="1">
        <v>571701178287</v>
      </c>
      <c r="E340" t="s">
        <v>517</v>
      </c>
      <c r="F340" t="s">
        <v>518</v>
      </c>
      <c r="G340">
        <v>20170112</v>
      </c>
      <c r="H340">
        <v>20170123</v>
      </c>
      <c r="I340" t="s">
        <v>40</v>
      </c>
      <c r="L340" t="s">
        <v>34</v>
      </c>
      <c r="M340" t="s">
        <v>34</v>
      </c>
      <c r="N340" t="s">
        <v>35</v>
      </c>
      <c r="O340" t="s">
        <v>35</v>
      </c>
      <c r="P340" t="s">
        <v>35</v>
      </c>
      <c r="Q340" t="s">
        <v>35</v>
      </c>
      <c r="R340" t="s">
        <v>35</v>
      </c>
      <c r="S340" t="s">
        <v>34</v>
      </c>
      <c r="X340" t="s">
        <v>35</v>
      </c>
      <c r="AD340">
        <v>20170124</v>
      </c>
      <c r="AF340" t="str">
        <f>IFERROR(VLOOKUP(RIGHT(TblFeedFile1[[#This Row],[Leave Type ]],6),LkupPayType[],2,FALSE),"TBD")</f>
        <v>TBD</v>
      </c>
      <c r="AG340" t="str">
        <f>IFERROR(VLOOKUP(TblFeedFile1[[#This Row],[ Report Number ]],LkupPayrollCycle[],2,FALSE),"TBD")</f>
        <v>Bi-Weekly</v>
      </c>
      <c r="AH340" t="str">
        <f>IF(TblFeedFile1[[#This Row],[Return to Work Date ]]="","","Y")</f>
        <v/>
      </c>
    </row>
    <row r="341" spans="1:34" x14ac:dyDescent="0.25">
      <c r="A341" t="s">
        <v>37</v>
      </c>
      <c r="B341">
        <v>314304</v>
      </c>
      <c r="C341">
        <v>21882114</v>
      </c>
      <c r="D341" s="1">
        <v>571701178287</v>
      </c>
      <c r="E341" t="s">
        <v>517</v>
      </c>
      <c r="F341" t="s">
        <v>518</v>
      </c>
      <c r="G341">
        <v>20170112</v>
      </c>
      <c r="H341">
        <v>20170203</v>
      </c>
      <c r="I341" t="s">
        <v>40</v>
      </c>
      <c r="L341" t="s">
        <v>34</v>
      </c>
      <c r="M341" t="s">
        <v>34</v>
      </c>
      <c r="N341" t="s">
        <v>35</v>
      </c>
      <c r="O341" t="s">
        <v>35</v>
      </c>
      <c r="P341" t="s">
        <v>35</v>
      </c>
      <c r="Q341" t="s">
        <v>35</v>
      </c>
      <c r="R341" t="s">
        <v>35</v>
      </c>
      <c r="S341" t="s">
        <v>34</v>
      </c>
      <c r="X341" t="s">
        <v>35</v>
      </c>
      <c r="AD341">
        <v>20170124</v>
      </c>
      <c r="AF341" t="str">
        <f>IFERROR(VLOOKUP(RIGHT(TblFeedFile1[[#This Row],[Leave Type ]],6),LkupPayType[],2,FALSE),"TBD")</f>
        <v>TBD</v>
      </c>
      <c r="AG341" t="str">
        <f>IFERROR(VLOOKUP(TblFeedFile1[[#This Row],[ Report Number ]],LkupPayrollCycle[],2,FALSE),"TBD")</f>
        <v>Bi-Weekly</v>
      </c>
      <c r="AH341" t="str">
        <f>IF(TblFeedFile1[[#This Row],[Return to Work Date ]]="","","Y")</f>
        <v/>
      </c>
    </row>
    <row r="342" spans="1:34" x14ac:dyDescent="0.25">
      <c r="A342" t="s">
        <v>29</v>
      </c>
      <c r="B342">
        <v>314304</v>
      </c>
      <c r="C342">
        <v>21910174</v>
      </c>
      <c r="D342" s="1" t="s">
        <v>519</v>
      </c>
      <c r="E342" t="s">
        <v>520</v>
      </c>
      <c r="F342" t="s">
        <v>66</v>
      </c>
      <c r="G342">
        <v>20170103</v>
      </c>
      <c r="H342">
        <v>20170123</v>
      </c>
      <c r="I342" t="s">
        <v>78</v>
      </c>
      <c r="K342" t="s">
        <v>79</v>
      </c>
      <c r="L342" t="s">
        <v>34</v>
      </c>
      <c r="M342" t="s">
        <v>34</v>
      </c>
      <c r="N342" t="s">
        <v>35</v>
      </c>
      <c r="O342" t="s">
        <v>35</v>
      </c>
      <c r="P342" t="s">
        <v>35</v>
      </c>
      <c r="Q342" t="s">
        <v>35</v>
      </c>
      <c r="R342" t="s">
        <v>35</v>
      </c>
      <c r="S342" t="s">
        <v>34</v>
      </c>
      <c r="AD342">
        <v>20170124</v>
      </c>
      <c r="AF342" t="str">
        <f>IFERROR(VLOOKUP(RIGHT(TblFeedFile1[[#This Row],[Leave Type ]],6),LkupPayType[],2,FALSE),"TBD")</f>
        <v>TBD</v>
      </c>
      <c r="AG342" t="str">
        <f>IFERROR(VLOOKUP(TblFeedFile1[[#This Row],[ Report Number ]],LkupPayrollCycle[],2,FALSE),"TBD")</f>
        <v>Bi-Weekly</v>
      </c>
      <c r="AH342" t="str">
        <f>IF(TblFeedFile1[[#This Row],[Return to Work Date ]]="","","Y")</f>
        <v/>
      </c>
    </row>
    <row r="343" spans="1:34" x14ac:dyDescent="0.25">
      <c r="A343" t="s">
        <v>37</v>
      </c>
      <c r="B343">
        <v>314304</v>
      </c>
      <c r="C343">
        <v>21910174</v>
      </c>
      <c r="D343" s="1" t="s">
        <v>519</v>
      </c>
      <c r="E343" t="s">
        <v>520</v>
      </c>
      <c r="F343" t="s">
        <v>66</v>
      </c>
      <c r="G343">
        <v>20170124</v>
      </c>
      <c r="H343">
        <v>20170124</v>
      </c>
      <c r="I343" t="s">
        <v>33</v>
      </c>
      <c r="L343" t="s">
        <v>34</v>
      </c>
      <c r="M343" t="s">
        <v>34</v>
      </c>
      <c r="N343" t="s">
        <v>35</v>
      </c>
      <c r="O343" t="s">
        <v>35</v>
      </c>
      <c r="P343" t="s">
        <v>35</v>
      </c>
      <c r="Q343" t="s">
        <v>35</v>
      </c>
      <c r="R343" t="s">
        <v>35</v>
      </c>
      <c r="S343" t="s">
        <v>34</v>
      </c>
      <c r="AD343">
        <v>20170124</v>
      </c>
      <c r="AF343" t="str">
        <f>IFERROR(VLOOKUP(RIGHT(TblFeedFile1[[#This Row],[Leave Type ]],6),LkupPayType[],2,FALSE),"TBD")</f>
        <v>TBD</v>
      </c>
      <c r="AG343" t="str">
        <f>IFERROR(VLOOKUP(TblFeedFile1[[#This Row],[ Report Number ]],LkupPayrollCycle[],2,FALSE),"TBD")</f>
        <v>Bi-Weekly</v>
      </c>
      <c r="AH343" t="str">
        <f>IF(TblFeedFile1[[#This Row],[Return to Work Date ]]="","","Y")</f>
        <v/>
      </c>
    </row>
    <row r="344" spans="1:34" x14ac:dyDescent="0.25">
      <c r="A344" t="s">
        <v>29</v>
      </c>
      <c r="B344">
        <v>314301</v>
      </c>
      <c r="C344">
        <v>21915488</v>
      </c>
      <c r="D344" s="1" t="s">
        <v>521</v>
      </c>
      <c r="E344" t="s">
        <v>522</v>
      </c>
      <c r="F344" t="s">
        <v>523</v>
      </c>
      <c r="G344">
        <v>20170103</v>
      </c>
      <c r="H344">
        <v>20170228</v>
      </c>
      <c r="I344" t="s">
        <v>185</v>
      </c>
      <c r="L344" t="s">
        <v>34</v>
      </c>
      <c r="M344" t="s">
        <v>34</v>
      </c>
      <c r="N344" t="s">
        <v>35</v>
      </c>
      <c r="O344" t="s">
        <v>35</v>
      </c>
      <c r="P344" t="s">
        <v>35</v>
      </c>
      <c r="Q344" t="s">
        <v>35</v>
      </c>
      <c r="R344" t="s">
        <v>35</v>
      </c>
      <c r="S344" t="s">
        <v>34</v>
      </c>
      <c r="AD344">
        <v>20170124</v>
      </c>
      <c r="AF344" t="str">
        <f>IFERROR(VLOOKUP(RIGHT(TblFeedFile1[[#This Row],[Leave Type ]],6),LkupPayType[],2,FALSE),"TBD")</f>
        <v>TBD</v>
      </c>
      <c r="AG344" t="str">
        <f>IFERROR(VLOOKUP(TblFeedFile1[[#This Row],[ Report Number ]],LkupPayrollCycle[],2,FALSE),"TBD")</f>
        <v>Semi-Monthly</v>
      </c>
      <c r="AH344" t="str">
        <f>IF(TblFeedFile1[[#This Row],[Return to Work Date ]]="","","Y")</f>
        <v/>
      </c>
    </row>
    <row r="345" spans="1:34" x14ac:dyDescent="0.25">
      <c r="A345" t="s">
        <v>37</v>
      </c>
      <c r="B345">
        <v>314304</v>
      </c>
      <c r="C345">
        <v>21916602</v>
      </c>
      <c r="D345" s="1" t="s">
        <v>524</v>
      </c>
      <c r="E345" t="s">
        <v>525</v>
      </c>
      <c r="F345" t="s">
        <v>526</v>
      </c>
      <c r="G345">
        <v>20161229</v>
      </c>
      <c r="H345">
        <v>20170331</v>
      </c>
      <c r="I345" t="s">
        <v>36</v>
      </c>
      <c r="L345" t="s">
        <v>34</v>
      </c>
      <c r="M345" t="s">
        <v>34</v>
      </c>
      <c r="N345" t="s">
        <v>35</v>
      </c>
      <c r="O345" t="s">
        <v>35</v>
      </c>
      <c r="P345" t="s">
        <v>35</v>
      </c>
      <c r="Q345" t="s">
        <v>35</v>
      </c>
      <c r="R345" t="s">
        <v>35</v>
      </c>
      <c r="S345" t="s">
        <v>34</v>
      </c>
      <c r="AD345">
        <v>20170124</v>
      </c>
      <c r="AF345" t="str">
        <f>IFERROR(VLOOKUP(RIGHT(TblFeedFile1[[#This Row],[Leave Type ]],6),LkupPayType[],2,FALSE),"TBD")</f>
        <v>TBD</v>
      </c>
      <c r="AG345" t="str">
        <f>IFERROR(VLOOKUP(TblFeedFile1[[#This Row],[ Report Number ]],LkupPayrollCycle[],2,FALSE),"TBD")</f>
        <v>Bi-Weekly</v>
      </c>
      <c r="AH345" t="str">
        <f>IF(TblFeedFile1[[#This Row],[Return to Work Date ]]="","","Y")</f>
        <v/>
      </c>
    </row>
    <row r="346" spans="1:34" x14ac:dyDescent="0.25">
      <c r="A346" t="s">
        <v>29</v>
      </c>
      <c r="B346">
        <v>314301</v>
      </c>
      <c r="C346">
        <v>21932957</v>
      </c>
      <c r="D346" s="1" t="s">
        <v>527</v>
      </c>
      <c r="E346" t="s">
        <v>528</v>
      </c>
      <c r="F346" t="s">
        <v>529</v>
      </c>
      <c r="G346">
        <v>20170107</v>
      </c>
      <c r="H346">
        <v>20170107</v>
      </c>
      <c r="I346" t="s">
        <v>33</v>
      </c>
      <c r="L346" t="s">
        <v>34</v>
      </c>
      <c r="M346" t="s">
        <v>34</v>
      </c>
      <c r="N346" t="s">
        <v>35</v>
      </c>
      <c r="O346" t="s">
        <v>35</v>
      </c>
      <c r="P346" t="s">
        <v>35</v>
      </c>
      <c r="Q346" t="s">
        <v>35</v>
      </c>
      <c r="R346" t="s">
        <v>35</v>
      </c>
      <c r="S346" t="s">
        <v>34</v>
      </c>
      <c r="AC346" t="s">
        <v>35</v>
      </c>
      <c r="AD346">
        <v>20170124</v>
      </c>
      <c r="AF346" t="str">
        <f>IFERROR(VLOOKUP(RIGHT(TblFeedFile1[[#This Row],[Leave Type ]],6),LkupPayType[],2,FALSE),"TBD")</f>
        <v>TBD</v>
      </c>
      <c r="AG346" t="str">
        <f>IFERROR(VLOOKUP(TblFeedFile1[[#This Row],[ Report Number ]],LkupPayrollCycle[],2,FALSE),"TBD")</f>
        <v>Semi-Monthly</v>
      </c>
      <c r="AH346" t="str">
        <f>IF(TblFeedFile1[[#This Row],[Return to Work Date ]]="","","Y")</f>
        <v/>
      </c>
    </row>
    <row r="347" spans="1:34" x14ac:dyDescent="0.25">
      <c r="A347" t="s">
        <v>37</v>
      </c>
      <c r="B347">
        <v>314301</v>
      </c>
      <c r="C347">
        <v>21932957</v>
      </c>
      <c r="D347" s="1" t="s">
        <v>527</v>
      </c>
      <c r="E347" t="s">
        <v>528</v>
      </c>
      <c r="F347" t="s">
        <v>529</v>
      </c>
      <c r="G347">
        <v>20161024</v>
      </c>
      <c r="H347">
        <v>20170106</v>
      </c>
      <c r="I347" t="s">
        <v>223</v>
      </c>
      <c r="L347" t="s">
        <v>34</v>
      </c>
      <c r="M347" t="s">
        <v>34</v>
      </c>
      <c r="N347" t="s">
        <v>35</v>
      </c>
      <c r="O347" t="s">
        <v>35</v>
      </c>
      <c r="P347" t="s">
        <v>35</v>
      </c>
      <c r="Q347" t="s">
        <v>35</v>
      </c>
      <c r="R347" t="s">
        <v>35</v>
      </c>
      <c r="S347" t="s">
        <v>34</v>
      </c>
      <c r="T347">
        <v>20170109</v>
      </c>
      <c r="AC347" t="s">
        <v>35</v>
      </c>
      <c r="AD347">
        <v>20170124</v>
      </c>
      <c r="AF347" t="str">
        <f>IFERROR(VLOOKUP(RIGHT(TblFeedFile1[[#This Row],[Leave Type ]],6),LkupPayType[],2,FALSE),"TBD")</f>
        <v>TBD</v>
      </c>
      <c r="AG347" t="str">
        <f>IFERROR(VLOOKUP(TblFeedFile1[[#This Row],[ Report Number ]],LkupPayrollCycle[],2,FALSE),"TBD")</f>
        <v>Semi-Monthly</v>
      </c>
      <c r="AH347" t="str">
        <f>IF(TblFeedFile1[[#This Row],[Return to Work Date ]]="","","Y")</f>
        <v>Y</v>
      </c>
    </row>
    <row r="348" spans="1:34" x14ac:dyDescent="0.25">
      <c r="A348" t="s">
        <v>37</v>
      </c>
      <c r="B348">
        <v>314304</v>
      </c>
      <c r="C348">
        <v>21942306</v>
      </c>
      <c r="D348" s="1">
        <v>541612198044</v>
      </c>
      <c r="E348" t="s">
        <v>530</v>
      </c>
      <c r="F348" t="s">
        <v>531</v>
      </c>
      <c r="G348">
        <v>20170119</v>
      </c>
      <c r="H348">
        <v>20170209</v>
      </c>
      <c r="I348" t="s">
        <v>53</v>
      </c>
      <c r="L348" t="s">
        <v>35</v>
      </c>
      <c r="AD348">
        <v>20170124</v>
      </c>
      <c r="AF348" t="str">
        <f>IFERROR(VLOOKUP(RIGHT(TblFeedFile1[[#This Row],[Leave Type ]],6),LkupPayType[],2,FALSE),"TBD")</f>
        <v>TBD</v>
      </c>
      <c r="AG348" t="str">
        <f>IFERROR(VLOOKUP(TblFeedFile1[[#This Row],[ Report Number ]],LkupPayrollCycle[],2,FALSE),"TBD")</f>
        <v>Bi-Weekly</v>
      </c>
      <c r="AH348" t="str">
        <f>IF(TblFeedFile1[[#This Row],[Return to Work Date ]]="","","Y")</f>
        <v/>
      </c>
    </row>
    <row r="349" spans="1:34" x14ac:dyDescent="0.25">
      <c r="A349" t="s">
        <v>37</v>
      </c>
      <c r="B349">
        <v>314304</v>
      </c>
      <c r="C349">
        <v>21961264</v>
      </c>
      <c r="D349" s="1" t="s">
        <v>532</v>
      </c>
      <c r="E349" t="s">
        <v>533</v>
      </c>
      <c r="F349" t="s">
        <v>324</v>
      </c>
      <c r="G349">
        <v>20160803</v>
      </c>
      <c r="H349">
        <v>20160824</v>
      </c>
      <c r="I349" t="s">
        <v>36</v>
      </c>
      <c r="L349" t="s">
        <v>34</v>
      </c>
      <c r="M349" t="s">
        <v>34</v>
      </c>
      <c r="N349" t="s">
        <v>35</v>
      </c>
      <c r="O349" t="s">
        <v>35</v>
      </c>
      <c r="P349" t="s">
        <v>35</v>
      </c>
      <c r="Q349" t="s">
        <v>35</v>
      </c>
      <c r="R349" t="s">
        <v>35</v>
      </c>
      <c r="S349" t="s">
        <v>34</v>
      </c>
      <c r="AD349">
        <v>20170124</v>
      </c>
      <c r="AF349" t="str">
        <f>IFERROR(VLOOKUP(RIGHT(TblFeedFile1[[#This Row],[Leave Type ]],6),LkupPayType[],2,FALSE),"TBD")</f>
        <v>TBD</v>
      </c>
      <c r="AG349" t="str">
        <f>IFERROR(VLOOKUP(TblFeedFile1[[#This Row],[ Report Number ]],LkupPayrollCycle[],2,FALSE),"TBD")</f>
        <v>Bi-Weekly</v>
      </c>
      <c r="AH349" t="str">
        <f>IF(TblFeedFile1[[#This Row],[Return to Work Date ]]="","","Y")</f>
        <v/>
      </c>
    </row>
    <row r="350" spans="1:34" x14ac:dyDescent="0.25">
      <c r="A350" t="s">
        <v>29</v>
      </c>
      <c r="B350">
        <v>314305</v>
      </c>
      <c r="C350">
        <v>21961714</v>
      </c>
      <c r="D350" s="1" t="s">
        <v>534</v>
      </c>
      <c r="E350" t="s">
        <v>535</v>
      </c>
      <c r="F350" t="s">
        <v>536</v>
      </c>
      <c r="G350">
        <v>20140506</v>
      </c>
      <c r="H350">
        <v>20170501</v>
      </c>
      <c r="I350" t="s">
        <v>78</v>
      </c>
      <c r="L350" t="s">
        <v>34</v>
      </c>
      <c r="M350" t="s">
        <v>34</v>
      </c>
      <c r="N350" t="s">
        <v>35</v>
      </c>
      <c r="O350" t="s">
        <v>35</v>
      </c>
      <c r="P350" t="s">
        <v>35</v>
      </c>
      <c r="Q350" t="s">
        <v>35</v>
      </c>
      <c r="R350" t="s">
        <v>35</v>
      </c>
      <c r="S350" t="s">
        <v>34</v>
      </c>
      <c r="AC350" t="s">
        <v>35</v>
      </c>
      <c r="AD350">
        <v>20170124</v>
      </c>
      <c r="AF350" t="str">
        <f>IFERROR(VLOOKUP(RIGHT(TblFeedFile1[[#This Row],[Leave Type ]],6),LkupPayType[],2,FALSE),"TBD")</f>
        <v>TBD</v>
      </c>
      <c r="AG350" t="str">
        <f>IFERROR(VLOOKUP(TblFeedFile1[[#This Row],[ Report Number ]],LkupPayrollCycle[],2,FALSE),"TBD")</f>
        <v>Bi-Weekly</v>
      </c>
      <c r="AH350" t="str">
        <f>IF(TblFeedFile1[[#This Row],[Return to Work Date ]]="","","Y")</f>
        <v/>
      </c>
    </row>
    <row r="351" spans="1:34" x14ac:dyDescent="0.25">
      <c r="A351" t="s">
        <v>29</v>
      </c>
      <c r="B351">
        <v>314305</v>
      </c>
      <c r="C351">
        <v>21961714</v>
      </c>
      <c r="D351" s="1" t="s">
        <v>534</v>
      </c>
      <c r="E351" t="s">
        <v>535</v>
      </c>
      <c r="F351" t="s">
        <v>536</v>
      </c>
      <c r="G351">
        <v>20130804</v>
      </c>
      <c r="H351">
        <v>20170501</v>
      </c>
      <c r="I351" t="s">
        <v>537</v>
      </c>
      <c r="L351" t="s">
        <v>34</v>
      </c>
      <c r="M351" t="s">
        <v>34</v>
      </c>
      <c r="N351" t="s">
        <v>35</v>
      </c>
      <c r="O351" t="s">
        <v>35</v>
      </c>
      <c r="P351" t="s">
        <v>35</v>
      </c>
      <c r="Q351" t="s">
        <v>35</v>
      </c>
      <c r="R351" t="s">
        <v>35</v>
      </c>
      <c r="S351" t="s">
        <v>34</v>
      </c>
      <c r="AC351" t="s">
        <v>35</v>
      </c>
      <c r="AD351">
        <v>20170124</v>
      </c>
      <c r="AF351" t="str">
        <f>IFERROR(VLOOKUP(RIGHT(TblFeedFile1[[#This Row],[Leave Type ]],6),LkupPayType[],2,FALSE),"TBD")</f>
        <v>TBD</v>
      </c>
      <c r="AG351" t="str">
        <f>IFERROR(VLOOKUP(TblFeedFile1[[#This Row],[ Report Number ]],LkupPayrollCycle[],2,FALSE),"TBD")</f>
        <v>Bi-Weekly</v>
      </c>
      <c r="AH351" t="str">
        <f>IF(TblFeedFile1[[#This Row],[Return to Work Date ]]="","","Y")</f>
        <v/>
      </c>
    </row>
    <row r="352" spans="1:34" x14ac:dyDescent="0.25">
      <c r="A352" t="s">
        <v>29</v>
      </c>
      <c r="B352">
        <v>314305</v>
      </c>
      <c r="C352">
        <v>21961714</v>
      </c>
      <c r="D352" s="1" t="s">
        <v>534</v>
      </c>
      <c r="E352" t="s">
        <v>535</v>
      </c>
      <c r="F352" t="s">
        <v>536</v>
      </c>
      <c r="G352">
        <v>20130605</v>
      </c>
      <c r="H352">
        <v>20170501</v>
      </c>
      <c r="I352" t="s">
        <v>303</v>
      </c>
      <c r="L352" t="s">
        <v>34</v>
      </c>
      <c r="M352" t="s">
        <v>34</v>
      </c>
      <c r="N352" t="s">
        <v>35</v>
      </c>
      <c r="O352" t="s">
        <v>35</v>
      </c>
      <c r="P352" t="s">
        <v>35</v>
      </c>
      <c r="Q352" t="s">
        <v>35</v>
      </c>
      <c r="R352" t="s">
        <v>35</v>
      </c>
      <c r="S352" t="s">
        <v>34</v>
      </c>
      <c r="AC352" t="s">
        <v>35</v>
      </c>
      <c r="AD352">
        <v>20170124</v>
      </c>
      <c r="AF352" t="str">
        <f>IFERROR(VLOOKUP(RIGHT(TblFeedFile1[[#This Row],[Leave Type ]],6),LkupPayType[],2,FALSE),"TBD")</f>
        <v>TBD</v>
      </c>
      <c r="AG352" t="str">
        <f>IFERROR(VLOOKUP(TblFeedFile1[[#This Row],[ Report Number ]],LkupPayrollCycle[],2,FALSE),"TBD")</f>
        <v>Bi-Weekly</v>
      </c>
      <c r="AH352" t="str">
        <f>IF(TblFeedFile1[[#This Row],[Return to Work Date ]]="","","Y")</f>
        <v/>
      </c>
    </row>
    <row r="353" spans="1:34" x14ac:dyDescent="0.25">
      <c r="A353" t="s">
        <v>29</v>
      </c>
      <c r="B353">
        <v>314305</v>
      </c>
      <c r="C353">
        <v>21961714</v>
      </c>
      <c r="D353" s="1" t="s">
        <v>534</v>
      </c>
      <c r="E353" t="s">
        <v>535</v>
      </c>
      <c r="F353" t="s">
        <v>536</v>
      </c>
      <c r="G353">
        <v>20130506</v>
      </c>
      <c r="H353">
        <v>20170501</v>
      </c>
      <c r="I353" t="s">
        <v>201</v>
      </c>
      <c r="L353" t="s">
        <v>34</v>
      </c>
      <c r="M353" t="s">
        <v>34</v>
      </c>
      <c r="N353" t="s">
        <v>35</v>
      </c>
      <c r="O353" t="s">
        <v>35</v>
      </c>
      <c r="P353" t="s">
        <v>35</v>
      </c>
      <c r="Q353" t="s">
        <v>35</v>
      </c>
      <c r="R353" t="s">
        <v>35</v>
      </c>
      <c r="S353" t="s">
        <v>34</v>
      </c>
      <c r="AC353" t="s">
        <v>35</v>
      </c>
      <c r="AD353">
        <v>20170124</v>
      </c>
      <c r="AF353" t="str">
        <f>IFERROR(VLOOKUP(RIGHT(TblFeedFile1[[#This Row],[Leave Type ]],6),LkupPayType[],2,FALSE),"TBD")</f>
        <v>TBD</v>
      </c>
      <c r="AG353" t="str">
        <f>IFERROR(VLOOKUP(TblFeedFile1[[#This Row],[ Report Number ]],LkupPayrollCycle[],2,FALSE),"TBD")</f>
        <v>Bi-Weekly</v>
      </c>
      <c r="AH353" t="str">
        <f>IF(TblFeedFile1[[#This Row],[Return to Work Date ]]="","","Y")</f>
        <v/>
      </c>
    </row>
    <row r="354" spans="1:34" x14ac:dyDescent="0.25">
      <c r="A354" t="s">
        <v>37</v>
      </c>
      <c r="B354">
        <v>314305</v>
      </c>
      <c r="C354">
        <v>21961714</v>
      </c>
      <c r="D354" s="1" t="s">
        <v>534</v>
      </c>
      <c r="E354" t="s">
        <v>535</v>
      </c>
      <c r="F354" t="s">
        <v>536</v>
      </c>
      <c r="G354">
        <v>20130605</v>
      </c>
      <c r="H354">
        <v>20170122</v>
      </c>
      <c r="I354" t="s">
        <v>303</v>
      </c>
      <c r="L354" t="s">
        <v>34</v>
      </c>
      <c r="M354" t="s">
        <v>34</v>
      </c>
      <c r="N354" t="s">
        <v>35</v>
      </c>
      <c r="O354" t="s">
        <v>35</v>
      </c>
      <c r="P354" t="s">
        <v>35</v>
      </c>
      <c r="Q354" t="s">
        <v>35</v>
      </c>
      <c r="R354" t="s">
        <v>35</v>
      </c>
      <c r="S354" t="s">
        <v>34</v>
      </c>
      <c r="AC354" t="s">
        <v>35</v>
      </c>
      <c r="AD354">
        <v>20170124</v>
      </c>
      <c r="AF354" t="str">
        <f>IFERROR(VLOOKUP(RIGHT(TblFeedFile1[[#This Row],[Leave Type ]],6),LkupPayType[],2,FALSE),"TBD")</f>
        <v>TBD</v>
      </c>
      <c r="AG354" t="str">
        <f>IFERROR(VLOOKUP(TblFeedFile1[[#This Row],[ Report Number ]],LkupPayrollCycle[],2,FALSE),"TBD")</f>
        <v>Bi-Weekly</v>
      </c>
      <c r="AH354" t="str">
        <f>IF(TblFeedFile1[[#This Row],[Return to Work Date ]]="","","Y")</f>
        <v/>
      </c>
    </row>
    <row r="355" spans="1:34" x14ac:dyDescent="0.25">
      <c r="A355" t="s">
        <v>37</v>
      </c>
      <c r="B355">
        <v>314305</v>
      </c>
      <c r="C355">
        <v>21961714</v>
      </c>
      <c r="D355" s="1" t="s">
        <v>534</v>
      </c>
      <c r="E355" t="s">
        <v>535</v>
      </c>
      <c r="F355" t="s">
        <v>536</v>
      </c>
      <c r="G355">
        <v>20130804</v>
      </c>
      <c r="H355">
        <v>20170122</v>
      </c>
      <c r="I355" t="s">
        <v>201</v>
      </c>
      <c r="L355" t="s">
        <v>34</v>
      </c>
      <c r="M355" t="s">
        <v>34</v>
      </c>
      <c r="N355" t="s">
        <v>35</v>
      </c>
      <c r="O355" t="s">
        <v>35</v>
      </c>
      <c r="P355" t="s">
        <v>35</v>
      </c>
      <c r="Q355" t="s">
        <v>35</v>
      </c>
      <c r="R355" t="s">
        <v>35</v>
      </c>
      <c r="S355" t="s">
        <v>34</v>
      </c>
      <c r="AC355" t="s">
        <v>35</v>
      </c>
      <c r="AD355">
        <v>20170124</v>
      </c>
      <c r="AF355" t="str">
        <f>IFERROR(VLOOKUP(RIGHT(TblFeedFile1[[#This Row],[Leave Type ]],6),LkupPayType[],2,FALSE),"TBD")</f>
        <v>TBD</v>
      </c>
      <c r="AG355" t="str">
        <f>IFERROR(VLOOKUP(TblFeedFile1[[#This Row],[ Report Number ]],LkupPayrollCycle[],2,FALSE),"TBD")</f>
        <v>Bi-Weekly</v>
      </c>
      <c r="AH355" t="str">
        <f>IF(TblFeedFile1[[#This Row],[Return to Work Date ]]="","","Y")</f>
        <v/>
      </c>
    </row>
    <row r="356" spans="1:34" x14ac:dyDescent="0.25">
      <c r="A356" t="s">
        <v>37</v>
      </c>
      <c r="B356">
        <v>314305</v>
      </c>
      <c r="C356">
        <v>21961714</v>
      </c>
      <c r="D356" s="1" t="s">
        <v>534</v>
      </c>
      <c r="E356" t="s">
        <v>535</v>
      </c>
      <c r="F356" t="s">
        <v>536</v>
      </c>
      <c r="G356">
        <v>20170123</v>
      </c>
      <c r="H356">
        <v>20170123</v>
      </c>
      <c r="I356" t="s">
        <v>33</v>
      </c>
      <c r="L356" t="s">
        <v>34</v>
      </c>
      <c r="M356" t="s">
        <v>34</v>
      </c>
      <c r="N356" t="s">
        <v>35</v>
      </c>
      <c r="O356" t="s">
        <v>35</v>
      </c>
      <c r="P356" t="s">
        <v>35</v>
      </c>
      <c r="Q356" t="s">
        <v>35</v>
      </c>
      <c r="R356" t="s">
        <v>35</v>
      </c>
      <c r="S356" t="s">
        <v>34</v>
      </c>
      <c r="AC356" t="s">
        <v>35</v>
      </c>
      <c r="AD356">
        <v>20170124</v>
      </c>
      <c r="AF356" t="str">
        <f>IFERROR(VLOOKUP(RIGHT(TblFeedFile1[[#This Row],[Leave Type ]],6),LkupPayType[],2,FALSE),"TBD")</f>
        <v>TBD</v>
      </c>
      <c r="AG356" t="str">
        <f>IFERROR(VLOOKUP(TblFeedFile1[[#This Row],[ Report Number ]],LkupPayrollCycle[],2,FALSE),"TBD")</f>
        <v>Bi-Weekly</v>
      </c>
      <c r="AH356" t="str">
        <f>IF(TblFeedFile1[[#This Row],[Return to Work Date ]]="","","Y")</f>
        <v/>
      </c>
    </row>
    <row r="357" spans="1:34" x14ac:dyDescent="0.25">
      <c r="A357" t="s">
        <v>29</v>
      </c>
      <c r="B357">
        <v>314304</v>
      </c>
      <c r="C357">
        <v>21977886</v>
      </c>
      <c r="D357" s="1" t="s">
        <v>538</v>
      </c>
      <c r="E357" t="s">
        <v>539</v>
      </c>
      <c r="F357" t="s">
        <v>540</v>
      </c>
      <c r="G357">
        <v>20170112</v>
      </c>
      <c r="H357">
        <v>20170112</v>
      </c>
      <c r="I357" t="s">
        <v>33</v>
      </c>
      <c r="L357" t="s">
        <v>34</v>
      </c>
      <c r="M357" t="s">
        <v>34</v>
      </c>
      <c r="N357" t="s">
        <v>35</v>
      </c>
      <c r="O357" t="s">
        <v>35</v>
      </c>
      <c r="P357" t="s">
        <v>35</v>
      </c>
      <c r="Q357" t="s">
        <v>35</v>
      </c>
      <c r="R357" t="s">
        <v>35</v>
      </c>
      <c r="S357" t="s">
        <v>34</v>
      </c>
      <c r="AD357">
        <v>20170124</v>
      </c>
      <c r="AF357" t="str">
        <f>IFERROR(VLOOKUP(RIGHT(TblFeedFile1[[#This Row],[Leave Type ]],6),LkupPayType[],2,FALSE),"TBD")</f>
        <v>TBD</v>
      </c>
      <c r="AG357" t="str">
        <f>IFERROR(VLOOKUP(TblFeedFile1[[#This Row],[ Report Number ]],LkupPayrollCycle[],2,FALSE),"TBD")</f>
        <v>Bi-Weekly</v>
      </c>
      <c r="AH357" t="str">
        <f>IF(TblFeedFile1[[#This Row],[Return to Work Date ]]="","","Y")</f>
        <v/>
      </c>
    </row>
    <row r="358" spans="1:34" x14ac:dyDescent="0.25">
      <c r="A358" t="s">
        <v>37</v>
      </c>
      <c r="B358">
        <v>314304</v>
      </c>
      <c r="C358">
        <v>21977886</v>
      </c>
      <c r="D358" s="1" t="s">
        <v>538</v>
      </c>
      <c r="E358" t="s">
        <v>539</v>
      </c>
      <c r="F358" t="s">
        <v>540</v>
      </c>
      <c r="G358">
        <v>20161230</v>
      </c>
      <c r="H358">
        <v>20170111</v>
      </c>
      <c r="I358" t="s">
        <v>36</v>
      </c>
      <c r="L358" t="s">
        <v>34</v>
      </c>
      <c r="M358" t="s">
        <v>34</v>
      </c>
      <c r="N358" t="s">
        <v>35</v>
      </c>
      <c r="O358" t="s">
        <v>35</v>
      </c>
      <c r="P358" t="s">
        <v>35</v>
      </c>
      <c r="Q358" t="s">
        <v>35</v>
      </c>
      <c r="R358" t="s">
        <v>35</v>
      </c>
      <c r="S358" t="s">
        <v>34</v>
      </c>
      <c r="T358">
        <v>20170112</v>
      </c>
      <c r="AD358">
        <v>20170124</v>
      </c>
      <c r="AF358" t="str">
        <f>IFERROR(VLOOKUP(RIGHT(TblFeedFile1[[#This Row],[Leave Type ]],6),LkupPayType[],2,FALSE),"TBD")</f>
        <v>TBD</v>
      </c>
      <c r="AG358" t="str">
        <f>IFERROR(VLOOKUP(TblFeedFile1[[#This Row],[ Report Number ]],LkupPayrollCycle[],2,FALSE),"TBD")</f>
        <v>Bi-Weekly</v>
      </c>
      <c r="AH358" t="str">
        <f>IF(TblFeedFile1[[#This Row],[Return to Work Date ]]="","","Y")</f>
        <v>Y</v>
      </c>
    </row>
    <row r="359" spans="1:34" x14ac:dyDescent="0.25">
      <c r="A359" t="s">
        <v>29</v>
      </c>
      <c r="B359">
        <v>314304</v>
      </c>
      <c r="C359">
        <v>21990313</v>
      </c>
      <c r="D359" s="1">
        <v>551701178115</v>
      </c>
      <c r="E359" t="s">
        <v>541</v>
      </c>
      <c r="F359" t="s">
        <v>542</v>
      </c>
      <c r="G359">
        <v>20170110</v>
      </c>
      <c r="H359">
        <v>20170131</v>
      </c>
      <c r="I359" t="s">
        <v>40</v>
      </c>
      <c r="L359" t="s">
        <v>34</v>
      </c>
      <c r="M359" t="s">
        <v>34</v>
      </c>
      <c r="N359" t="s">
        <v>35</v>
      </c>
      <c r="O359" t="s">
        <v>35</v>
      </c>
      <c r="P359" t="s">
        <v>35</v>
      </c>
      <c r="Q359" t="s">
        <v>35</v>
      </c>
      <c r="R359" t="s">
        <v>35</v>
      </c>
      <c r="S359" t="s">
        <v>34</v>
      </c>
      <c r="AD359">
        <v>20170124</v>
      </c>
      <c r="AF359" t="str">
        <f>IFERROR(VLOOKUP(RIGHT(TblFeedFile1[[#This Row],[Leave Type ]],6),LkupPayType[],2,FALSE),"TBD")</f>
        <v>TBD</v>
      </c>
      <c r="AG359" t="str">
        <f>IFERROR(VLOOKUP(TblFeedFile1[[#This Row],[ Report Number ]],LkupPayrollCycle[],2,FALSE),"TBD")</f>
        <v>Bi-Weekly</v>
      </c>
      <c r="AH359" t="str">
        <f>IF(TblFeedFile1[[#This Row],[Return to Work Date ]]="","","Y")</f>
        <v/>
      </c>
    </row>
    <row r="360" spans="1:34" x14ac:dyDescent="0.25">
      <c r="A360" t="s">
        <v>37</v>
      </c>
      <c r="B360">
        <v>314304</v>
      </c>
      <c r="C360">
        <v>21990313</v>
      </c>
      <c r="D360" s="1">
        <v>551701178115</v>
      </c>
      <c r="E360" t="s">
        <v>541</v>
      </c>
      <c r="F360" t="s">
        <v>542</v>
      </c>
      <c r="G360">
        <v>20170110</v>
      </c>
      <c r="H360">
        <v>20170203</v>
      </c>
      <c r="I360" t="s">
        <v>40</v>
      </c>
      <c r="L360" t="s">
        <v>34</v>
      </c>
      <c r="M360" t="s">
        <v>34</v>
      </c>
      <c r="N360" t="s">
        <v>35</v>
      </c>
      <c r="O360" t="s">
        <v>35</v>
      </c>
      <c r="P360" t="s">
        <v>35</v>
      </c>
      <c r="Q360" t="s">
        <v>35</v>
      </c>
      <c r="R360" t="s">
        <v>35</v>
      </c>
      <c r="S360" t="s">
        <v>34</v>
      </c>
      <c r="AD360">
        <v>20170124</v>
      </c>
      <c r="AF360" t="str">
        <f>IFERROR(VLOOKUP(RIGHT(TblFeedFile1[[#This Row],[Leave Type ]],6),LkupPayType[],2,FALSE),"TBD")</f>
        <v>TBD</v>
      </c>
      <c r="AG360" t="str">
        <f>IFERROR(VLOOKUP(TblFeedFile1[[#This Row],[ Report Number ]],LkupPayrollCycle[],2,FALSE),"TBD")</f>
        <v>Bi-Weekly</v>
      </c>
      <c r="AH360" t="str">
        <f>IF(TblFeedFile1[[#This Row],[Return to Work Date ]]="","","Y")</f>
        <v/>
      </c>
    </row>
    <row r="361" spans="1:34" x14ac:dyDescent="0.25">
      <c r="A361" t="s">
        <v>37</v>
      </c>
      <c r="B361">
        <v>314301</v>
      </c>
      <c r="C361">
        <v>22005839</v>
      </c>
      <c r="D361" s="1" t="s">
        <v>543</v>
      </c>
      <c r="E361" t="s">
        <v>544</v>
      </c>
      <c r="F361" t="s">
        <v>545</v>
      </c>
      <c r="G361">
        <v>20170121</v>
      </c>
      <c r="H361">
        <v>20170121</v>
      </c>
      <c r="I361" t="s">
        <v>33</v>
      </c>
      <c r="L361" t="s">
        <v>34</v>
      </c>
      <c r="M361" t="s">
        <v>34</v>
      </c>
      <c r="N361" t="s">
        <v>35</v>
      </c>
      <c r="O361" t="s">
        <v>35</v>
      </c>
      <c r="P361" t="s">
        <v>35</v>
      </c>
      <c r="Q361" t="s">
        <v>35</v>
      </c>
      <c r="R361" t="s">
        <v>35</v>
      </c>
      <c r="S361" t="s">
        <v>34</v>
      </c>
      <c r="AC361" t="s">
        <v>35</v>
      </c>
      <c r="AD361">
        <v>20170124</v>
      </c>
      <c r="AF361" t="str">
        <f>IFERROR(VLOOKUP(RIGHT(TblFeedFile1[[#This Row],[Leave Type ]],6),LkupPayType[],2,FALSE),"TBD")</f>
        <v>TBD</v>
      </c>
      <c r="AG361" t="str">
        <f>IFERROR(VLOOKUP(TblFeedFile1[[#This Row],[ Report Number ]],LkupPayrollCycle[],2,FALSE),"TBD")</f>
        <v>Semi-Monthly</v>
      </c>
      <c r="AH361" t="str">
        <f>IF(TblFeedFile1[[#This Row],[Return to Work Date ]]="","","Y")</f>
        <v/>
      </c>
    </row>
    <row r="362" spans="1:34" x14ac:dyDescent="0.25">
      <c r="A362" t="s">
        <v>37</v>
      </c>
      <c r="B362">
        <v>314304</v>
      </c>
      <c r="C362">
        <v>22009079</v>
      </c>
      <c r="D362" s="1" t="s">
        <v>546</v>
      </c>
      <c r="E362" t="s">
        <v>547</v>
      </c>
      <c r="F362" t="s">
        <v>548</v>
      </c>
      <c r="G362">
        <v>20170121</v>
      </c>
      <c r="H362">
        <v>20170121</v>
      </c>
      <c r="I362" t="s">
        <v>33</v>
      </c>
      <c r="L362" t="s">
        <v>34</v>
      </c>
      <c r="M362" t="s">
        <v>34</v>
      </c>
      <c r="N362" t="s">
        <v>35</v>
      </c>
      <c r="O362" t="s">
        <v>35</v>
      </c>
      <c r="P362" t="s">
        <v>35</v>
      </c>
      <c r="Q362" t="s">
        <v>35</v>
      </c>
      <c r="R362" t="s">
        <v>35</v>
      </c>
      <c r="S362" t="s">
        <v>34</v>
      </c>
      <c r="AC362" t="s">
        <v>35</v>
      </c>
      <c r="AD362">
        <v>20170124</v>
      </c>
      <c r="AF362" t="str">
        <f>IFERROR(VLOOKUP(RIGHT(TblFeedFile1[[#This Row],[Leave Type ]],6),LkupPayType[],2,FALSE),"TBD")</f>
        <v>TBD</v>
      </c>
      <c r="AG362" t="str">
        <f>IFERROR(VLOOKUP(TblFeedFile1[[#This Row],[ Report Number ]],LkupPayrollCycle[],2,FALSE),"TBD")</f>
        <v>Bi-Weekly</v>
      </c>
      <c r="AH362" t="str">
        <f>IF(TblFeedFile1[[#This Row],[Return to Work Date ]]="","","Y")</f>
        <v/>
      </c>
    </row>
    <row r="363" spans="1:34" x14ac:dyDescent="0.25">
      <c r="A363" t="s">
        <v>37</v>
      </c>
      <c r="B363">
        <v>314301</v>
      </c>
      <c r="C363">
        <v>22034287</v>
      </c>
      <c r="D363" s="1" t="s">
        <v>549</v>
      </c>
      <c r="E363" t="s">
        <v>550</v>
      </c>
      <c r="F363" t="s">
        <v>551</v>
      </c>
      <c r="G363">
        <v>20170123</v>
      </c>
      <c r="H363">
        <v>20170320</v>
      </c>
      <c r="I363" t="s">
        <v>223</v>
      </c>
      <c r="L363" t="s">
        <v>34</v>
      </c>
      <c r="M363" t="s">
        <v>34</v>
      </c>
      <c r="N363" t="s">
        <v>35</v>
      </c>
      <c r="O363" t="s">
        <v>35</v>
      </c>
      <c r="P363" t="s">
        <v>35</v>
      </c>
      <c r="Q363" t="s">
        <v>35</v>
      </c>
      <c r="R363" t="s">
        <v>35</v>
      </c>
      <c r="S363" t="s">
        <v>34</v>
      </c>
      <c r="AD363">
        <v>20170124</v>
      </c>
      <c r="AF363" t="str">
        <f>IFERROR(VLOOKUP(RIGHT(TblFeedFile1[[#This Row],[Leave Type ]],6),LkupPayType[],2,FALSE),"TBD")</f>
        <v>TBD</v>
      </c>
      <c r="AG363" t="str">
        <f>IFERROR(VLOOKUP(TblFeedFile1[[#This Row],[ Report Number ]],LkupPayrollCycle[],2,FALSE),"TBD")</f>
        <v>Semi-Monthly</v>
      </c>
      <c r="AH363" t="str">
        <f>IF(TblFeedFile1[[#This Row],[Return to Work Date ]]="","","Y")</f>
        <v/>
      </c>
    </row>
    <row r="364" spans="1:34" x14ac:dyDescent="0.25">
      <c r="A364" t="s">
        <v>37</v>
      </c>
      <c r="B364">
        <v>314304</v>
      </c>
      <c r="C364">
        <v>22039851</v>
      </c>
      <c r="D364" s="1" t="s">
        <v>552</v>
      </c>
      <c r="E364" t="s">
        <v>356</v>
      </c>
      <c r="F364" t="s">
        <v>553</v>
      </c>
      <c r="G364">
        <v>20170124</v>
      </c>
      <c r="H364">
        <v>20170515</v>
      </c>
      <c r="I364" t="s">
        <v>223</v>
      </c>
      <c r="L364" t="s">
        <v>34</v>
      </c>
      <c r="M364" t="s">
        <v>34</v>
      </c>
      <c r="N364" t="s">
        <v>35</v>
      </c>
      <c r="O364" t="s">
        <v>35</v>
      </c>
      <c r="P364" t="s">
        <v>35</v>
      </c>
      <c r="Q364" t="s">
        <v>35</v>
      </c>
      <c r="R364" t="s">
        <v>35</v>
      </c>
      <c r="S364" t="s">
        <v>34</v>
      </c>
      <c r="AD364">
        <v>20170124</v>
      </c>
      <c r="AF364" t="str">
        <f>IFERROR(VLOOKUP(RIGHT(TblFeedFile1[[#This Row],[Leave Type ]],6),LkupPayType[],2,FALSE),"TBD")</f>
        <v>TBD</v>
      </c>
      <c r="AG364" t="str">
        <f>IFERROR(VLOOKUP(TblFeedFile1[[#This Row],[ Report Number ]],LkupPayrollCycle[],2,FALSE),"TBD")</f>
        <v>Bi-Weekly</v>
      </c>
      <c r="AH364" t="str">
        <f>IF(TblFeedFile1[[#This Row],[Return to Work Date ]]="","","Y")</f>
        <v/>
      </c>
    </row>
    <row r="365" spans="1:34" x14ac:dyDescent="0.25">
      <c r="A365" t="s">
        <v>37</v>
      </c>
      <c r="B365">
        <v>314305</v>
      </c>
      <c r="C365">
        <v>22043890</v>
      </c>
      <c r="D365" s="1">
        <v>501701068590</v>
      </c>
      <c r="E365" t="s">
        <v>299</v>
      </c>
      <c r="F365" t="s">
        <v>554</v>
      </c>
      <c r="G365">
        <v>20170110</v>
      </c>
      <c r="H365">
        <v>20170124</v>
      </c>
      <c r="I365" t="s">
        <v>40</v>
      </c>
      <c r="L365" t="s">
        <v>34</v>
      </c>
      <c r="M365" t="s">
        <v>34</v>
      </c>
      <c r="N365" t="s">
        <v>35</v>
      </c>
      <c r="O365" t="s">
        <v>35</v>
      </c>
      <c r="P365" t="s">
        <v>35</v>
      </c>
      <c r="Q365" t="s">
        <v>35</v>
      </c>
      <c r="R365" t="s">
        <v>35</v>
      </c>
      <c r="S365" t="s">
        <v>34</v>
      </c>
      <c r="T365">
        <v>20170125</v>
      </c>
      <c r="AD365">
        <v>20170124</v>
      </c>
      <c r="AF365" t="str">
        <f>IFERROR(VLOOKUP(RIGHT(TblFeedFile1[[#This Row],[Leave Type ]],6),LkupPayType[],2,FALSE),"TBD")</f>
        <v>TBD</v>
      </c>
      <c r="AG365" t="str">
        <f>IFERROR(VLOOKUP(TblFeedFile1[[#This Row],[ Report Number ]],LkupPayrollCycle[],2,FALSE),"TBD")</f>
        <v>Bi-Weekly</v>
      </c>
      <c r="AH365" t="str">
        <f>IF(TblFeedFile1[[#This Row],[Return to Work Date ]]="","","Y")</f>
        <v>Y</v>
      </c>
    </row>
    <row r="366" spans="1:34" x14ac:dyDescent="0.25">
      <c r="A366" t="s">
        <v>37</v>
      </c>
      <c r="B366">
        <v>314304</v>
      </c>
      <c r="C366">
        <v>22061978</v>
      </c>
      <c r="D366" s="1" t="s">
        <v>555</v>
      </c>
      <c r="E366" t="s">
        <v>556</v>
      </c>
      <c r="F366" t="s">
        <v>557</v>
      </c>
      <c r="G366">
        <v>20170123</v>
      </c>
      <c r="H366">
        <v>20170206</v>
      </c>
      <c r="I366" t="s">
        <v>223</v>
      </c>
      <c r="L366" t="s">
        <v>34</v>
      </c>
      <c r="M366" t="s">
        <v>34</v>
      </c>
      <c r="N366" t="s">
        <v>35</v>
      </c>
      <c r="O366" t="s">
        <v>35</v>
      </c>
      <c r="P366" t="s">
        <v>35</v>
      </c>
      <c r="Q366" t="s">
        <v>35</v>
      </c>
      <c r="R366" t="s">
        <v>35</v>
      </c>
      <c r="S366" t="s">
        <v>34</v>
      </c>
      <c r="AD366">
        <v>20170124</v>
      </c>
      <c r="AF366" t="str">
        <f>IFERROR(VLOOKUP(RIGHT(TblFeedFile1[[#This Row],[Leave Type ]],6),LkupPayType[],2,FALSE),"TBD")</f>
        <v>TBD</v>
      </c>
      <c r="AG366" t="str">
        <f>IFERROR(VLOOKUP(TblFeedFile1[[#This Row],[ Report Number ]],LkupPayrollCycle[],2,FALSE),"TBD")</f>
        <v>Bi-Weekly</v>
      </c>
      <c r="AH366" t="str">
        <f>IF(TblFeedFile1[[#This Row],[Return to Work Date ]]="","","Y")</f>
        <v/>
      </c>
    </row>
    <row r="367" spans="1:34" x14ac:dyDescent="0.25">
      <c r="A367" t="s">
        <v>37</v>
      </c>
      <c r="B367">
        <v>314304</v>
      </c>
      <c r="C367">
        <v>22093421</v>
      </c>
      <c r="D367" s="1" t="s">
        <v>558</v>
      </c>
      <c r="E367" t="s">
        <v>559</v>
      </c>
      <c r="F367" t="s">
        <v>560</v>
      </c>
      <c r="G367">
        <v>20170124</v>
      </c>
      <c r="H367">
        <v>20170214</v>
      </c>
      <c r="I367" t="s">
        <v>36</v>
      </c>
      <c r="L367" t="s">
        <v>34</v>
      </c>
      <c r="M367" t="s">
        <v>34</v>
      </c>
      <c r="N367" t="s">
        <v>35</v>
      </c>
      <c r="O367" t="s">
        <v>35</v>
      </c>
      <c r="P367" t="s">
        <v>35</v>
      </c>
      <c r="Q367" t="s">
        <v>35</v>
      </c>
      <c r="R367" t="s">
        <v>35</v>
      </c>
      <c r="S367" t="s">
        <v>34</v>
      </c>
      <c r="AD367">
        <v>20170124</v>
      </c>
      <c r="AF367" t="str">
        <f>IFERROR(VLOOKUP(RIGHT(TblFeedFile1[[#This Row],[Leave Type ]],6),LkupPayType[],2,FALSE),"TBD")</f>
        <v>TBD</v>
      </c>
      <c r="AG367" t="str">
        <f>IFERROR(VLOOKUP(TblFeedFile1[[#This Row],[ Report Number ]],LkupPayrollCycle[],2,FALSE),"TBD")</f>
        <v>Bi-Weekly</v>
      </c>
      <c r="AH367" t="str">
        <f>IF(TblFeedFile1[[#This Row],[Return to Work Date ]]="","","Y")</f>
        <v/>
      </c>
    </row>
    <row r="368" spans="1:34" x14ac:dyDescent="0.25">
      <c r="A368" t="s">
        <v>37</v>
      </c>
      <c r="B368">
        <v>314304</v>
      </c>
      <c r="C368">
        <v>22109050</v>
      </c>
      <c r="D368" s="1" t="s">
        <v>561</v>
      </c>
      <c r="E368" t="s">
        <v>562</v>
      </c>
      <c r="F368" t="s">
        <v>563</v>
      </c>
      <c r="G368">
        <v>20170109</v>
      </c>
      <c r="H368">
        <v>20170122</v>
      </c>
      <c r="I368" t="s">
        <v>156</v>
      </c>
      <c r="L368" t="s">
        <v>34</v>
      </c>
      <c r="M368" t="s">
        <v>34</v>
      </c>
      <c r="N368" t="s">
        <v>35</v>
      </c>
      <c r="O368" t="s">
        <v>35</v>
      </c>
      <c r="P368" t="s">
        <v>35</v>
      </c>
      <c r="Q368" t="s">
        <v>35</v>
      </c>
      <c r="R368" t="s">
        <v>35</v>
      </c>
      <c r="S368" t="s">
        <v>34</v>
      </c>
      <c r="T368">
        <v>20170123</v>
      </c>
      <c r="AD368">
        <v>20170124</v>
      </c>
      <c r="AF368" t="str">
        <f>IFERROR(VLOOKUP(RIGHT(TblFeedFile1[[#This Row],[Leave Type ]],6),LkupPayType[],2,FALSE),"TBD")</f>
        <v>TBD</v>
      </c>
      <c r="AG368" t="str">
        <f>IFERROR(VLOOKUP(TblFeedFile1[[#This Row],[ Report Number ]],LkupPayrollCycle[],2,FALSE),"TBD")</f>
        <v>Bi-Weekly</v>
      </c>
      <c r="AH368" t="str">
        <f>IF(TblFeedFile1[[#This Row],[Return to Work Date ]]="","","Y")</f>
        <v>Y</v>
      </c>
    </row>
    <row r="369" spans="1:34" x14ac:dyDescent="0.25">
      <c r="A369" t="s">
        <v>37</v>
      </c>
      <c r="B369">
        <v>314304</v>
      </c>
      <c r="C369">
        <v>22109450</v>
      </c>
      <c r="D369" s="1" t="s">
        <v>564</v>
      </c>
      <c r="E369" t="s">
        <v>565</v>
      </c>
      <c r="F369" t="s">
        <v>566</v>
      </c>
      <c r="G369">
        <v>20161228</v>
      </c>
      <c r="H369">
        <v>20170109</v>
      </c>
      <c r="I369" t="s">
        <v>223</v>
      </c>
      <c r="L369" t="s">
        <v>34</v>
      </c>
      <c r="M369" t="s">
        <v>34</v>
      </c>
      <c r="N369" t="s">
        <v>35</v>
      </c>
      <c r="O369" t="s">
        <v>35</v>
      </c>
      <c r="P369" t="s">
        <v>35</v>
      </c>
      <c r="Q369" t="s">
        <v>35</v>
      </c>
      <c r="R369" t="s">
        <v>35</v>
      </c>
      <c r="S369" t="s">
        <v>34</v>
      </c>
      <c r="AC369" t="s">
        <v>35</v>
      </c>
      <c r="AD369">
        <v>20170124</v>
      </c>
      <c r="AF369" t="str">
        <f>IFERROR(VLOOKUP(RIGHT(TblFeedFile1[[#This Row],[Leave Type ]],6),LkupPayType[],2,FALSE),"TBD")</f>
        <v>TBD</v>
      </c>
      <c r="AG369" t="str">
        <f>IFERROR(VLOOKUP(TblFeedFile1[[#This Row],[ Report Number ]],LkupPayrollCycle[],2,FALSE),"TBD")</f>
        <v>Bi-Weekly</v>
      </c>
      <c r="AH369" t="str">
        <f>IF(TblFeedFile1[[#This Row],[Return to Work Date ]]="","","Y")</f>
        <v/>
      </c>
    </row>
    <row r="370" spans="1:34" x14ac:dyDescent="0.25">
      <c r="A370" t="s">
        <v>37</v>
      </c>
      <c r="B370">
        <v>314301</v>
      </c>
      <c r="C370">
        <v>22164044</v>
      </c>
      <c r="D370" s="1" t="s">
        <v>567</v>
      </c>
      <c r="E370" t="s">
        <v>568</v>
      </c>
      <c r="F370" t="s">
        <v>569</v>
      </c>
      <c r="G370">
        <v>20170121</v>
      </c>
      <c r="H370">
        <v>20170121</v>
      </c>
      <c r="I370" t="s">
        <v>33</v>
      </c>
      <c r="L370" t="s">
        <v>34</v>
      </c>
      <c r="M370" t="s">
        <v>34</v>
      </c>
      <c r="N370" t="s">
        <v>35</v>
      </c>
      <c r="O370" t="s">
        <v>35</v>
      </c>
      <c r="P370" t="s">
        <v>35</v>
      </c>
      <c r="Q370" t="s">
        <v>35</v>
      </c>
      <c r="R370" t="s">
        <v>35</v>
      </c>
      <c r="S370" t="s">
        <v>34</v>
      </c>
      <c r="AC370" t="s">
        <v>35</v>
      </c>
      <c r="AD370">
        <v>20170124</v>
      </c>
      <c r="AF370" t="str">
        <f>IFERROR(VLOOKUP(RIGHT(TblFeedFile1[[#This Row],[Leave Type ]],6),LkupPayType[],2,FALSE),"TBD")</f>
        <v>TBD</v>
      </c>
      <c r="AG370" t="str">
        <f>IFERROR(VLOOKUP(TblFeedFile1[[#This Row],[ Report Number ]],LkupPayrollCycle[],2,FALSE),"TBD")</f>
        <v>Semi-Monthly</v>
      </c>
      <c r="AH370" t="str">
        <f>IF(TblFeedFile1[[#This Row],[Return to Work Date ]]="","","Y")</f>
        <v/>
      </c>
    </row>
    <row r="371" spans="1:34" x14ac:dyDescent="0.25">
      <c r="A371" t="s">
        <v>29</v>
      </c>
      <c r="B371">
        <v>314305</v>
      </c>
      <c r="C371">
        <v>22187238</v>
      </c>
      <c r="D371" s="1" t="s">
        <v>570</v>
      </c>
      <c r="E371" t="s">
        <v>571</v>
      </c>
      <c r="F371" t="s">
        <v>572</v>
      </c>
      <c r="G371">
        <v>20170107</v>
      </c>
      <c r="H371">
        <v>20170107</v>
      </c>
      <c r="I371" t="s">
        <v>33</v>
      </c>
      <c r="L371" t="s">
        <v>34</v>
      </c>
      <c r="M371" t="s">
        <v>34</v>
      </c>
      <c r="N371" t="s">
        <v>35</v>
      </c>
      <c r="O371" t="s">
        <v>35</v>
      </c>
      <c r="P371" t="s">
        <v>35</v>
      </c>
      <c r="Q371" t="s">
        <v>35</v>
      </c>
      <c r="R371" t="s">
        <v>35</v>
      </c>
      <c r="S371" t="s">
        <v>34</v>
      </c>
      <c r="AC371" t="s">
        <v>35</v>
      </c>
      <c r="AD371">
        <v>20170124</v>
      </c>
      <c r="AF371" t="str">
        <f>IFERROR(VLOOKUP(RIGHT(TblFeedFile1[[#This Row],[Leave Type ]],6),LkupPayType[],2,FALSE),"TBD")</f>
        <v>TBD</v>
      </c>
      <c r="AG371" t="str">
        <f>IFERROR(VLOOKUP(TblFeedFile1[[#This Row],[ Report Number ]],LkupPayrollCycle[],2,FALSE),"TBD")</f>
        <v>Bi-Weekly</v>
      </c>
      <c r="AH371" t="str">
        <f>IF(TblFeedFile1[[#This Row],[Return to Work Date ]]="","","Y")</f>
        <v/>
      </c>
    </row>
    <row r="372" spans="1:34" x14ac:dyDescent="0.25">
      <c r="A372" t="s">
        <v>29</v>
      </c>
      <c r="B372">
        <v>314305</v>
      </c>
      <c r="C372">
        <v>22187238</v>
      </c>
      <c r="D372" s="1" t="s">
        <v>570</v>
      </c>
      <c r="E372" t="s">
        <v>571</v>
      </c>
      <c r="F372" t="s">
        <v>572</v>
      </c>
      <c r="G372">
        <v>20150809</v>
      </c>
      <c r="H372">
        <v>20170106</v>
      </c>
      <c r="I372" t="s">
        <v>201</v>
      </c>
      <c r="L372" t="s">
        <v>34</v>
      </c>
      <c r="M372" t="s">
        <v>34</v>
      </c>
      <c r="N372" t="s">
        <v>35</v>
      </c>
      <c r="O372" t="s">
        <v>35</v>
      </c>
      <c r="P372" t="s">
        <v>35</v>
      </c>
      <c r="Q372" t="s">
        <v>35</v>
      </c>
      <c r="R372" t="s">
        <v>35</v>
      </c>
      <c r="S372" t="s">
        <v>34</v>
      </c>
      <c r="AC372" t="s">
        <v>35</v>
      </c>
      <c r="AD372">
        <v>20170124</v>
      </c>
      <c r="AF372" t="str">
        <f>IFERROR(VLOOKUP(RIGHT(TblFeedFile1[[#This Row],[Leave Type ]],6),LkupPayType[],2,FALSE),"TBD")</f>
        <v>TBD</v>
      </c>
      <c r="AG372" t="str">
        <f>IFERROR(VLOOKUP(TblFeedFile1[[#This Row],[ Report Number ]],LkupPayrollCycle[],2,FALSE),"TBD")</f>
        <v>Bi-Weekly</v>
      </c>
      <c r="AH372" t="str">
        <f>IF(TblFeedFile1[[#This Row],[Return to Work Date ]]="","","Y")</f>
        <v/>
      </c>
    </row>
    <row r="373" spans="1:34" x14ac:dyDescent="0.25">
      <c r="A373" t="s">
        <v>37</v>
      </c>
      <c r="B373">
        <v>314305</v>
      </c>
      <c r="C373">
        <v>22187238</v>
      </c>
      <c r="D373" s="1" t="s">
        <v>570</v>
      </c>
      <c r="E373" t="s">
        <v>571</v>
      </c>
      <c r="F373" t="s">
        <v>572</v>
      </c>
      <c r="G373">
        <v>20150809</v>
      </c>
      <c r="H373">
        <v>20170808</v>
      </c>
      <c r="I373" t="s">
        <v>201</v>
      </c>
      <c r="L373" t="s">
        <v>34</v>
      </c>
      <c r="M373" t="s">
        <v>34</v>
      </c>
      <c r="N373" t="s">
        <v>35</v>
      </c>
      <c r="O373" t="s">
        <v>35</v>
      </c>
      <c r="P373" t="s">
        <v>35</v>
      </c>
      <c r="Q373" t="s">
        <v>35</v>
      </c>
      <c r="R373" t="s">
        <v>35</v>
      </c>
      <c r="S373" t="s">
        <v>34</v>
      </c>
      <c r="AC373" t="s">
        <v>35</v>
      </c>
      <c r="AD373">
        <v>20170124</v>
      </c>
      <c r="AF373" t="str">
        <f>IFERROR(VLOOKUP(RIGHT(TblFeedFile1[[#This Row],[Leave Type ]],6),LkupPayType[],2,FALSE),"TBD")</f>
        <v>TBD</v>
      </c>
      <c r="AG373" t="str">
        <f>IFERROR(VLOOKUP(TblFeedFile1[[#This Row],[ Report Number ]],LkupPayrollCycle[],2,FALSE),"TBD")</f>
        <v>Bi-Weekly</v>
      </c>
      <c r="AH373" t="str">
        <f>IF(TblFeedFile1[[#This Row],[Return to Work Date ]]="","","Y")</f>
        <v/>
      </c>
    </row>
    <row r="374" spans="1:34" x14ac:dyDescent="0.25">
      <c r="A374" t="s">
        <v>37</v>
      </c>
      <c r="B374">
        <v>314302</v>
      </c>
      <c r="C374">
        <v>22194352</v>
      </c>
      <c r="D374" s="1" t="s">
        <v>573</v>
      </c>
      <c r="E374" t="s">
        <v>171</v>
      </c>
      <c r="F374" t="s">
        <v>574</v>
      </c>
      <c r="G374">
        <v>20170121</v>
      </c>
      <c r="H374">
        <v>20170121</v>
      </c>
      <c r="I374" t="s">
        <v>33</v>
      </c>
      <c r="L374" t="s">
        <v>34</v>
      </c>
      <c r="M374" t="s">
        <v>34</v>
      </c>
      <c r="N374" t="s">
        <v>35</v>
      </c>
      <c r="O374" t="s">
        <v>35</v>
      </c>
      <c r="P374" t="s">
        <v>35</v>
      </c>
      <c r="Q374" t="s">
        <v>35</v>
      </c>
      <c r="R374" t="s">
        <v>35</v>
      </c>
      <c r="S374" t="s">
        <v>34</v>
      </c>
      <c r="AC374" t="s">
        <v>35</v>
      </c>
      <c r="AD374">
        <v>20170124</v>
      </c>
      <c r="AF374" t="str">
        <f>IFERROR(VLOOKUP(RIGHT(TblFeedFile1[[#This Row],[Leave Type ]],6),LkupPayType[],2,FALSE),"TBD")</f>
        <v>TBD</v>
      </c>
      <c r="AG374" t="str">
        <f>IFERROR(VLOOKUP(TblFeedFile1[[#This Row],[ Report Number ]],LkupPayrollCycle[],2,FALSE),"TBD")</f>
        <v>Semi-Monthly</v>
      </c>
      <c r="AH374" t="str">
        <f>IF(TblFeedFile1[[#This Row],[Return to Work Date ]]="","","Y")</f>
        <v/>
      </c>
    </row>
    <row r="375" spans="1:34" x14ac:dyDescent="0.25">
      <c r="A375" t="s">
        <v>37</v>
      </c>
      <c r="B375">
        <v>314301</v>
      </c>
      <c r="C375">
        <v>22197064</v>
      </c>
      <c r="D375" s="1" t="s">
        <v>575</v>
      </c>
      <c r="E375" t="s">
        <v>364</v>
      </c>
      <c r="F375" t="s">
        <v>576</v>
      </c>
      <c r="G375">
        <v>20161004</v>
      </c>
      <c r="H375">
        <v>20170123</v>
      </c>
      <c r="I375" t="s">
        <v>223</v>
      </c>
      <c r="L375" t="s">
        <v>34</v>
      </c>
      <c r="M375" t="s">
        <v>34</v>
      </c>
      <c r="N375" t="s">
        <v>35</v>
      </c>
      <c r="O375" t="s">
        <v>35</v>
      </c>
      <c r="P375" t="s">
        <v>35</v>
      </c>
      <c r="Q375" t="s">
        <v>35</v>
      </c>
      <c r="R375" t="s">
        <v>35</v>
      </c>
      <c r="S375" t="s">
        <v>34</v>
      </c>
      <c r="T375">
        <v>20170124</v>
      </c>
      <c r="AD375">
        <v>20170124</v>
      </c>
      <c r="AF375" t="str">
        <f>IFERROR(VLOOKUP(RIGHT(TblFeedFile1[[#This Row],[Leave Type ]],6),LkupPayType[],2,FALSE),"TBD")</f>
        <v>TBD</v>
      </c>
      <c r="AG375" t="str">
        <f>IFERROR(VLOOKUP(TblFeedFile1[[#This Row],[ Report Number ]],LkupPayrollCycle[],2,FALSE),"TBD")</f>
        <v>Semi-Monthly</v>
      </c>
      <c r="AH375" t="str">
        <f>IF(TblFeedFile1[[#This Row],[Return to Work Date ]]="","","Y")</f>
        <v>Y</v>
      </c>
    </row>
    <row r="376" spans="1:34" x14ac:dyDescent="0.25">
      <c r="A376" t="s">
        <v>29</v>
      </c>
      <c r="B376">
        <v>314304</v>
      </c>
      <c r="C376">
        <v>22199444</v>
      </c>
      <c r="D376" s="1">
        <v>511701108131</v>
      </c>
      <c r="E376" t="s">
        <v>230</v>
      </c>
      <c r="F376" t="s">
        <v>577</v>
      </c>
      <c r="G376">
        <v>20170111</v>
      </c>
      <c r="H376">
        <v>20170124</v>
      </c>
      <c r="I376" t="s">
        <v>40</v>
      </c>
      <c r="L376" t="s">
        <v>34</v>
      </c>
      <c r="M376" t="s">
        <v>34</v>
      </c>
      <c r="N376" t="s">
        <v>35</v>
      </c>
      <c r="O376" t="s">
        <v>35</v>
      </c>
      <c r="P376" t="s">
        <v>35</v>
      </c>
      <c r="Q376" t="s">
        <v>35</v>
      </c>
      <c r="R376" t="s">
        <v>35</v>
      </c>
      <c r="S376" t="s">
        <v>34</v>
      </c>
      <c r="AD376">
        <v>20170124</v>
      </c>
      <c r="AF376" t="str">
        <f>IFERROR(VLOOKUP(RIGHT(TblFeedFile1[[#This Row],[Leave Type ]],6),LkupPayType[],2,FALSE),"TBD")</f>
        <v>TBD</v>
      </c>
      <c r="AG376" t="str">
        <f>IFERROR(VLOOKUP(TblFeedFile1[[#This Row],[ Report Number ]],LkupPayrollCycle[],2,FALSE),"TBD")</f>
        <v>Bi-Weekly</v>
      </c>
      <c r="AH376" t="str">
        <f>IF(TblFeedFile1[[#This Row],[Return to Work Date ]]="","","Y")</f>
        <v/>
      </c>
    </row>
    <row r="377" spans="1:34" x14ac:dyDescent="0.25">
      <c r="A377" t="s">
        <v>29</v>
      </c>
      <c r="B377">
        <v>314304</v>
      </c>
      <c r="C377">
        <v>22199444</v>
      </c>
      <c r="D377" s="1">
        <v>511701108131</v>
      </c>
      <c r="E377" t="s">
        <v>230</v>
      </c>
      <c r="F377" t="s">
        <v>577</v>
      </c>
      <c r="G377">
        <v>20170104</v>
      </c>
      <c r="H377">
        <v>20170124</v>
      </c>
      <c r="I377" t="s">
        <v>53</v>
      </c>
      <c r="L377" t="s">
        <v>34</v>
      </c>
      <c r="M377" t="s">
        <v>34</v>
      </c>
      <c r="N377" t="s">
        <v>35</v>
      </c>
      <c r="O377" t="s">
        <v>35</v>
      </c>
      <c r="P377" t="s">
        <v>35</v>
      </c>
      <c r="Q377" t="s">
        <v>35</v>
      </c>
      <c r="R377" t="s">
        <v>35</v>
      </c>
      <c r="S377" t="s">
        <v>34</v>
      </c>
      <c r="AD377">
        <v>20170124</v>
      </c>
      <c r="AF377" t="str">
        <f>IFERROR(VLOOKUP(RIGHT(TblFeedFile1[[#This Row],[Leave Type ]],6),LkupPayType[],2,FALSE),"TBD")</f>
        <v>TBD</v>
      </c>
      <c r="AG377" t="str">
        <f>IFERROR(VLOOKUP(TblFeedFile1[[#This Row],[ Report Number ]],LkupPayrollCycle[],2,FALSE),"TBD")</f>
        <v>Bi-Weekly</v>
      </c>
      <c r="AH377" t="str">
        <f>IF(TblFeedFile1[[#This Row],[Return to Work Date ]]="","","Y")</f>
        <v/>
      </c>
    </row>
    <row r="378" spans="1:34" x14ac:dyDescent="0.25">
      <c r="A378" t="s">
        <v>37</v>
      </c>
      <c r="B378">
        <v>314304</v>
      </c>
      <c r="C378">
        <v>22199444</v>
      </c>
      <c r="D378" s="1">
        <v>511701108131</v>
      </c>
      <c r="E378" t="s">
        <v>230</v>
      </c>
      <c r="F378" t="s">
        <v>577</v>
      </c>
      <c r="G378">
        <v>20170103</v>
      </c>
      <c r="H378">
        <v>20170216</v>
      </c>
      <c r="I378" t="s">
        <v>53</v>
      </c>
      <c r="L378" t="s">
        <v>34</v>
      </c>
      <c r="M378" t="s">
        <v>34</v>
      </c>
      <c r="N378" t="s">
        <v>35</v>
      </c>
      <c r="O378" t="s">
        <v>35</v>
      </c>
      <c r="P378" t="s">
        <v>35</v>
      </c>
      <c r="Q378" t="s">
        <v>35</v>
      </c>
      <c r="R378" t="s">
        <v>35</v>
      </c>
      <c r="S378" t="s">
        <v>34</v>
      </c>
      <c r="AD378">
        <v>20170124</v>
      </c>
      <c r="AF378" t="str">
        <f>IFERROR(VLOOKUP(RIGHT(TblFeedFile1[[#This Row],[Leave Type ]],6),LkupPayType[],2,FALSE),"TBD")</f>
        <v>TBD</v>
      </c>
      <c r="AG378" t="str">
        <f>IFERROR(VLOOKUP(TblFeedFile1[[#This Row],[ Report Number ]],LkupPayrollCycle[],2,FALSE),"TBD")</f>
        <v>Bi-Weekly</v>
      </c>
      <c r="AH378" t="str">
        <f>IF(TblFeedFile1[[#This Row],[Return to Work Date ]]="","","Y")</f>
        <v/>
      </c>
    </row>
    <row r="379" spans="1:34" x14ac:dyDescent="0.25">
      <c r="A379" t="s">
        <v>37</v>
      </c>
      <c r="B379">
        <v>314304</v>
      </c>
      <c r="C379">
        <v>22199444</v>
      </c>
      <c r="D379" s="1">
        <v>511701108131</v>
      </c>
      <c r="E379" t="s">
        <v>230</v>
      </c>
      <c r="F379" t="s">
        <v>577</v>
      </c>
      <c r="G379">
        <v>20170110</v>
      </c>
      <c r="H379">
        <v>20170216</v>
      </c>
      <c r="I379" t="s">
        <v>40</v>
      </c>
      <c r="L379" t="s">
        <v>34</v>
      </c>
      <c r="M379" t="s">
        <v>34</v>
      </c>
      <c r="N379" t="s">
        <v>35</v>
      </c>
      <c r="O379" t="s">
        <v>35</v>
      </c>
      <c r="P379" t="s">
        <v>35</v>
      </c>
      <c r="Q379" t="s">
        <v>35</v>
      </c>
      <c r="R379" t="s">
        <v>35</v>
      </c>
      <c r="S379" t="s">
        <v>34</v>
      </c>
      <c r="Y379">
        <v>525</v>
      </c>
      <c r="Z379" t="s">
        <v>306</v>
      </c>
      <c r="AA379">
        <v>20170110</v>
      </c>
      <c r="AB379">
        <v>20170703</v>
      </c>
      <c r="AD379">
        <v>20170124</v>
      </c>
      <c r="AF379" t="str">
        <f>IFERROR(VLOOKUP(RIGHT(TblFeedFile1[[#This Row],[Leave Type ]],6),LkupPayType[],2,FALSE),"TBD")</f>
        <v>TBD</v>
      </c>
      <c r="AG379" t="str">
        <f>IFERROR(VLOOKUP(TblFeedFile1[[#This Row],[ Report Number ]],LkupPayrollCycle[],2,FALSE),"TBD")</f>
        <v>Bi-Weekly</v>
      </c>
      <c r="AH379" t="str">
        <f>IF(TblFeedFile1[[#This Row],[Return to Work Date ]]="","","Y")</f>
        <v/>
      </c>
    </row>
    <row r="380" spans="1:34" x14ac:dyDescent="0.25">
      <c r="A380" t="s">
        <v>37</v>
      </c>
      <c r="B380">
        <v>314304</v>
      </c>
      <c r="C380">
        <v>22225795</v>
      </c>
      <c r="D380" s="1" t="s">
        <v>578</v>
      </c>
      <c r="E380" t="s">
        <v>579</v>
      </c>
      <c r="F380" t="s">
        <v>580</v>
      </c>
      <c r="G380">
        <v>20170121</v>
      </c>
      <c r="H380">
        <v>20170121</v>
      </c>
      <c r="I380" t="s">
        <v>33</v>
      </c>
      <c r="L380" t="s">
        <v>34</v>
      </c>
      <c r="M380" t="s">
        <v>34</v>
      </c>
      <c r="N380" t="s">
        <v>35</v>
      </c>
      <c r="O380" t="s">
        <v>35</v>
      </c>
      <c r="P380" t="s">
        <v>35</v>
      </c>
      <c r="Q380" t="s">
        <v>35</v>
      </c>
      <c r="R380" t="s">
        <v>35</v>
      </c>
      <c r="S380" t="s">
        <v>34</v>
      </c>
      <c r="AC380" t="s">
        <v>35</v>
      </c>
      <c r="AD380">
        <v>20170124</v>
      </c>
      <c r="AF380" t="str">
        <f>IFERROR(VLOOKUP(RIGHT(TblFeedFile1[[#This Row],[Leave Type ]],6),LkupPayType[],2,FALSE),"TBD")</f>
        <v>TBD</v>
      </c>
      <c r="AG380" t="str">
        <f>IFERROR(VLOOKUP(TblFeedFile1[[#This Row],[ Report Number ]],LkupPayrollCycle[],2,FALSE),"TBD")</f>
        <v>Bi-Weekly</v>
      </c>
      <c r="AH380" t="str">
        <f>IF(TblFeedFile1[[#This Row],[Return to Work Date ]]="","","Y")</f>
        <v/>
      </c>
    </row>
    <row r="381" spans="1:34" x14ac:dyDescent="0.25">
      <c r="A381" t="s">
        <v>37</v>
      </c>
      <c r="B381">
        <v>314304</v>
      </c>
      <c r="C381">
        <v>22227801</v>
      </c>
      <c r="D381" s="1" t="s">
        <v>581</v>
      </c>
      <c r="E381" t="s">
        <v>169</v>
      </c>
      <c r="F381" t="s">
        <v>197</v>
      </c>
      <c r="G381">
        <v>20170123</v>
      </c>
      <c r="H381">
        <v>20170514</v>
      </c>
      <c r="I381" t="s">
        <v>223</v>
      </c>
      <c r="L381" t="s">
        <v>34</v>
      </c>
      <c r="M381" t="s">
        <v>34</v>
      </c>
      <c r="N381" t="s">
        <v>35</v>
      </c>
      <c r="O381" t="s">
        <v>35</v>
      </c>
      <c r="P381" t="s">
        <v>35</v>
      </c>
      <c r="Q381" t="s">
        <v>35</v>
      </c>
      <c r="R381" t="s">
        <v>35</v>
      </c>
      <c r="S381" t="s">
        <v>34</v>
      </c>
      <c r="AD381">
        <v>20170124</v>
      </c>
      <c r="AF381" t="str">
        <f>IFERROR(VLOOKUP(RIGHT(TblFeedFile1[[#This Row],[Leave Type ]],6),LkupPayType[],2,FALSE),"TBD")</f>
        <v>TBD</v>
      </c>
      <c r="AG381" t="str">
        <f>IFERROR(VLOOKUP(TblFeedFile1[[#This Row],[ Report Number ]],LkupPayrollCycle[],2,FALSE),"TBD")</f>
        <v>Bi-Weekly</v>
      </c>
      <c r="AH381" t="str">
        <f>IF(TblFeedFile1[[#This Row],[Return to Work Date ]]="","","Y")</f>
        <v/>
      </c>
    </row>
    <row r="382" spans="1:34" x14ac:dyDescent="0.25">
      <c r="A382" t="s">
        <v>29</v>
      </c>
      <c r="B382">
        <v>314301</v>
      </c>
      <c r="C382">
        <v>22256791</v>
      </c>
      <c r="D382" s="1" t="s">
        <v>582</v>
      </c>
      <c r="E382" t="s">
        <v>583</v>
      </c>
      <c r="F382" t="s">
        <v>584</v>
      </c>
      <c r="G382">
        <v>20161205</v>
      </c>
      <c r="H382">
        <v>20170113</v>
      </c>
      <c r="I382" t="s">
        <v>223</v>
      </c>
      <c r="L382" t="s">
        <v>34</v>
      </c>
      <c r="M382" t="s">
        <v>34</v>
      </c>
      <c r="N382" t="s">
        <v>35</v>
      </c>
      <c r="O382" t="s">
        <v>35</v>
      </c>
      <c r="P382" t="s">
        <v>35</v>
      </c>
      <c r="Q382" t="s">
        <v>35</v>
      </c>
      <c r="R382" t="s">
        <v>35</v>
      </c>
      <c r="S382" t="s">
        <v>34</v>
      </c>
      <c r="T382">
        <v>20170117</v>
      </c>
      <c r="AD382">
        <v>20170124</v>
      </c>
      <c r="AF382" t="str">
        <f>IFERROR(VLOOKUP(RIGHT(TblFeedFile1[[#This Row],[Leave Type ]],6),LkupPayType[],2,FALSE),"TBD")</f>
        <v>TBD</v>
      </c>
      <c r="AG382" t="str">
        <f>IFERROR(VLOOKUP(TblFeedFile1[[#This Row],[ Report Number ]],LkupPayrollCycle[],2,FALSE),"TBD")</f>
        <v>Semi-Monthly</v>
      </c>
      <c r="AH382" t="str">
        <f>IF(TblFeedFile1[[#This Row],[Return to Work Date ]]="","","Y")</f>
        <v>Y</v>
      </c>
    </row>
    <row r="383" spans="1:34" x14ac:dyDescent="0.25">
      <c r="A383" t="s">
        <v>37</v>
      </c>
      <c r="B383">
        <v>314301</v>
      </c>
      <c r="C383">
        <v>22256791</v>
      </c>
      <c r="D383" s="1" t="s">
        <v>582</v>
      </c>
      <c r="E383" t="s">
        <v>583</v>
      </c>
      <c r="F383" t="s">
        <v>584</v>
      </c>
      <c r="G383">
        <v>20161205</v>
      </c>
      <c r="H383">
        <v>20170116</v>
      </c>
      <c r="I383" t="s">
        <v>223</v>
      </c>
      <c r="L383" t="s">
        <v>34</v>
      </c>
      <c r="M383" t="s">
        <v>34</v>
      </c>
      <c r="N383" t="s">
        <v>35</v>
      </c>
      <c r="O383" t="s">
        <v>35</v>
      </c>
      <c r="P383" t="s">
        <v>35</v>
      </c>
      <c r="Q383" t="s">
        <v>35</v>
      </c>
      <c r="R383" t="s">
        <v>35</v>
      </c>
      <c r="S383" t="s">
        <v>34</v>
      </c>
      <c r="T383">
        <v>20170117</v>
      </c>
      <c r="AD383">
        <v>20170124</v>
      </c>
      <c r="AF383" t="str">
        <f>IFERROR(VLOOKUP(RIGHT(TblFeedFile1[[#This Row],[Leave Type ]],6),LkupPayType[],2,FALSE),"TBD")</f>
        <v>TBD</v>
      </c>
      <c r="AG383" t="str">
        <f>IFERROR(VLOOKUP(TblFeedFile1[[#This Row],[ Report Number ]],LkupPayrollCycle[],2,FALSE),"TBD")</f>
        <v>Semi-Monthly</v>
      </c>
      <c r="AH383" t="str">
        <f>IF(TblFeedFile1[[#This Row],[Return to Work Date ]]="","","Y")</f>
        <v>Y</v>
      </c>
    </row>
    <row r="384" spans="1:34" x14ac:dyDescent="0.25">
      <c r="A384" t="s">
        <v>29</v>
      </c>
      <c r="B384">
        <v>314301</v>
      </c>
      <c r="C384">
        <v>22261483</v>
      </c>
      <c r="D384" s="1" t="s">
        <v>585</v>
      </c>
      <c r="E384" t="s">
        <v>586</v>
      </c>
      <c r="F384" t="s">
        <v>587</v>
      </c>
      <c r="G384">
        <v>20160923</v>
      </c>
      <c r="H384">
        <v>20160923</v>
      </c>
      <c r="I384" t="s">
        <v>33</v>
      </c>
      <c r="L384" t="s">
        <v>34</v>
      </c>
      <c r="M384" t="s">
        <v>34</v>
      </c>
      <c r="N384" t="s">
        <v>35</v>
      </c>
      <c r="O384" t="s">
        <v>35</v>
      </c>
      <c r="P384" t="s">
        <v>35</v>
      </c>
      <c r="Q384" t="s">
        <v>35</v>
      </c>
      <c r="R384" t="s">
        <v>35</v>
      </c>
      <c r="S384" t="s">
        <v>34</v>
      </c>
      <c r="AC384" t="s">
        <v>35</v>
      </c>
      <c r="AD384">
        <v>20170124</v>
      </c>
      <c r="AF384" t="str">
        <f>IFERROR(VLOOKUP(RIGHT(TblFeedFile1[[#This Row],[Leave Type ]],6),LkupPayType[],2,FALSE),"TBD")</f>
        <v>TBD</v>
      </c>
      <c r="AG384" t="str">
        <f>IFERROR(VLOOKUP(TblFeedFile1[[#This Row],[ Report Number ]],LkupPayrollCycle[],2,FALSE),"TBD")</f>
        <v>Semi-Monthly</v>
      </c>
      <c r="AH384" t="str">
        <f>IF(TblFeedFile1[[#This Row],[Return to Work Date ]]="","","Y")</f>
        <v/>
      </c>
    </row>
    <row r="385" spans="1:34" x14ac:dyDescent="0.25">
      <c r="A385" t="s">
        <v>29</v>
      </c>
      <c r="B385">
        <v>314301</v>
      </c>
      <c r="C385">
        <v>22261483</v>
      </c>
      <c r="D385" s="1" t="s">
        <v>585</v>
      </c>
      <c r="E385" t="s">
        <v>586</v>
      </c>
      <c r="F385" t="s">
        <v>587</v>
      </c>
      <c r="G385">
        <v>20160701</v>
      </c>
      <c r="H385">
        <v>20160922</v>
      </c>
      <c r="I385" t="s">
        <v>78</v>
      </c>
      <c r="K385" t="s">
        <v>79</v>
      </c>
      <c r="L385" t="s">
        <v>34</v>
      </c>
      <c r="M385" t="s">
        <v>34</v>
      </c>
      <c r="N385" t="s">
        <v>35</v>
      </c>
      <c r="O385" t="s">
        <v>35</v>
      </c>
      <c r="P385" t="s">
        <v>35</v>
      </c>
      <c r="Q385" t="s">
        <v>35</v>
      </c>
      <c r="R385" t="s">
        <v>35</v>
      </c>
      <c r="S385" t="s">
        <v>34</v>
      </c>
      <c r="AC385" t="s">
        <v>35</v>
      </c>
      <c r="AD385">
        <v>20170124</v>
      </c>
      <c r="AF385" t="str">
        <f>IFERROR(VLOOKUP(RIGHT(TblFeedFile1[[#This Row],[Leave Type ]],6),LkupPayType[],2,FALSE),"TBD")</f>
        <v>TBD</v>
      </c>
      <c r="AG385" t="str">
        <f>IFERROR(VLOOKUP(TblFeedFile1[[#This Row],[ Report Number ]],LkupPayrollCycle[],2,FALSE),"TBD")</f>
        <v>Semi-Monthly</v>
      </c>
      <c r="AH385" t="str">
        <f>IF(TblFeedFile1[[#This Row],[Return to Work Date ]]="","","Y")</f>
        <v/>
      </c>
    </row>
    <row r="386" spans="1:34" x14ac:dyDescent="0.25">
      <c r="A386" t="s">
        <v>37</v>
      </c>
      <c r="B386">
        <v>314301</v>
      </c>
      <c r="C386">
        <v>22261483</v>
      </c>
      <c r="D386" s="1" t="s">
        <v>585</v>
      </c>
      <c r="E386" t="s">
        <v>586</v>
      </c>
      <c r="F386" t="s">
        <v>587</v>
      </c>
      <c r="G386">
        <v>20160701</v>
      </c>
      <c r="H386">
        <v>20160930</v>
      </c>
      <c r="I386" t="s">
        <v>36</v>
      </c>
      <c r="L386" t="s">
        <v>34</v>
      </c>
      <c r="M386" t="s">
        <v>34</v>
      </c>
      <c r="N386" t="s">
        <v>35</v>
      </c>
      <c r="O386" t="s">
        <v>35</v>
      </c>
      <c r="P386" t="s">
        <v>35</v>
      </c>
      <c r="Q386" t="s">
        <v>35</v>
      </c>
      <c r="R386" t="s">
        <v>35</v>
      </c>
      <c r="S386" t="s">
        <v>34</v>
      </c>
      <c r="AD386">
        <v>20170124</v>
      </c>
      <c r="AF386" t="str">
        <f>IFERROR(VLOOKUP(RIGHT(TblFeedFile1[[#This Row],[Leave Type ]],6),LkupPayType[],2,FALSE),"TBD")</f>
        <v>TBD</v>
      </c>
      <c r="AG386" t="str">
        <f>IFERROR(VLOOKUP(TblFeedFile1[[#This Row],[ Report Number ]],LkupPayrollCycle[],2,FALSE),"TBD")</f>
        <v>Semi-Monthly</v>
      </c>
      <c r="AH386" t="str">
        <f>IF(TblFeedFile1[[#This Row],[Return to Work Date ]]="","","Y")</f>
        <v/>
      </c>
    </row>
    <row r="387" spans="1:34" x14ac:dyDescent="0.25">
      <c r="A387" t="s">
        <v>37</v>
      </c>
      <c r="B387">
        <v>314301</v>
      </c>
      <c r="C387">
        <v>22261483</v>
      </c>
      <c r="D387" s="1" t="s">
        <v>585</v>
      </c>
      <c r="E387" t="s">
        <v>586</v>
      </c>
      <c r="F387" t="s">
        <v>587</v>
      </c>
      <c r="G387">
        <v>20161001</v>
      </c>
      <c r="H387">
        <v>20161001</v>
      </c>
      <c r="I387" t="s">
        <v>33</v>
      </c>
      <c r="L387" t="s">
        <v>34</v>
      </c>
      <c r="M387" t="s">
        <v>34</v>
      </c>
      <c r="N387" t="s">
        <v>35</v>
      </c>
      <c r="O387" t="s">
        <v>35</v>
      </c>
      <c r="P387" t="s">
        <v>35</v>
      </c>
      <c r="Q387" t="s">
        <v>35</v>
      </c>
      <c r="R387" t="s">
        <v>35</v>
      </c>
      <c r="S387" t="s">
        <v>34</v>
      </c>
      <c r="AD387">
        <v>20170124</v>
      </c>
      <c r="AF387" t="str">
        <f>IFERROR(VLOOKUP(RIGHT(TblFeedFile1[[#This Row],[Leave Type ]],6),LkupPayType[],2,FALSE),"TBD")</f>
        <v>TBD</v>
      </c>
      <c r="AG387" t="str">
        <f>IFERROR(VLOOKUP(TblFeedFile1[[#This Row],[ Report Number ]],LkupPayrollCycle[],2,FALSE),"TBD")</f>
        <v>Semi-Monthly</v>
      </c>
      <c r="AH387" t="str">
        <f>IF(TblFeedFile1[[#This Row],[Return to Work Date ]]="","","Y")</f>
        <v/>
      </c>
    </row>
    <row r="388" spans="1:34" x14ac:dyDescent="0.25">
      <c r="A388" t="s">
        <v>29</v>
      </c>
      <c r="B388">
        <v>314305</v>
      </c>
      <c r="C388">
        <v>22264627</v>
      </c>
      <c r="D388" s="1">
        <v>501701098678</v>
      </c>
      <c r="E388" t="s">
        <v>588</v>
      </c>
      <c r="F388" t="s">
        <v>589</v>
      </c>
      <c r="G388">
        <v>20170109</v>
      </c>
      <c r="H388">
        <v>20170213</v>
      </c>
      <c r="I388" t="s">
        <v>40</v>
      </c>
      <c r="L388" t="s">
        <v>34</v>
      </c>
      <c r="M388" t="s">
        <v>34</v>
      </c>
      <c r="N388" t="s">
        <v>35</v>
      </c>
      <c r="O388" t="s">
        <v>35</v>
      </c>
      <c r="P388" t="s">
        <v>35</v>
      </c>
      <c r="Q388" t="s">
        <v>35</v>
      </c>
      <c r="R388" t="s">
        <v>35</v>
      </c>
      <c r="S388" t="s">
        <v>34</v>
      </c>
      <c r="AD388">
        <v>20170124</v>
      </c>
      <c r="AF388" t="str">
        <f>IFERROR(VLOOKUP(RIGHT(TblFeedFile1[[#This Row],[Leave Type ]],6),LkupPayType[],2,FALSE),"TBD")</f>
        <v>TBD</v>
      </c>
      <c r="AG388" t="str">
        <f>IFERROR(VLOOKUP(TblFeedFile1[[#This Row],[ Report Number ]],LkupPayrollCycle[],2,FALSE),"TBD")</f>
        <v>Bi-Weekly</v>
      </c>
      <c r="AH388" t="str">
        <f>IF(TblFeedFile1[[#This Row],[Return to Work Date ]]="","","Y")</f>
        <v/>
      </c>
    </row>
    <row r="389" spans="1:34" x14ac:dyDescent="0.25">
      <c r="A389" t="s">
        <v>37</v>
      </c>
      <c r="B389">
        <v>314305</v>
      </c>
      <c r="C389">
        <v>22264627</v>
      </c>
      <c r="D389" s="1">
        <v>501701098678</v>
      </c>
      <c r="E389" t="s">
        <v>588</v>
      </c>
      <c r="F389" t="s">
        <v>589</v>
      </c>
      <c r="G389">
        <v>20170109</v>
      </c>
      <c r="H389">
        <v>20170212</v>
      </c>
      <c r="I389" t="s">
        <v>40</v>
      </c>
      <c r="L389" t="s">
        <v>34</v>
      </c>
      <c r="M389" t="s">
        <v>34</v>
      </c>
      <c r="N389" t="s">
        <v>35</v>
      </c>
      <c r="O389" t="s">
        <v>35</v>
      </c>
      <c r="P389" t="s">
        <v>35</v>
      </c>
      <c r="Q389" t="s">
        <v>35</v>
      </c>
      <c r="R389" t="s">
        <v>35</v>
      </c>
      <c r="S389" t="s">
        <v>34</v>
      </c>
      <c r="AD389">
        <v>20170124</v>
      </c>
      <c r="AF389" t="str">
        <f>IFERROR(VLOOKUP(RIGHT(TblFeedFile1[[#This Row],[Leave Type ]],6),LkupPayType[],2,FALSE),"TBD")</f>
        <v>TBD</v>
      </c>
      <c r="AG389" t="str">
        <f>IFERROR(VLOOKUP(TblFeedFile1[[#This Row],[ Report Number ]],LkupPayrollCycle[],2,FALSE),"TBD")</f>
        <v>Bi-Weekly</v>
      </c>
      <c r="AH389" t="str">
        <f>IF(TblFeedFile1[[#This Row],[Return to Work Date ]]="","","Y")</f>
        <v/>
      </c>
    </row>
    <row r="390" spans="1:34" x14ac:dyDescent="0.25">
      <c r="A390" t="s">
        <v>29</v>
      </c>
      <c r="B390">
        <v>314304</v>
      </c>
      <c r="C390">
        <v>22274364</v>
      </c>
      <c r="D390" s="1" t="s">
        <v>590</v>
      </c>
      <c r="E390" t="s">
        <v>112</v>
      </c>
      <c r="F390" t="s">
        <v>591</v>
      </c>
      <c r="G390">
        <v>20170105</v>
      </c>
      <c r="H390">
        <v>20170120</v>
      </c>
      <c r="I390" t="s">
        <v>78</v>
      </c>
      <c r="K390" t="s">
        <v>79</v>
      </c>
      <c r="L390" t="s">
        <v>35</v>
      </c>
      <c r="AD390">
        <v>20170124</v>
      </c>
      <c r="AF390" t="str">
        <f>IFERROR(VLOOKUP(RIGHT(TblFeedFile1[[#This Row],[Leave Type ]],6),LkupPayType[],2,FALSE),"TBD")</f>
        <v>TBD</v>
      </c>
      <c r="AG390" t="str">
        <f>IFERROR(VLOOKUP(TblFeedFile1[[#This Row],[ Report Number ]],LkupPayrollCycle[],2,FALSE),"TBD")</f>
        <v>Bi-Weekly</v>
      </c>
      <c r="AH390" t="str">
        <f>IF(TblFeedFile1[[#This Row],[Return to Work Date ]]="","","Y")</f>
        <v/>
      </c>
    </row>
    <row r="391" spans="1:34" x14ac:dyDescent="0.25">
      <c r="A391" t="s">
        <v>37</v>
      </c>
      <c r="B391">
        <v>314304</v>
      </c>
      <c r="C391">
        <v>22274364</v>
      </c>
      <c r="D391" s="1" t="s">
        <v>590</v>
      </c>
      <c r="E391" t="s">
        <v>112</v>
      </c>
      <c r="F391" t="s">
        <v>591</v>
      </c>
      <c r="G391">
        <v>20170121</v>
      </c>
      <c r="H391">
        <v>20170121</v>
      </c>
      <c r="I391" t="s">
        <v>33</v>
      </c>
      <c r="L391" t="s">
        <v>35</v>
      </c>
      <c r="AD391">
        <v>20170124</v>
      </c>
      <c r="AF391" t="str">
        <f>IFERROR(VLOOKUP(RIGHT(TblFeedFile1[[#This Row],[Leave Type ]],6),LkupPayType[],2,FALSE),"TBD")</f>
        <v>TBD</v>
      </c>
      <c r="AG391" t="str">
        <f>IFERROR(VLOOKUP(TblFeedFile1[[#This Row],[ Report Number ]],LkupPayrollCycle[],2,FALSE),"TBD")</f>
        <v>Bi-Weekly</v>
      </c>
      <c r="AH391" t="str">
        <f>IF(TblFeedFile1[[#This Row],[Return to Work Date ]]="","","Y")</f>
        <v/>
      </c>
    </row>
    <row r="392" spans="1:34" x14ac:dyDescent="0.25">
      <c r="A392" t="s">
        <v>37</v>
      </c>
      <c r="B392">
        <v>314304</v>
      </c>
      <c r="C392">
        <v>22295518</v>
      </c>
      <c r="D392" s="1">
        <v>511701248499</v>
      </c>
      <c r="E392" t="s">
        <v>592</v>
      </c>
      <c r="F392" t="s">
        <v>593</v>
      </c>
      <c r="G392">
        <v>20170121</v>
      </c>
      <c r="I392" t="s">
        <v>53</v>
      </c>
      <c r="L392" t="s">
        <v>34</v>
      </c>
      <c r="M392" t="s">
        <v>34</v>
      </c>
      <c r="N392" t="s">
        <v>35</v>
      </c>
      <c r="O392" t="s">
        <v>35</v>
      </c>
      <c r="P392" t="s">
        <v>35</v>
      </c>
      <c r="Q392" t="s">
        <v>35</v>
      </c>
      <c r="R392" t="s">
        <v>35</v>
      </c>
      <c r="S392" t="s">
        <v>34</v>
      </c>
      <c r="AD392">
        <v>20170124</v>
      </c>
      <c r="AF392" t="str">
        <f>IFERROR(VLOOKUP(RIGHT(TblFeedFile1[[#This Row],[Leave Type ]],6),LkupPayType[],2,FALSE),"TBD")</f>
        <v>TBD</v>
      </c>
      <c r="AG392" t="str">
        <f>IFERROR(VLOOKUP(TblFeedFile1[[#This Row],[ Report Number ]],LkupPayrollCycle[],2,FALSE),"TBD")</f>
        <v>Bi-Weekly</v>
      </c>
      <c r="AH392" t="str">
        <f>IF(TblFeedFile1[[#This Row],[Return to Work Date ]]="","","Y")</f>
        <v/>
      </c>
    </row>
    <row r="393" spans="1:34" x14ac:dyDescent="0.25">
      <c r="A393" t="s">
        <v>37</v>
      </c>
      <c r="B393">
        <v>314304</v>
      </c>
      <c r="C393">
        <v>22295518</v>
      </c>
      <c r="D393" s="1" t="s">
        <v>594</v>
      </c>
      <c r="E393" t="s">
        <v>592</v>
      </c>
      <c r="F393" t="s">
        <v>593</v>
      </c>
      <c r="G393">
        <v>20170123</v>
      </c>
      <c r="H393">
        <v>20170223</v>
      </c>
      <c r="I393" t="s">
        <v>78</v>
      </c>
      <c r="K393" t="s">
        <v>79</v>
      </c>
      <c r="L393" t="s">
        <v>34</v>
      </c>
      <c r="M393" t="s">
        <v>34</v>
      </c>
      <c r="N393" t="s">
        <v>35</v>
      </c>
      <c r="O393" t="s">
        <v>35</v>
      </c>
      <c r="P393" t="s">
        <v>35</v>
      </c>
      <c r="Q393" t="s">
        <v>35</v>
      </c>
      <c r="R393" t="s">
        <v>35</v>
      </c>
      <c r="S393" t="s">
        <v>34</v>
      </c>
      <c r="AD393">
        <v>20170124</v>
      </c>
      <c r="AF393" t="str">
        <f>IFERROR(VLOOKUP(RIGHT(TblFeedFile1[[#This Row],[Leave Type ]],6),LkupPayType[],2,FALSE),"TBD")</f>
        <v>TBD</v>
      </c>
      <c r="AG393" t="str">
        <f>IFERROR(VLOOKUP(TblFeedFile1[[#This Row],[ Report Number ]],LkupPayrollCycle[],2,FALSE),"TBD")</f>
        <v>Bi-Weekly</v>
      </c>
      <c r="AH393" t="str">
        <f>IF(TblFeedFile1[[#This Row],[Return to Work Date ]]="","","Y")</f>
        <v/>
      </c>
    </row>
    <row r="394" spans="1:34" x14ac:dyDescent="0.25">
      <c r="A394" t="s">
        <v>37</v>
      </c>
      <c r="B394">
        <v>314304</v>
      </c>
      <c r="C394">
        <v>22301817</v>
      </c>
      <c r="D394" s="1" t="s">
        <v>595</v>
      </c>
      <c r="E394" t="s">
        <v>556</v>
      </c>
      <c r="F394" t="s">
        <v>596</v>
      </c>
      <c r="G394">
        <v>20170124</v>
      </c>
      <c r="H394">
        <v>20170124</v>
      </c>
      <c r="I394" t="s">
        <v>185</v>
      </c>
      <c r="L394" t="s">
        <v>34</v>
      </c>
      <c r="M394" t="s">
        <v>34</v>
      </c>
      <c r="N394" t="s">
        <v>35</v>
      </c>
      <c r="O394" t="s">
        <v>35</v>
      </c>
      <c r="P394" t="s">
        <v>35</v>
      </c>
      <c r="Q394" t="s">
        <v>35</v>
      </c>
      <c r="R394" t="s">
        <v>35</v>
      </c>
      <c r="S394" t="s">
        <v>34</v>
      </c>
      <c r="AC394" t="s">
        <v>35</v>
      </c>
      <c r="AD394">
        <v>20170124</v>
      </c>
      <c r="AF394" t="str">
        <f>IFERROR(VLOOKUP(RIGHT(TblFeedFile1[[#This Row],[Leave Type ]],6),LkupPayType[],2,FALSE),"TBD")</f>
        <v>TBD</v>
      </c>
      <c r="AG394" t="str">
        <f>IFERROR(VLOOKUP(TblFeedFile1[[#This Row],[ Report Number ]],LkupPayrollCycle[],2,FALSE),"TBD")</f>
        <v>Bi-Weekly</v>
      </c>
      <c r="AH394" t="str">
        <f>IF(TblFeedFile1[[#This Row],[Return to Work Date ]]="","","Y")</f>
        <v/>
      </c>
    </row>
    <row r="395" spans="1:34" x14ac:dyDescent="0.25">
      <c r="A395" t="s">
        <v>37</v>
      </c>
      <c r="B395">
        <v>314304</v>
      </c>
      <c r="C395">
        <v>22302299</v>
      </c>
      <c r="D395" s="1" t="s">
        <v>597</v>
      </c>
      <c r="E395" t="s">
        <v>598</v>
      </c>
      <c r="F395" t="s">
        <v>599</v>
      </c>
      <c r="G395">
        <v>20170123</v>
      </c>
      <c r="H395">
        <v>20170211</v>
      </c>
      <c r="I395" t="s">
        <v>155</v>
      </c>
      <c r="L395" t="s">
        <v>34</v>
      </c>
      <c r="M395" t="s">
        <v>34</v>
      </c>
      <c r="N395" t="s">
        <v>35</v>
      </c>
      <c r="O395" t="s">
        <v>35</v>
      </c>
      <c r="P395" t="s">
        <v>35</v>
      </c>
      <c r="Q395" t="s">
        <v>35</v>
      </c>
      <c r="R395" t="s">
        <v>35</v>
      </c>
      <c r="S395" t="s">
        <v>34</v>
      </c>
      <c r="AD395">
        <v>20170124</v>
      </c>
      <c r="AF395" t="str">
        <f>IFERROR(VLOOKUP(RIGHT(TblFeedFile1[[#This Row],[Leave Type ]],6),LkupPayType[],2,FALSE),"TBD")</f>
        <v>TBD</v>
      </c>
      <c r="AG395" t="str">
        <f>IFERROR(VLOOKUP(TblFeedFile1[[#This Row],[ Report Number ]],LkupPayrollCycle[],2,FALSE),"TBD")</f>
        <v>Bi-Weekly</v>
      </c>
      <c r="AH395" t="str">
        <f>IF(TblFeedFile1[[#This Row],[Return to Work Date ]]="","","Y")</f>
        <v/>
      </c>
    </row>
    <row r="396" spans="1:34" x14ac:dyDescent="0.25">
      <c r="A396" t="s">
        <v>37</v>
      </c>
      <c r="B396">
        <v>314304</v>
      </c>
      <c r="C396">
        <v>22332137</v>
      </c>
      <c r="D396" s="1" t="s">
        <v>600</v>
      </c>
      <c r="E396" t="s">
        <v>601</v>
      </c>
      <c r="F396" t="s">
        <v>602</v>
      </c>
      <c r="G396">
        <v>20170121</v>
      </c>
      <c r="H396">
        <v>20170121</v>
      </c>
      <c r="I396" t="s">
        <v>33</v>
      </c>
      <c r="L396" t="s">
        <v>34</v>
      </c>
      <c r="M396" t="s">
        <v>34</v>
      </c>
      <c r="N396" t="s">
        <v>35</v>
      </c>
      <c r="O396" t="s">
        <v>35</v>
      </c>
      <c r="P396" t="s">
        <v>35</v>
      </c>
      <c r="Q396" t="s">
        <v>35</v>
      </c>
      <c r="R396" t="s">
        <v>35</v>
      </c>
      <c r="S396" t="s">
        <v>34</v>
      </c>
      <c r="AC396" t="s">
        <v>35</v>
      </c>
      <c r="AD396">
        <v>20170124</v>
      </c>
      <c r="AF396" t="str">
        <f>IFERROR(VLOOKUP(RIGHT(TblFeedFile1[[#This Row],[Leave Type ]],6),LkupPayType[],2,FALSE),"TBD")</f>
        <v>TBD</v>
      </c>
      <c r="AG396" t="str">
        <f>IFERROR(VLOOKUP(TblFeedFile1[[#This Row],[ Report Number ]],LkupPayrollCycle[],2,FALSE),"TBD")</f>
        <v>Bi-Weekly</v>
      </c>
      <c r="AH396" t="str">
        <f>IF(TblFeedFile1[[#This Row],[Return to Work Date ]]="","","Y")</f>
        <v/>
      </c>
    </row>
    <row r="397" spans="1:34" x14ac:dyDescent="0.25">
      <c r="A397" t="s">
        <v>29</v>
      </c>
      <c r="B397">
        <v>314304</v>
      </c>
      <c r="C397">
        <v>22334444</v>
      </c>
      <c r="D397" s="1">
        <v>571701208017</v>
      </c>
      <c r="E397" t="s">
        <v>603</v>
      </c>
      <c r="F397" t="s">
        <v>604</v>
      </c>
      <c r="G397">
        <v>20170113</v>
      </c>
      <c r="I397" t="s">
        <v>53</v>
      </c>
      <c r="L397" t="s">
        <v>34</v>
      </c>
      <c r="M397" t="s">
        <v>34</v>
      </c>
      <c r="N397" t="s">
        <v>35</v>
      </c>
      <c r="O397" t="s">
        <v>35</v>
      </c>
      <c r="P397" t="s">
        <v>35</v>
      </c>
      <c r="Q397" t="s">
        <v>35</v>
      </c>
      <c r="R397" t="s">
        <v>35</v>
      </c>
      <c r="S397" t="s">
        <v>34</v>
      </c>
      <c r="AD397">
        <v>20170124</v>
      </c>
      <c r="AF397" t="str">
        <f>IFERROR(VLOOKUP(RIGHT(TblFeedFile1[[#This Row],[Leave Type ]],6),LkupPayType[],2,FALSE),"TBD")</f>
        <v>TBD</v>
      </c>
      <c r="AG397" t="str">
        <f>IFERROR(VLOOKUP(TblFeedFile1[[#This Row],[ Report Number ]],LkupPayrollCycle[],2,FALSE),"TBD")</f>
        <v>Bi-Weekly</v>
      </c>
      <c r="AH397" t="str">
        <f>IF(TblFeedFile1[[#This Row],[Return to Work Date ]]="","","Y")</f>
        <v/>
      </c>
    </row>
    <row r="398" spans="1:34" x14ac:dyDescent="0.25">
      <c r="A398" t="s">
        <v>37</v>
      </c>
      <c r="B398">
        <v>314304</v>
      </c>
      <c r="C398">
        <v>22334444</v>
      </c>
      <c r="D398" s="1">
        <v>571701208017</v>
      </c>
      <c r="E398" t="s">
        <v>603</v>
      </c>
      <c r="F398" t="s">
        <v>604</v>
      </c>
      <c r="G398">
        <v>20170113</v>
      </c>
      <c r="H398">
        <v>20170208</v>
      </c>
      <c r="I398" t="s">
        <v>53</v>
      </c>
      <c r="L398" t="s">
        <v>34</v>
      </c>
      <c r="M398" t="s">
        <v>34</v>
      </c>
      <c r="N398" t="s">
        <v>35</v>
      </c>
      <c r="O398" t="s">
        <v>35</v>
      </c>
      <c r="P398" t="s">
        <v>35</v>
      </c>
      <c r="Q398" t="s">
        <v>35</v>
      </c>
      <c r="R398" t="s">
        <v>35</v>
      </c>
      <c r="S398" t="s">
        <v>34</v>
      </c>
      <c r="AD398">
        <v>20170124</v>
      </c>
      <c r="AF398" t="str">
        <f>IFERROR(VLOOKUP(RIGHT(TblFeedFile1[[#This Row],[Leave Type ]],6),LkupPayType[],2,FALSE),"TBD")</f>
        <v>TBD</v>
      </c>
      <c r="AG398" t="str">
        <f>IFERROR(VLOOKUP(TblFeedFile1[[#This Row],[ Report Number ]],LkupPayrollCycle[],2,FALSE),"TBD")</f>
        <v>Bi-Weekly</v>
      </c>
      <c r="AH398" t="str">
        <f>IF(TblFeedFile1[[#This Row],[Return to Work Date ]]="","","Y")</f>
        <v/>
      </c>
    </row>
    <row r="399" spans="1:34" x14ac:dyDescent="0.25">
      <c r="A399" t="s">
        <v>37</v>
      </c>
      <c r="B399">
        <v>314304</v>
      </c>
      <c r="C399">
        <v>22334444</v>
      </c>
      <c r="D399" s="1">
        <v>571701208017</v>
      </c>
      <c r="E399" t="s">
        <v>603</v>
      </c>
      <c r="F399" t="s">
        <v>604</v>
      </c>
      <c r="G399">
        <v>20170120</v>
      </c>
      <c r="H399">
        <v>20170208</v>
      </c>
      <c r="I399" t="s">
        <v>40</v>
      </c>
      <c r="L399" t="s">
        <v>34</v>
      </c>
      <c r="M399" t="s">
        <v>34</v>
      </c>
      <c r="N399" t="s">
        <v>35</v>
      </c>
      <c r="O399" t="s">
        <v>35</v>
      </c>
      <c r="P399" t="s">
        <v>35</v>
      </c>
      <c r="Q399" t="s">
        <v>35</v>
      </c>
      <c r="R399" t="s">
        <v>35</v>
      </c>
      <c r="S399" t="s">
        <v>34</v>
      </c>
      <c r="AD399">
        <v>20170124</v>
      </c>
      <c r="AF399" t="str">
        <f>IFERROR(VLOOKUP(RIGHT(TblFeedFile1[[#This Row],[Leave Type ]],6),LkupPayType[],2,FALSE),"TBD")</f>
        <v>TBD</v>
      </c>
      <c r="AG399" t="str">
        <f>IFERROR(VLOOKUP(TblFeedFile1[[#This Row],[ Report Number ]],LkupPayrollCycle[],2,FALSE),"TBD")</f>
        <v>Bi-Weekly</v>
      </c>
      <c r="AH399" t="str">
        <f>IF(TblFeedFile1[[#This Row],[Return to Work Date ]]="","","Y")</f>
        <v/>
      </c>
    </row>
    <row r="400" spans="1:34" x14ac:dyDescent="0.25">
      <c r="A400" t="s">
        <v>37</v>
      </c>
      <c r="B400">
        <v>314304</v>
      </c>
      <c r="C400">
        <v>22337808</v>
      </c>
      <c r="D400" s="1" t="s">
        <v>605</v>
      </c>
      <c r="E400" t="s">
        <v>606</v>
      </c>
      <c r="F400" t="s">
        <v>607</v>
      </c>
      <c r="G400">
        <v>20160725</v>
      </c>
      <c r="H400">
        <v>20170120</v>
      </c>
      <c r="I400" t="s">
        <v>127</v>
      </c>
      <c r="L400" t="s">
        <v>34</v>
      </c>
      <c r="M400" t="s">
        <v>34</v>
      </c>
      <c r="N400" t="s">
        <v>35</v>
      </c>
      <c r="O400" t="s">
        <v>35</v>
      </c>
      <c r="P400" t="s">
        <v>35</v>
      </c>
      <c r="Q400" t="s">
        <v>35</v>
      </c>
      <c r="R400" t="s">
        <v>35</v>
      </c>
      <c r="S400" t="s">
        <v>34</v>
      </c>
      <c r="T400">
        <v>20170121</v>
      </c>
      <c r="AC400" t="s">
        <v>35</v>
      </c>
      <c r="AD400">
        <v>20170124</v>
      </c>
      <c r="AF400" t="str">
        <f>IFERROR(VLOOKUP(RIGHT(TblFeedFile1[[#This Row],[Leave Type ]],6),LkupPayType[],2,FALSE),"TBD")</f>
        <v>TBD</v>
      </c>
      <c r="AG400" t="str">
        <f>IFERROR(VLOOKUP(TblFeedFile1[[#This Row],[ Report Number ]],LkupPayrollCycle[],2,FALSE),"TBD")</f>
        <v>Bi-Weekly</v>
      </c>
      <c r="AH400" t="str">
        <f>IF(TblFeedFile1[[#This Row],[Return to Work Date ]]="","","Y")</f>
        <v>Y</v>
      </c>
    </row>
    <row r="401" spans="1:34" x14ac:dyDescent="0.25">
      <c r="A401" t="s">
        <v>37</v>
      </c>
      <c r="B401">
        <v>314304</v>
      </c>
      <c r="C401">
        <v>22358205</v>
      </c>
      <c r="D401" s="1" t="s">
        <v>608</v>
      </c>
      <c r="E401" t="s">
        <v>609</v>
      </c>
      <c r="F401" t="s">
        <v>610</v>
      </c>
      <c r="G401">
        <v>20170121</v>
      </c>
      <c r="H401">
        <v>20170121</v>
      </c>
      <c r="I401" t="s">
        <v>33</v>
      </c>
      <c r="L401" t="s">
        <v>34</v>
      </c>
      <c r="M401" t="s">
        <v>34</v>
      </c>
      <c r="N401" t="s">
        <v>35</v>
      </c>
      <c r="O401" t="s">
        <v>35</v>
      </c>
      <c r="P401" t="s">
        <v>35</v>
      </c>
      <c r="Q401" t="s">
        <v>35</v>
      </c>
      <c r="R401" t="s">
        <v>35</v>
      </c>
      <c r="S401" t="s">
        <v>34</v>
      </c>
      <c r="AC401" t="s">
        <v>35</v>
      </c>
      <c r="AD401">
        <v>20170124</v>
      </c>
      <c r="AF401" t="str">
        <f>IFERROR(VLOOKUP(RIGHT(TblFeedFile1[[#This Row],[Leave Type ]],6),LkupPayType[],2,FALSE),"TBD")</f>
        <v>TBD</v>
      </c>
      <c r="AG401" t="str">
        <f>IFERROR(VLOOKUP(TblFeedFile1[[#This Row],[ Report Number ]],LkupPayrollCycle[],2,FALSE),"TBD")</f>
        <v>Bi-Weekly</v>
      </c>
      <c r="AH401" t="str">
        <f>IF(TblFeedFile1[[#This Row],[Return to Work Date ]]="","","Y")</f>
        <v/>
      </c>
    </row>
    <row r="402" spans="1:34" x14ac:dyDescent="0.25">
      <c r="A402" t="s">
        <v>37</v>
      </c>
      <c r="B402">
        <v>314307</v>
      </c>
      <c r="C402">
        <v>22379454</v>
      </c>
      <c r="D402" s="1" t="s">
        <v>611</v>
      </c>
      <c r="E402" t="s">
        <v>612</v>
      </c>
      <c r="F402" t="s">
        <v>613</v>
      </c>
      <c r="G402">
        <v>20161101</v>
      </c>
      <c r="H402">
        <v>20170216</v>
      </c>
      <c r="I402" t="s">
        <v>185</v>
      </c>
      <c r="L402" t="s">
        <v>34</v>
      </c>
      <c r="M402" t="s">
        <v>34</v>
      </c>
      <c r="N402" t="s">
        <v>35</v>
      </c>
      <c r="O402" t="s">
        <v>35</v>
      </c>
      <c r="P402" t="s">
        <v>35</v>
      </c>
      <c r="Q402" t="s">
        <v>35</v>
      </c>
      <c r="R402" t="s">
        <v>35</v>
      </c>
      <c r="S402" t="s">
        <v>34</v>
      </c>
      <c r="AC402" t="s">
        <v>35</v>
      </c>
      <c r="AD402">
        <v>20170124</v>
      </c>
      <c r="AF402" t="str">
        <f>IFERROR(VLOOKUP(RIGHT(TblFeedFile1[[#This Row],[Leave Type ]],6),LkupPayType[],2,FALSE),"TBD")</f>
        <v>TBD</v>
      </c>
      <c r="AG402" t="str">
        <f>IFERROR(VLOOKUP(TblFeedFile1[[#This Row],[ Report Number ]],LkupPayrollCycle[],2,FALSE),"TBD")</f>
        <v>Semi-Monthly</v>
      </c>
      <c r="AH402" t="str">
        <f>IF(TblFeedFile1[[#This Row],[Return to Work Date ]]="","","Y")</f>
        <v/>
      </c>
    </row>
    <row r="403" spans="1:34" x14ac:dyDescent="0.25">
      <c r="A403" t="s">
        <v>29</v>
      </c>
      <c r="B403">
        <v>314301</v>
      </c>
      <c r="C403">
        <v>22383269</v>
      </c>
      <c r="D403" s="1" t="s">
        <v>614</v>
      </c>
      <c r="E403" t="s">
        <v>230</v>
      </c>
      <c r="F403" t="s">
        <v>615</v>
      </c>
      <c r="G403">
        <v>20170114</v>
      </c>
      <c r="H403">
        <v>20170114</v>
      </c>
      <c r="I403" t="s">
        <v>33</v>
      </c>
      <c r="L403" t="s">
        <v>34</v>
      </c>
      <c r="M403" t="s">
        <v>34</v>
      </c>
      <c r="N403" t="s">
        <v>35</v>
      </c>
      <c r="O403" t="s">
        <v>35</v>
      </c>
      <c r="P403" t="s">
        <v>35</v>
      </c>
      <c r="Q403" t="s">
        <v>35</v>
      </c>
      <c r="R403" t="s">
        <v>35</v>
      </c>
      <c r="S403" t="s">
        <v>34</v>
      </c>
      <c r="AC403" t="s">
        <v>35</v>
      </c>
      <c r="AD403">
        <v>20170124</v>
      </c>
      <c r="AF403" t="str">
        <f>IFERROR(VLOOKUP(RIGHT(TblFeedFile1[[#This Row],[Leave Type ]],6),LkupPayType[],2,FALSE),"TBD")</f>
        <v>TBD</v>
      </c>
      <c r="AG403" t="str">
        <f>IFERROR(VLOOKUP(TblFeedFile1[[#This Row],[ Report Number ]],LkupPayrollCycle[],2,FALSE),"TBD")</f>
        <v>Semi-Monthly</v>
      </c>
      <c r="AH403" t="str">
        <f>IF(TblFeedFile1[[#This Row],[Return to Work Date ]]="","","Y")</f>
        <v/>
      </c>
    </row>
    <row r="404" spans="1:34" x14ac:dyDescent="0.25">
      <c r="A404" t="s">
        <v>29</v>
      </c>
      <c r="B404">
        <v>314301</v>
      </c>
      <c r="C404">
        <v>22383269</v>
      </c>
      <c r="D404" s="1" t="s">
        <v>614</v>
      </c>
      <c r="E404" t="s">
        <v>230</v>
      </c>
      <c r="F404" t="s">
        <v>615</v>
      </c>
      <c r="G404">
        <v>20160926</v>
      </c>
      <c r="H404">
        <v>20170113</v>
      </c>
      <c r="I404" t="s">
        <v>223</v>
      </c>
      <c r="L404" t="s">
        <v>34</v>
      </c>
      <c r="M404" t="s">
        <v>34</v>
      </c>
      <c r="N404" t="s">
        <v>35</v>
      </c>
      <c r="O404" t="s">
        <v>35</v>
      </c>
      <c r="P404" t="s">
        <v>35</v>
      </c>
      <c r="Q404" t="s">
        <v>35</v>
      </c>
      <c r="R404" t="s">
        <v>35</v>
      </c>
      <c r="S404" t="s">
        <v>34</v>
      </c>
      <c r="AC404" t="s">
        <v>35</v>
      </c>
      <c r="AD404">
        <v>20170124</v>
      </c>
      <c r="AF404" t="str">
        <f>IFERROR(VLOOKUP(RIGHT(TblFeedFile1[[#This Row],[Leave Type ]],6),LkupPayType[],2,FALSE),"TBD")</f>
        <v>TBD</v>
      </c>
      <c r="AG404" t="str">
        <f>IFERROR(VLOOKUP(TblFeedFile1[[#This Row],[ Report Number ]],LkupPayrollCycle[],2,FALSE),"TBD")</f>
        <v>Semi-Monthly</v>
      </c>
      <c r="AH404" t="str">
        <f>IF(TblFeedFile1[[#This Row],[Return to Work Date ]]="","","Y")</f>
        <v/>
      </c>
    </row>
    <row r="405" spans="1:34" x14ac:dyDescent="0.25">
      <c r="A405" t="s">
        <v>37</v>
      </c>
      <c r="B405">
        <v>314301</v>
      </c>
      <c r="C405">
        <v>22383269</v>
      </c>
      <c r="D405" s="1" t="s">
        <v>614</v>
      </c>
      <c r="E405" t="s">
        <v>230</v>
      </c>
      <c r="F405" t="s">
        <v>615</v>
      </c>
      <c r="G405">
        <v>20160926</v>
      </c>
      <c r="H405">
        <v>20170108</v>
      </c>
      <c r="I405" t="s">
        <v>223</v>
      </c>
      <c r="L405" t="s">
        <v>34</v>
      </c>
      <c r="M405" t="s">
        <v>34</v>
      </c>
      <c r="N405" t="s">
        <v>35</v>
      </c>
      <c r="O405" t="s">
        <v>35</v>
      </c>
      <c r="P405" t="s">
        <v>35</v>
      </c>
      <c r="Q405" t="s">
        <v>35</v>
      </c>
      <c r="R405" t="s">
        <v>35</v>
      </c>
      <c r="S405" t="s">
        <v>34</v>
      </c>
      <c r="T405">
        <v>20170109</v>
      </c>
      <c r="AC405" t="s">
        <v>35</v>
      </c>
      <c r="AD405">
        <v>20170124</v>
      </c>
      <c r="AF405" t="str">
        <f>IFERROR(VLOOKUP(RIGHT(TblFeedFile1[[#This Row],[Leave Type ]],6),LkupPayType[],2,FALSE),"TBD")</f>
        <v>TBD</v>
      </c>
      <c r="AG405" t="str">
        <f>IFERROR(VLOOKUP(TblFeedFile1[[#This Row],[ Report Number ]],LkupPayrollCycle[],2,FALSE),"TBD")</f>
        <v>Semi-Monthly</v>
      </c>
      <c r="AH405" t="str">
        <f>IF(TblFeedFile1[[#This Row],[Return to Work Date ]]="","","Y")</f>
        <v>Y</v>
      </c>
    </row>
    <row r="406" spans="1:34" x14ac:dyDescent="0.25">
      <c r="A406" t="s">
        <v>29</v>
      </c>
      <c r="B406">
        <v>314301</v>
      </c>
      <c r="C406">
        <v>22397380</v>
      </c>
      <c r="D406" s="1" t="s">
        <v>616</v>
      </c>
      <c r="E406" t="s">
        <v>304</v>
      </c>
      <c r="F406" t="s">
        <v>617</v>
      </c>
      <c r="G406">
        <v>20170103</v>
      </c>
      <c r="H406">
        <v>20170213</v>
      </c>
      <c r="I406" t="s">
        <v>155</v>
      </c>
      <c r="L406" t="s">
        <v>34</v>
      </c>
      <c r="M406" t="s">
        <v>34</v>
      </c>
      <c r="N406" t="s">
        <v>35</v>
      </c>
      <c r="O406" t="s">
        <v>35</v>
      </c>
      <c r="P406" t="s">
        <v>35</v>
      </c>
      <c r="Q406" t="s">
        <v>35</v>
      </c>
      <c r="R406" t="s">
        <v>35</v>
      </c>
      <c r="S406" t="s">
        <v>34</v>
      </c>
      <c r="AD406">
        <v>20170124</v>
      </c>
      <c r="AF406" t="str">
        <f>IFERROR(VLOOKUP(RIGHT(TblFeedFile1[[#This Row],[Leave Type ]],6),LkupPayType[],2,FALSE),"TBD")</f>
        <v>TBD</v>
      </c>
      <c r="AG406" t="str">
        <f>IFERROR(VLOOKUP(TblFeedFile1[[#This Row],[ Report Number ]],LkupPayrollCycle[],2,FALSE),"TBD")</f>
        <v>Semi-Monthly</v>
      </c>
      <c r="AH406" t="str">
        <f>IF(TblFeedFile1[[#This Row],[Return to Work Date ]]="","","Y")</f>
        <v/>
      </c>
    </row>
    <row r="407" spans="1:34" x14ac:dyDescent="0.25">
      <c r="A407" t="s">
        <v>37</v>
      </c>
      <c r="B407">
        <v>314301</v>
      </c>
      <c r="C407">
        <v>22397380</v>
      </c>
      <c r="D407" s="1" t="s">
        <v>616</v>
      </c>
      <c r="E407" t="s">
        <v>304</v>
      </c>
      <c r="F407" t="s">
        <v>617</v>
      </c>
      <c r="G407">
        <v>20170103</v>
      </c>
      <c r="H407">
        <v>20170212</v>
      </c>
      <c r="I407" t="s">
        <v>155</v>
      </c>
      <c r="L407" t="s">
        <v>34</v>
      </c>
      <c r="M407" t="s">
        <v>34</v>
      </c>
      <c r="N407" t="s">
        <v>35</v>
      </c>
      <c r="O407" t="s">
        <v>35</v>
      </c>
      <c r="P407" t="s">
        <v>35</v>
      </c>
      <c r="Q407" t="s">
        <v>35</v>
      </c>
      <c r="R407" t="s">
        <v>35</v>
      </c>
      <c r="S407" t="s">
        <v>34</v>
      </c>
      <c r="AD407">
        <v>20170124</v>
      </c>
      <c r="AF407" t="str">
        <f>IFERROR(VLOOKUP(RIGHT(TblFeedFile1[[#This Row],[Leave Type ]],6),LkupPayType[],2,FALSE),"TBD")</f>
        <v>TBD</v>
      </c>
      <c r="AG407" t="str">
        <f>IFERROR(VLOOKUP(TblFeedFile1[[#This Row],[ Report Number ]],LkupPayrollCycle[],2,FALSE),"TBD")</f>
        <v>Semi-Monthly</v>
      </c>
      <c r="AH407" t="str">
        <f>IF(TblFeedFile1[[#This Row],[Return to Work Date ]]="","","Y")</f>
        <v/>
      </c>
    </row>
    <row r="408" spans="1:34" x14ac:dyDescent="0.25">
      <c r="A408" t="s">
        <v>37</v>
      </c>
      <c r="B408">
        <v>314304</v>
      </c>
      <c r="C408">
        <v>22407467</v>
      </c>
      <c r="D408" s="1" t="s">
        <v>618</v>
      </c>
      <c r="E408" t="s">
        <v>619</v>
      </c>
      <c r="F408" t="s">
        <v>620</v>
      </c>
      <c r="G408">
        <v>20170123</v>
      </c>
      <c r="H408">
        <v>20230122</v>
      </c>
      <c r="I408" t="s">
        <v>423</v>
      </c>
      <c r="L408" t="s">
        <v>34</v>
      </c>
      <c r="M408" t="s">
        <v>34</v>
      </c>
      <c r="N408" t="s">
        <v>35</v>
      </c>
      <c r="O408" t="s">
        <v>35</v>
      </c>
      <c r="P408" t="s">
        <v>35</v>
      </c>
      <c r="Q408" t="s">
        <v>35</v>
      </c>
      <c r="R408" t="s">
        <v>35</v>
      </c>
      <c r="S408" t="s">
        <v>34</v>
      </c>
      <c r="AD408">
        <v>20170124</v>
      </c>
      <c r="AF408" t="str">
        <f>IFERROR(VLOOKUP(RIGHT(TblFeedFile1[[#This Row],[Leave Type ]],6),LkupPayType[],2,FALSE),"TBD")</f>
        <v>TBD</v>
      </c>
      <c r="AG408" t="str">
        <f>IFERROR(VLOOKUP(TblFeedFile1[[#This Row],[ Report Number ]],LkupPayrollCycle[],2,FALSE),"TBD")</f>
        <v>Bi-Weekly</v>
      </c>
      <c r="AH408" t="str">
        <f>IF(TblFeedFile1[[#This Row],[Return to Work Date ]]="","","Y")</f>
        <v/>
      </c>
    </row>
    <row r="409" spans="1:34" x14ac:dyDescent="0.25">
      <c r="A409" t="s">
        <v>37</v>
      </c>
      <c r="B409">
        <v>314301</v>
      </c>
      <c r="C409">
        <v>22412790</v>
      </c>
      <c r="D409" s="1" t="s">
        <v>621</v>
      </c>
      <c r="E409" t="s">
        <v>622</v>
      </c>
      <c r="F409" t="s">
        <v>623</v>
      </c>
      <c r="G409">
        <v>20170103</v>
      </c>
      <c r="H409">
        <v>20170125</v>
      </c>
      <c r="I409" t="s">
        <v>78</v>
      </c>
      <c r="K409" t="s">
        <v>219</v>
      </c>
      <c r="L409" t="s">
        <v>34</v>
      </c>
      <c r="M409" t="s">
        <v>34</v>
      </c>
      <c r="N409" t="s">
        <v>35</v>
      </c>
      <c r="O409" t="s">
        <v>35</v>
      </c>
      <c r="P409" t="s">
        <v>35</v>
      </c>
      <c r="Q409" t="s">
        <v>35</v>
      </c>
      <c r="R409" t="s">
        <v>35</v>
      </c>
      <c r="S409" t="s">
        <v>34</v>
      </c>
      <c r="T409">
        <v>20170126</v>
      </c>
      <c r="AD409">
        <v>20170124</v>
      </c>
      <c r="AF409" t="str">
        <f>IFERROR(VLOOKUP(RIGHT(TblFeedFile1[[#This Row],[Leave Type ]],6),LkupPayType[],2,FALSE),"TBD")</f>
        <v>TBD</v>
      </c>
      <c r="AG409" t="str">
        <f>IFERROR(VLOOKUP(TblFeedFile1[[#This Row],[ Report Number ]],LkupPayrollCycle[],2,FALSE),"TBD")</f>
        <v>Semi-Monthly</v>
      </c>
      <c r="AH409" t="str">
        <f>IF(TblFeedFile1[[#This Row],[Return to Work Date ]]="","","Y")</f>
        <v>Y</v>
      </c>
    </row>
    <row r="410" spans="1:34" x14ac:dyDescent="0.25">
      <c r="A410" t="s">
        <v>29</v>
      </c>
      <c r="B410">
        <v>314301</v>
      </c>
      <c r="C410">
        <v>22429002</v>
      </c>
      <c r="D410" s="1" t="s">
        <v>624</v>
      </c>
      <c r="E410" t="s">
        <v>625</v>
      </c>
      <c r="F410" t="s">
        <v>626</v>
      </c>
      <c r="G410">
        <v>20170113</v>
      </c>
      <c r="H410">
        <v>20170310</v>
      </c>
      <c r="I410" t="s">
        <v>36</v>
      </c>
      <c r="L410" t="s">
        <v>34</v>
      </c>
      <c r="M410" t="s">
        <v>34</v>
      </c>
      <c r="N410" t="s">
        <v>35</v>
      </c>
      <c r="O410" t="s">
        <v>35</v>
      </c>
      <c r="P410" t="s">
        <v>35</v>
      </c>
      <c r="Q410" t="s">
        <v>35</v>
      </c>
      <c r="R410" t="s">
        <v>35</v>
      </c>
      <c r="S410" t="s">
        <v>34</v>
      </c>
      <c r="AD410">
        <v>20170124</v>
      </c>
      <c r="AF410" t="str">
        <f>IFERROR(VLOOKUP(RIGHT(TblFeedFile1[[#This Row],[Leave Type ]],6),LkupPayType[],2,FALSE),"TBD")</f>
        <v>TBD</v>
      </c>
      <c r="AG410" t="str">
        <f>IFERROR(VLOOKUP(TblFeedFile1[[#This Row],[ Report Number ]],LkupPayrollCycle[],2,FALSE),"TBD")</f>
        <v>Semi-Monthly</v>
      </c>
      <c r="AH410" t="str">
        <f>IF(TblFeedFile1[[#This Row],[Return to Work Date ]]="","","Y")</f>
        <v/>
      </c>
    </row>
    <row r="411" spans="1:34" x14ac:dyDescent="0.25">
      <c r="A411" t="s">
        <v>29</v>
      </c>
      <c r="B411">
        <v>314301</v>
      </c>
      <c r="C411">
        <v>22429002</v>
      </c>
      <c r="D411" s="1">
        <v>551701128605</v>
      </c>
      <c r="E411" t="s">
        <v>625</v>
      </c>
      <c r="F411" t="s">
        <v>626</v>
      </c>
      <c r="G411">
        <v>20170113</v>
      </c>
      <c r="I411" t="s">
        <v>53</v>
      </c>
      <c r="L411" t="s">
        <v>34</v>
      </c>
      <c r="M411" t="s">
        <v>34</v>
      </c>
      <c r="N411" t="s">
        <v>35</v>
      </c>
      <c r="O411" t="s">
        <v>35</v>
      </c>
      <c r="P411" t="s">
        <v>35</v>
      </c>
      <c r="Q411" t="s">
        <v>35</v>
      </c>
      <c r="R411" t="s">
        <v>35</v>
      </c>
      <c r="S411" t="s">
        <v>34</v>
      </c>
      <c r="AD411">
        <v>20170124</v>
      </c>
      <c r="AF411" t="str">
        <f>IFERROR(VLOOKUP(RIGHT(TblFeedFile1[[#This Row],[Leave Type ]],6),LkupPayType[],2,FALSE),"TBD")</f>
        <v>TBD</v>
      </c>
      <c r="AG411" t="str">
        <f>IFERROR(VLOOKUP(TblFeedFile1[[#This Row],[ Report Number ]],LkupPayrollCycle[],2,FALSE),"TBD")</f>
        <v>Semi-Monthly</v>
      </c>
      <c r="AH411" t="str">
        <f>IF(TblFeedFile1[[#This Row],[Return to Work Date ]]="","","Y")</f>
        <v/>
      </c>
    </row>
    <row r="412" spans="1:34" x14ac:dyDescent="0.25">
      <c r="A412" t="s">
        <v>37</v>
      </c>
      <c r="B412">
        <v>314301</v>
      </c>
      <c r="C412">
        <v>22429002</v>
      </c>
      <c r="D412" s="1">
        <v>551701128605</v>
      </c>
      <c r="E412" t="s">
        <v>625</v>
      </c>
      <c r="F412" t="s">
        <v>626</v>
      </c>
      <c r="G412">
        <v>20170113</v>
      </c>
      <c r="H412">
        <v>20170310</v>
      </c>
      <c r="I412" t="s">
        <v>53</v>
      </c>
      <c r="L412" t="s">
        <v>34</v>
      </c>
      <c r="M412" t="s">
        <v>34</v>
      </c>
      <c r="N412" t="s">
        <v>35</v>
      </c>
      <c r="O412" t="s">
        <v>35</v>
      </c>
      <c r="P412" t="s">
        <v>35</v>
      </c>
      <c r="Q412" t="s">
        <v>35</v>
      </c>
      <c r="R412" t="s">
        <v>35</v>
      </c>
      <c r="S412" t="s">
        <v>34</v>
      </c>
      <c r="AD412">
        <v>20170124</v>
      </c>
      <c r="AF412" t="str">
        <f>IFERROR(VLOOKUP(RIGHT(TblFeedFile1[[#This Row],[Leave Type ]],6),LkupPayType[],2,FALSE),"TBD")</f>
        <v>TBD</v>
      </c>
      <c r="AG412" t="str">
        <f>IFERROR(VLOOKUP(TblFeedFile1[[#This Row],[ Report Number ]],LkupPayrollCycle[],2,FALSE),"TBD")</f>
        <v>Semi-Monthly</v>
      </c>
      <c r="AH412" t="str">
        <f>IF(TblFeedFile1[[#This Row],[Return to Work Date ]]="","","Y")</f>
        <v/>
      </c>
    </row>
    <row r="413" spans="1:34" x14ac:dyDescent="0.25">
      <c r="A413" t="s">
        <v>37</v>
      </c>
      <c r="B413">
        <v>314301</v>
      </c>
      <c r="C413">
        <v>22429002</v>
      </c>
      <c r="D413" s="1">
        <v>551701128605</v>
      </c>
      <c r="E413" t="s">
        <v>625</v>
      </c>
      <c r="F413" t="s">
        <v>626</v>
      </c>
      <c r="G413">
        <v>20170120</v>
      </c>
      <c r="H413">
        <v>20170310</v>
      </c>
      <c r="I413" t="s">
        <v>40</v>
      </c>
      <c r="L413" t="s">
        <v>34</v>
      </c>
      <c r="M413" t="s">
        <v>34</v>
      </c>
      <c r="N413" t="s">
        <v>35</v>
      </c>
      <c r="O413" t="s">
        <v>35</v>
      </c>
      <c r="P413" t="s">
        <v>35</v>
      </c>
      <c r="Q413" t="s">
        <v>35</v>
      </c>
      <c r="R413" t="s">
        <v>35</v>
      </c>
      <c r="S413" t="s">
        <v>34</v>
      </c>
      <c r="AD413">
        <v>20170124</v>
      </c>
      <c r="AF413" t="str">
        <f>IFERROR(VLOOKUP(RIGHT(TblFeedFile1[[#This Row],[Leave Type ]],6),LkupPayType[],2,FALSE),"TBD")</f>
        <v>TBD</v>
      </c>
      <c r="AG413" t="str">
        <f>IFERROR(VLOOKUP(TblFeedFile1[[#This Row],[ Report Number ]],LkupPayrollCycle[],2,FALSE),"TBD")</f>
        <v>Semi-Monthly</v>
      </c>
      <c r="AH413" t="str">
        <f>IF(TblFeedFile1[[#This Row],[Return to Work Date ]]="","","Y")</f>
        <v/>
      </c>
    </row>
    <row r="414" spans="1:34" x14ac:dyDescent="0.25">
      <c r="A414" t="s">
        <v>37</v>
      </c>
      <c r="B414">
        <v>314301</v>
      </c>
      <c r="C414">
        <v>22429002</v>
      </c>
      <c r="D414" s="1" t="s">
        <v>624</v>
      </c>
      <c r="E414" t="s">
        <v>625</v>
      </c>
      <c r="F414" t="s">
        <v>626</v>
      </c>
      <c r="G414">
        <v>20170131</v>
      </c>
      <c r="H414">
        <v>20170310</v>
      </c>
      <c r="I414" t="s">
        <v>78</v>
      </c>
      <c r="K414" t="s">
        <v>79</v>
      </c>
      <c r="L414" t="s">
        <v>34</v>
      </c>
      <c r="M414" t="s">
        <v>34</v>
      </c>
      <c r="N414" t="s">
        <v>35</v>
      </c>
      <c r="O414" t="s">
        <v>35</v>
      </c>
      <c r="P414" t="s">
        <v>35</v>
      </c>
      <c r="Q414" t="s">
        <v>35</v>
      </c>
      <c r="R414" t="s">
        <v>35</v>
      </c>
      <c r="S414" t="s">
        <v>34</v>
      </c>
      <c r="AD414">
        <v>20170124</v>
      </c>
      <c r="AF414" t="str">
        <f>IFERROR(VLOOKUP(RIGHT(TblFeedFile1[[#This Row],[Leave Type ]],6),LkupPayType[],2,FALSE),"TBD")</f>
        <v>TBD</v>
      </c>
      <c r="AG414" t="str">
        <f>IFERROR(VLOOKUP(TblFeedFile1[[#This Row],[ Report Number ]],LkupPayrollCycle[],2,FALSE),"TBD")</f>
        <v>Semi-Monthly</v>
      </c>
      <c r="AH414" t="str">
        <f>IF(TblFeedFile1[[#This Row],[Return to Work Date ]]="","","Y")</f>
        <v/>
      </c>
    </row>
    <row r="415" spans="1:34" x14ac:dyDescent="0.25">
      <c r="A415" t="s">
        <v>37</v>
      </c>
      <c r="B415">
        <v>314310</v>
      </c>
      <c r="C415">
        <v>22431488</v>
      </c>
      <c r="D415" s="1" t="s">
        <v>627</v>
      </c>
      <c r="E415" t="s">
        <v>530</v>
      </c>
      <c r="F415" t="s">
        <v>263</v>
      </c>
      <c r="G415">
        <v>20160226</v>
      </c>
      <c r="H415">
        <v>20160617</v>
      </c>
      <c r="I415" t="s">
        <v>36</v>
      </c>
      <c r="L415" t="s">
        <v>34</v>
      </c>
      <c r="M415" t="s">
        <v>34</v>
      </c>
      <c r="N415" t="s">
        <v>35</v>
      </c>
      <c r="O415" t="s">
        <v>35</v>
      </c>
      <c r="P415" t="s">
        <v>35</v>
      </c>
      <c r="Q415" t="s">
        <v>35</v>
      </c>
      <c r="R415" t="s">
        <v>35</v>
      </c>
      <c r="S415" t="s">
        <v>34</v>
      </c>
      <c r="AD415">
        <v>20170124</v>
      </c>
      <c r="AF415" t="str">
        <f>IFERROR(VLOOKUP(RIGHT(TblFeedFile1[[#This Row],[Leave Type ]],6),LkupPayType[],2,FALSE),"TBD")</f>
        <v>TBD</v>
      </c>
      <c r="AG415" t="str">
        <f>IFERROR(VLOOKUP(TblFeedFile1[[#This Row],[ Report Number ]],LkupPayrollCycle[],2,FALSE),"TBD")</f>
        <v>Bi-Weekly</v>
      </c>
      <c r="AH415" t="str">
        <f>IF(TblFeedFile1[[#This Row],[Return to Work Date ]]="","","Y")</f>
        <v/>
      </c>
    </row>
    <row r="416" spans="1:34" x14ac:dyDescent="0.25">
      <c r="A416" t="s">
        <v>37</v>
      </c>
      <c r="B416">
        <v>314304</v>
      </c>
      <c r="C416">
        <v>22452355</v>
      </c>
      <c r="D416" s="1" t="s">
        <v>628</v>
      </c>
      <c r="E416" t="s">
        <v>629</v>
      </c>
      <c r="F416" t="s">
        <v>263</v>
      </c>
      <c r="G416">
        <v>20170110</v>
      </c>
      <c r="H416">
        <v>20170210</v>
      </c>
      <c r="I416" t="s">
        <v>36</v>
      </c>
      <c r="L416" t="s">
        <v>34</v>
      </c>
      <c r="M416" t="s">
        <v>34</v>
      </c>
      <c r="N416" t="s">
        <v>35</v>
      </c>
      <c r="O416" t="s">
        <v>35</v>
      </c>
      <c r="P416" t="s">
        <v>35</v>
      </c>
      <c r="Q416" t="s">
        <v>35</v>
      </c>
      <c r="R416" t="s">
        <v>35</v>
      </c>
      <c r="S416" t="s">
        <v>34</v>
      </c>
      <c r="AD416">
        <v>20170124</v>
      </c>
      <c r="AF416" t="str">
        <f>IFERROR(VLOOKUP(RIGHT(TblFeedFile1[[#This Row],[Leave Type ]],6),LkupPayType[],2,FALSE),"TBD")</f>
        <v>TBD</v>
      </c>
      <c r="AG416" t="str">
        <f>IFERROR(VLOOKUP(TblFeedFile1[[#This Row],[ Report Number ]],LkupPayrollCycle[],2,FALSE),"TBD")</f>
        <v>Bi-Weekly</v>
      </c>
      <c r="AH416" t="str">
        <f>IF(TblFeedFile1[[#This Row],[Return to Work Date ]]="","","Y")</f>
        <v/>
      </c>
    </row>
    <row r="417" spans="1:34" x14ac:dyDescent="0.25">
      <c r="A417" t="s">
        <v>29</v>
      </c>
      <c r="B417">
        <v>314304</v>
      </c>
      <c r="C417">
        <v>22454842</v>
      </c>
      <c r="D417" s="1" t="s">
        <v>630</v>
      </c>
      <c r="E417" t="s">
        <v>631</v>
      </c>
      <c r="F417" t="s">
        <v>632</v>
      </c>
      <c r="G417">
        <v>20170109</v>
      </c>
      <c r="H417">
        <v>20170501</v>
      </c>
      <c r="I417" t="s">
        <v>223</v>
      </c>
      <c r="L417" t="s">
        <v>34</v>
      </c>
      <c r="M417" t="s">
        <v>34</v>
      </c>
      <c r="N417" t="s">
        <v>35</v>
      </c>
      <c r="O417" t="s">
        <v>35</v>
      </c>
      <c r="P417" t="s">
        <v>35</v>
      </c>
      <c r="Q417" t="s">
        <v>35</v>
      </c>
      <c r="R417" t="s">
        <v>35</v>
      </c>
      <c r="S417" t="s">
        <v>34</v>
      </c>
      <c r="AD417">
        <v>20170124</v>
      </c>
      <c r="AF417" t="str">
        <f>IFERROR(VLOOKUP(RIGHT(TblFeedFile1[[#This Row],[Leave Type ]],6),LkupPayType[],2,FALSE),"TBD")</f>
        <v>TBD</v>
      </c>
      <c r="AG417" t="str">
        <f>IFERROR(VLOOKUP(TblFeedFile1[[#This Row],[ Report Number ]],LkupPayrollCycle[],2,FALSE),"TBD")</f>
        <v>Bi-Weekly</v>
      </c>
      <c r="AH417" t="str">
        <f>IF(TblFeedFile1[[#This Row],[Return to Work Date ]]="","","Y")</f>
        <v/>
      </c>
    </row>
    <row r="418" spans="1:34" x14ac:dyDescent="0.25">
      <c r="A418" t="s">
        <v>37</v>
      </c>
      <c r="B418">
        <v>314304</v>
      </c>
      <c r="C418">
        <v>22454842</v>
      </c>
      <c r="D418" s="1" t="s">
        <v>630</v>
      </c>
      <c r="E418" t="s">
        <v>631</v>
      </c>
      <c r="F418" t="s">
        <v>632</v>
      </c>
      <c r="G418">
        <v>20170109</v>
      </c>
      <c r="H418">
        <v>20170430</v>
      </c>
      <c r="I418" t="s">
        <v>223</v>
      </c>
      <c r="L418" t="s">
        <v>34</v>
      </c>
      <c r="M418" t="s">
        <v>34</v>
      </c>
      <c r="N418" t="s">
        <v>35</v>
      </c>
      <c r="O418" t="s">
        <v>35</v>
      </c>
      <c r="P418" t="s">
        <v>35</v>
      </c>
      <c r="Q418" t="s">
        <v>35</v>
      </c>
      <c r="R418" t="s">
        <v>35</v>
      </c>
      <c r="S418" t="s">
        <v>34</v>
      </c>
      <c r="AD418">
        <v>20170124</v>
      </c>
      <c r="AF418" t="str">
        <f>IFERROR(VLOOKUP(RIGHT(TblFeedFile1[[#This Row],[Leave Type ]],6),LkupPayType[],2,FALSE),"TBD")</f>
        <v>TBD</v>
      </c>
      <c r="AG418" t="str">
        <f>IFERROR(VLOOKUP(TblFeedFile1[[#This Row],[ Report Number ]],LkupPayrollCycle[],2,FALSE),"TBD")</f>
        <v>Bi-Weekly</v>
      </c>
      <c r="AH418" t="str">
        <f>IF(TblFeedFile1[[#This Row],[Return to Work Date ]]="","","Y")</f>
        <v/>
      </c>
    </row>
    <row r="419" spans="1:34" x14ac:dyDescent="0.25">
      <c r="A419" t="s">
        <v>29</v>
      </c>
      <c r="B419">
        <v>314301</v>
      </c>
      <c r="C419">
        <v>22456494</v>
      </c>
      <c r="D419" s="1" t="s">
        <v>633</v>
      </c>
      <c r="E419" t="s">
        <v>634</v>
      </c>
      <c r="F419" t="s">
        <v>635</v>
      </c>
      <c r="G419">
        <v>20161128</v>
      </c>
      <c r="H419">
        <v>20170203</v>
      </c>
      <c r="I419" t="s">
        <v>185</v>
      </c>
      <c r="L419" t="s">
        <v>34</v>
      </c>
      <c r="M419" t="s">
        <v>34</v>
      </c>
      <c r="N419" t="s">
        <v>35</v>
      </c>
      <c r="O419" t="s">
        <v>35</v>
      </c>
      <c r="P419" t="s">
        <v>35</v>
      </c>
      <c r="Q419" t="s">
        <v>35</v>
      </c>
      <c r="R419" t="s">
        <v>35</v>
      </c>
      <c r="S419" t="s">
        <v>34</v>
      </c>
      <c r="AC419" t="s">
        <v>35</v>
      </c>
      <c r="AD419">
        <v>20170124</v>
      </c>
      <c r="AF419" t="str">
        <f>IFERROR(VLOOKUP(RIGHT(TblFeedFile1[[#This Row],[Leave Type ]],6),LkupPayType[],2,FALSE),"TBD")</f>
        <v>TBD</v>
      </c>
      <c r="AG419" t="str">
        <f>IFERROR(VLOOKUP(TblFeedFile1[[#This Row],[ Report Number ]],LkupPayrollCycle[],2,FALSE),"TBD")</f>
        <v>Semi-Monthly</v>
      </c>
      <c r="AH419" t="str">
        <f>IF(TblFeedFile1[[#This Row],[Return to Work Date ]]="","","Y")</f>
        <v/>
      </c>
    </row>
    <row r="420" spans="1:34" x14ac:dyDescent="0.25">
      <c r="A420" t="s">
        <v>37</v>
      </c>
      <c r="B420">
        <v>314301</v>
      </c>
      <c r="C420">
        <v>22456494</v>
      </c>
      <c r="D420" s="1" t="s">
        <v>633</v>
      </c>
      <c r="E420" t="s">
        <v>634</v>
      </c>
      <c r="F420" t="s">
        <v>635</v>
      </c>
      <c r="G420">
        <v>20170128</v>
      </c>
      <c r="H420">
        <v>20170128</v>
      </c>
      <c r="I420" t="s">
        <v>33</v>
      </c>
      <c r="L420" t="s">
        <v>34</v>
      </c>
      <c r="M420" t="s">
        <v>34</v>
      </c>
      <c r="N420" t="s">
        <v>35</v>
      </c>
      <c r="O420" t="s">
        <v>35</v>
      </c>
      <c r="P420" t="s">
        <v>35</v>
      </c>
      <c r="Q420" t="s">
        <v>35</v>
      </c>
      <c r="R420" t="s">
        <v>35</v>
      </c>
      <c r="S420" t="s">
        <v>34</v>
      </c>
      <c r="AC420" t="s">
        <v>35</v>
      </c>
      <c r="AD420">
        <v>20170124</v>
      </c>
      <c r="AF420" t="str">
        <f>IFERROR(VLOOKUP(RIGHT(TblFeedFile1[[#This Row],[Leave Type ]],6),LkupPayType[],2,FALSE),"TBD")</f>
        <v>TBD</v>
      </c>
      <c r="AG420" t="str">
        <f>IFERROR(VLOOKUP(TblFeedFile1[[#This Row],[ Report Number ]],LkupPayrollCycle[],2,FALSE),"TBD")</f>
        <v>Semi-Monthly</v>
      </c>
      <c r="AH420" t="str">
        <f>IF(TblFeedFile1[[#This Row],[Return to Work Date ]]="","","Y")</f>
        <v/>
      </c>
    </row>
    <row r="421" spans="1:34" x14ac:dyDescent="0.25">
      <c r="A421" t="s">
        <v>37</v>
      </c>
      <c r="B421">
        <v>314301</v>
      </c>
      <c r="C421">
        <v>22491162</v>
      </c>
      <c r="D421" s="1">
        <v>551701058235</v>
      </c>
      <c r="E421" t="s">
        <v>606</v>
      </c>
      <c r="F421" t="s">
        <v>636</v>
      </c>
      <c r="G421">
        <v>20170116</v>
      </c>
      <c r="H421">
        <v>20170127</v>
      </c>
      <c r="I421" t="s">
        <v>40</v>
      </c>
      <c r="L421" t="s">
        <v>34</v>
      </c>
      <c r="M421" t="s">
        <v>34</v>
      </c>
      <c r="N421" t="s">
        <v>35</v>
      </c>
      <c r="O421" t="s">
        <v>35</v>
      </c>
      <c r="P421" t="s">
        <v>35</v>
      </c>
      <c r="Q421" t="s">
        <v>35</v>
      </c>
      <c r="R421" t="s">
        <v>35</v>
      </c>
      <c r="S421" t="s">
        <v>34</v>
      </c>
      <c r="T421">
        <v>20170123</v>
      </c>
      <c r="AD421">
        <v>20170124</v>
      </c>
      <c r="AF421" t="str">
        <f>IFERROR(VLOOKUP(RIGHT(TblFeedFile1[[#This Row],[Leave Type ]],6),LkupPayType[],2,FALSE),"TBD")</f>
        <v>TBD</v>
      </c>
      <c r="AG421" t="str">
        <f>IFERROR(VLOOKUP(TblFeedFile1[[#This Row],[ Report Number ]],LkupPayrollCycle[],2,FALSE),"TBD")</f>
        <v>Semi-Monthly</v>
      </c>
      <c r="AH421" t="str">
        <f>IF(TblFeedFile1[[#This Row],[Return to Work Date ]]="","","Y")</f>
        <v>Y</v>
      </c>
    </row>
    <row r="422" spans="1:34" x14ac:dyDescent="0.25">
      <c r="A422" t="s">
        <v>37</v>
      </c>
      <c r="B422">
        <v>314304</v>
      </c>
      <c r="C422">
        <v>22511290</v>
      </c>
      <c r="D422" s="1">
        <v>531701098743</v>
      </c>
      <c r="E422" t="s">
        <v>177</v>
      </c>
      <c r="F422" t="s">
        <v>637</v>
      </c>
      <c r="G422">
        <v>20170112</v>
      </c>
      <c r="H422">
        <v>20171016</v>
      </c>
      <c r="I422" t="s">
        <v>40</v>
      </c>
      <c r="L422" t="s">
        <v>34</v>
      </c>
      <c r="M422" t="s">
        <v>34</v>
      </c>
      <c r="N422" t="s">
        <v>35</v>
      </c>
      <c r="O422" t="s">
        <v>35</v>
      </c>
      <c r="P422" t="s">
        <v>35</v>
      </c>
      <c r="Q422" t="s">
        <v>35</v>
      </c>
      <c r="R422" t="s">
        <v>35</v>
      </c>
      <c r="S422" t="s">
        <v>34</v>
      </c>
      <c r="AD422">
        <v>20170124</v>
      </c>
      <c r="AF422" t="str">
        <f>IFERROR(VLOOKUP(RIGHT(TblFeedFile1[[#This Row],[Leave Type ]],6),LkupPayType[],2,FALSE),"TBD")</f>
        <v>TBD</v>
      </c>
      <c r="AG422" t="str">
        <f>IFERROR(VLOOKUP(TblFeedFile1[[#This Row],[ Report Number ]],LkupPayrollCycle[],2,FALSE),"TBD")</f>
        <v>Bi-Weekly</v>
      </c>
      <c r="AH422" t="str">
        <f>IF(TblFeedFile1[[#This Row],[Return to Work Date ]]="","","Y")</f>
        <v/>
      </c>
    </row>
    <row r="423" spans="1:34" x14ac:dyDescent="0.25">
      <c r="A423" t="s">
        <v>37</v>
      </c>
      <c r="B423">
        <v>314310</v>
      </c>
      <c r="C423">
        <v>22511718</v>
      </c>
      <c r="D423" s="1" t="s">
        <v>638</v>
      </c>
      <c r="E423" t="s">
        <v>373</v>
      </c>
      <c r="F423" t="s">
        <v>639</v>
      </c>
      <c r="G423">
        <v>20161212</v>
      </c>
      <c r="H423">
        <v>20170117</v>
      </c>
      <c r="I423" t="s">
        <v>49</v>
      </c>
      <c r="L423" t="s">
        <v>34</v>
      </c>
      <c r="M423" t="s">
        <v>34</v>
      </c>
      <c r="N423" t="s">
        <v>35</v>
      </c>
      <c r="O423" t="s">
        <v>35</v>
      </c>
      <c r="P423" t="s">
        <v>35</v>
      </c>
      <c r="Q423" t="s">
        <v>35</v>
      </c>
      <c r="R423" t="s">
        <v>35</v>
      </c>
      <c r="S423" t="s">
        <v>34</v>
      </c>
      <c r="AD423">
        <v>20170124</v>
      </c>
      <c r="AF423" t="str">
        <f>IFERROR(VLOOKUP(RIGHT(TblFeedFile1[[#This Row],[Leave Type ]],6),LkupPayType[],2,FALSE),"TBD")</f>
        <v>TBD</v>
      </c>
      <c r="AG423" t="str">
        <f>IFERROR(VLOOKUP(TblFeedFile1[[#This Row],[ Report Number ]],LkupPayrollCycle[],2,FALSE),"TBD")</f>
        <v>Bi-Weekly</v>
      </c>
      <c r="AH423" t="str">
        <f>IF(TblFeedFile1[[#This Row],[Return to Work Date ]]="","","Y")</f>
        <v/>
      </c>
    </row>
    <row r="424" spans="1:34" x14ac:dyDescent="0.25">
      <c r="A424" t="s">
        <v>37</v>
      </c>
      <c r="B424">
        <v>314310</v>
      </c>
      <c r="C424">
        <v>22511718</v>
      </c>
      <c r="D424" s="1" t="s">
        <v>638</v>
      </c>
      <c r="E424" t="s">
        <v>373</v>
      </c>
      <c r="F424" t="s">
        <v>639</v>
      </c>
      <c r="G424">
        <v>20170118</v>
      </c>
      <c r="H424">
        <v>20170118</v>
      </c>
      <c r="I424" t="s">
        <v>33</v>
      </c>
      <c r="L424" t="s">
        <v>34</v>
      </c>
      <c r="M424" t="s">
        <v>34</v>
      </c>
      <c r="N424" t="s">
        <v>35</v>
      </c>
      <c r="O424" t="s">
        <v>35</v>
      </c>
      <c r="P424" t="s">
        <v>35</v>
      </c>
      <c r="Q424" t="s">
        <v>35</v>
      </c>
      <c r="R424" t="s">
        <v>35</v>
      </c>
      <c r="S424" t="s">
        <v>34</v>
      </c>
      <c r="AD424">
        <v>20170124</v>
      </c>
      <c r="AF424" t="str">
        <f>IFERROR(VLOOKUP(RIGHT(TblFeedFile1[[#This Row],[Leave Type ]],6),LkupPayType[],2,FALSE),"TBD")</f>
        <v>TBD</v>
      </c>
      <c r="AG424" t="str">
        <f>IFERROR(VLOOKUP(TblFeedFile1[[#This Row],[ Report Number ]],LkupPayrollCycle[],2,FALSE),"TBD")</f>
        <v>Bi-Weekly</v>
      </c>
      <c r="AH424" t="str">
        <f>IF(TblFeedFile1[[#This Row],[Return to Work Date ]]="","","Y")</f>
        <v/>
      </c>
    </row>
    <row r="425" spans="1:34" x14ac:dyDescent="0.25">
      <c r="A425" t="s">
        <v>29</v>
      </c>
      <c r="B425">
        <v>314304</v>
      </c>
      <c r="C425">
        <v>22518905</v>
      </c>
      <c r="D425" s="1" t="s">
        <v>640</v>
      </c>
      <c r="E425" t="s">
        <v>641</v>
      </c>
      <c r="F425" t="s">
        <v>642</v>
      </c>
      <c r="G425">
        <v>20170120</v>
      </c>
      <c r="H425">
        <v>20170120</v>
      </c>
      <c r="I425" t="s">
        <v>33</v>
      </c>
      <c r="L425" t="s">
        <v>34</v>
      </c>
      <c r="M425" t="s">
        <v>34</v>
      </c>
      <c r="N425" t="s">
        <v>35</v>
      </c>
      <c r="O425" t="s">
        <v>35</v>
      </c>
      <c r="P425" t="s">
        <v>35</v>
      </c>
      <c r="Q425" t="s">
        <v>35</v>
      </c>
      <c r="R425" t="s">
        <v>35</v>
      </c>
      <c r="S425" t="s">
        <v>34</v>
      </c>
      <c r="AD425">
        <v>20170124</v>
      </c>
      <c r="AF425" t="str">
        <f>IFERROR(VLOOKUP(RIGHT(TblFeedFile1[[#This Row],[Leave Type ]],6),LkupPayType[],2,FALSE),"TBD")</f>
        <v>TBD</v>
      </c>
      <c r="AG425" t="str">
        <f>IFERROR(VLOOKUP(TblFeedFile1[[#This Row],[ Report Number ]],LkupPayrollCycle[],2,FALSE),"TBD")</f>
        <v>Bi-Weekly</v>
      </c>
      <c r="AH425" t="str">
        <f>IF(TblFeedFile1[[#This Row],[Return to Work Date ]]="","","Y")</f>
        <v/>
      </c>
    </row>
    <row r="426" spans="1:34" x14ac:dyDescent="0.25">
      <c r="A426" t="s">
        <v>29</v>
      </c>
      <c r="B426">
        <v>314304</v>
      </c>
      <c r="C426">
        <v>22518905</v>
      </c>
      <c r="D426" s="1" t="s">
        <v>640</v>
      </c>
      <c r="E426" t="s">
        <v>641</v>
      </c>
      <c r="F426" t="s">
        <v>642</v>
      </c>
      <c r="G426">
        <v>20170110</v>
      </c>
      <c r="H426">
        <v>20170119</v>
      </c>
      <c r="I426" t="s">
        <v>78</v>
      </c>
      <c r="K426" t="s">
        <v>79</v>
      </c>
      <c r="L426" t="s">
        <v>34</v>
      </c>
      <c r="M426" t="s">
        <v>34</v>
      </c>
      <c r="N426" t="s">
        <v>35</v>
      </c>
      <c r="O426" t="s">
        <v>35</v>
      </c>
      <c r="P426" t="s">
        <v>35</v>
      </c>
      <c r="Q426" t="s">
        <v>35</v>
      </c>
      <c r="R426" t="s">
        <v>35</v>
      </c>
      <c r="S426" t="s">
        <v>34</v>
      </c>
      <c r="AD426">
        <v>20170124</v>
      </c>
      <c r="AF426" t="str">
        <f>IFERROR(VLOOKUP(RIGHT(TblFeedFile1[[#This Row],[Leave Type ]],6),LkupPayType[],2,FALSE),"TBD")</f>
        <v>TBD</v>
      </c>
      <c r="AG426" t="str">
        <f>IFERROR(VLOOKUP(TblFeedFile1[[#This Row],[ Report Number ]],LkupPayrollCycle[],2,FALSE),"TBD")</f>
        <v>Bi-Weekly</v>
      </c>
      <c r="AH426" t="str">
        <f>IF(TblFeedFile1[[#This Row],[Return to Work Date ]]="","","Y")</f>
        <v/>
      </c>
    </row>
    <row r="427" spans="1:34" x14ac:dyDescent="0.25">
      <c r="A427" t="s">
        <v>29</v>
      </c>
      <c r="B427">
        <v>314304</v>
      </c>
      <c r="C427">
        <v>22518905</v>
      </c>
      <c r="D427" s="1">
        <v>501701178090</v>
      </c>
      <c r="E427" t="s">
        <v>641</v>
      </c>
      <c r="F427" t="s">
        <v>642</v>
      </c>
      <c r="G427">
        <v>20170110</v>
      </c>
      <c r="H427">
        <v>20170119</v>
      </c>
      <c r="I427" t="s">
        <v>53</v>
      </c>
      <c r="L427" t="s">
        <v>34</v>
      </c>
      <c r="M427" t="s">
        <v>34</v>
      </c>
      <c r="N427" t="s">
        <v>35</v>
      </c>
      <c r="O427" t="s">
        <v>35</v>
      </c>
      <c r="P427" t="s">
        <v>35</v>
      </c>
      <c r="Q427" t="s">
        <v>35</v>
      </c>
      <c r="R427" t="s">
        <v>35</v>
      </c>
      <c r="S427" t="s">
        <v>34</v>
      </c>
      <c r="AD427">
        <v>20170124</v>
      </c>
      <c r="AF427" t="str">
        <f>IFERROR(VLOOKUP(RIGHT(TblFeedFile1[[#This Row],[Leave Type ]],6),LkupPayType[],2,FALSE),"TBD")</f>
        <v>TBD</v>
      </c>
      <c r="AG427" t="str">
        <f>IFERROR(VLOOKUP(TblFeedFile1[[#This Row],[ Report Number ]],LkupPayrollCycle[],2,FALSE),"TBD")</f>
        <v>Bi-Weekly</v>
      </c>
      <c r="AH427" t="str">
        <f>IF(TblFeedFile1[[#This Row],[Return to Work Date ]]="","","Y")</f>
        <v/>
      </c>
    </row>
    <row r="428" spans="1:34" x14ac:dyDescent="0.25">
      <c r="A428" t="s">
        <v>37</v>
      </c>
      <c r="B428">
        <v>314304</v>
      </c>
      <c r="C428">
        <v>22518905</v>
      </c>
      <c r="D428" s="1">
        <v>501701178090</v>
      </c>
      <c r="E428" t="s">
        <v>641</v>
      </c>
      <c r="F428" t="s">
        <v>642</v>
      </c>
      <c r="G428">
        <v>20170110</v>
      </c>
      <c r="H428">
        <v>20170122</v>
      </c>
      <c r="I428" t="s">
        <v>53</v>
      </c>
      <c r="L428" t="s">
        <v>34</v>
      </c>
      <c r="M428" t="s">
        <v>34</v>
      </c>
      <c r="N428" t="s">
        <v>35</v>
      </c>
      <c r="O428" t="s">
        <v>35</v>
      </c>
      <c r="P428" t="s">
        <v>35</v>
      </c>
      <c r="Q428" t="s">
        <v>35</v>
      </c>
      <c r="R428" t="s">
        <v>35</v>
      </c>
      <c r="S428" t="s">
        <v>34</v>
      </c>
      <c r="AD428">
        <v>20170124</v>
      </c>
      <c r="AF428" t="str">
        <f>IFERROR(VLOOKUP(RIGHT(TblFeedFile1[[#This Row],[Leave Type ]],6),LkupPayType[],2,FALSE),"TBD")</f>
        <v>TBD</v>
      </c>
      <c r="AG428" t="str">
        <f>IFERROR(VLOOKUP(TblFeedFile1[[#This Row],[ Report Number ]],LkupPayrollCycle[],2,FALSE),"TBD")</f>
        <v>Bi-Weekly</v>
      </c>
      <c r="AH428" t="str">
        <f>IF(TblFeedFile1[[#This Row],[Return to Work Date ]]="","","Y")</f>
        <v/>
      </c>
    </row>
    <row r="429" spans="1:34" x14ac:dyDescent="0.25">
      <c r="A429" t="s">
        <v>37</v>
      </c>
      <c r="B429">
        <v>314304</v>
      </c>
      <c r="C429">
        <v>22518905</v>
      </c>
      <c r="D429" s="1">
        <v>501701178090</v>
      </c>
      <c r="E429" t="s">
        <v>641</v>
      </c>
      <c r="F429" t="s">
        <v>642</v>
      </c>
      <c r="G429">
        <v>20170117</v>
      </c>
      <c r="H429">
        <v>20170122</v>
      </c>
      <c r="I429" t="s">
        <v>40</v>
      </c>
      <c r="L429" t="s">
        <v>34</v>
      </c>
      <c r="M429" t="s">
        <v>34</v>
      </c>
      <c r="N429" t="s">
        <v>35</v>
      </c>
      <c r="O429" t="s">
        <v>35</v>
      </c>
      <c r="P429" t="s">
        <v>35</v>
      </c>
      <c r="Q429" t="s">
        <v>35</v>
      </c>
      <c r="R429" t="s">
        <v>35</v>
      </c>
      <c r="S429" t="s">
        <v>34</v>
      </c>
      <c r="AD429">
        <v>20170124</v>
      </c>
      <c r="AF429" t="str">
        <f>IFERROR(VLOOKUP(RIGHT(TblFeedFile1[[#This Row],[Leave Type ]],6),LkupPayType[],2,FALSE),"TBD")</f>
        <v>TBD</v>
      </c>
      <c r="AG429" t="str">
        <f>IFERROR(VLOOKUP(TblFeedFile1[[#This Row],[ Report Number ]],LkupPayrollCycle[],2,FALSE),"TBD")</f>
        <v>Bi-Weekly</v>
      </c>
      <c r="AH429" t="str">
        <f>IF(TblFeedFile1[[#This Row],[Return to Work Date ]]="","","Y")</f>
        <v/>
      </c>
    </row>
    <row r="430" spans="1:34" x14ac:dyDescent="0.25">
      <c r="A430" t="s">
        <v>37</v>
      </c>
      <c r="B430">
        <v>314304</v>
      </c>
      <c r="C430">
        <v>22518905</v>
      </c>
      <c r="D430" s="1" t="s">
        <v>640</v>
      </c>
      <c r="E430" t="s">
        <v>641</v>
      </c>
      <c r="F430" t="s">
        <v>642</v>
      </c>
      <c r="G430">
        <v>20170121</v>
      </c>
      <c r="H430">
        <v>20170122</v>
      </c>
      <c r="I430" t="s">
        <v>78</v>
      </c>
      <c r="K430" t="s">
        <v>79</v>
      </c>
      <c r="L430" t="s">
        <v>34</v>
      </c>
      <c r="M430" t="s">
        <v>34</v>
      </c>
      <c r="N430" t="s">
        <v>35</v>
      </c>
      <c r="O430" t="s">
        <v>35</v>
      </c>
      <c r="P430" t="s">
        <v>35</v>
      </c>
      <c r="Q430" t="s">
        <v>35</v>
      </c>
      <c r="R430" t="s">
        <v>35</v>
      </c>
      <c r="S430" t="s">
        <v>34</v>
      </c>
      <c r="T430">
        <v>20170123</v>
      </c>
      <c r="AD430">
        <v>20170124</v>
      </c>
      <c r="AF430" t="str">
        <f>IFERROR(VLOOKUP(RIGHT(TblFeedFile1[[#This Row],[Leave Type ]],6),LkupPayType[],2,FALSE),"TBD")</f>
        <v>TBD</v>
      </c>
      <c r="AG430" t="str">
        <f>IFERROR(VLOOKUP(TblFeedFile1[[#This Row],[ Report Number ]],LkupPayrollCycle[],2,FALSE),"TBD")</f>
        <v>Bi-Weekly</v>
      </c>
      <c r="AH430" t="str">
        <f>IF(TblFeedFile1[[#This Row],[Return to Work Date ]]="","","Y")</f>
        <v>Y</v>
      </c>
    </row>
    <row r="431" spans="1:34" x14ac:dyDescent="0.25">
      <c r="A431" t="s">
        <v>37</v>
      </c>
      <c r="B431">
        <v>314301</v>
      </c>
      <c r="C431">
        <v>22535544</v>
      </c>
      <c r="D431" s="1" t="s">
        <v>643</v>
      </c>
      <c r="E431" t="s">
        <v>644</v>
      </c>
      <c r="F431" t="s">
        <v>645</v>
      </c>
      <c r="G431">
        <v>20170121</v>
      </c>
      <c r="H431">
        <v>20170514</v>
      </c>
      <c r="I431" t="s">
        <v>273</v>
      </c>
      <c r="L431" t="s">
        <v>34</v>
      </c>
      <c r="M431" t="s">
        <v>34</v>
      </c>
      <c r="N431" t="s">
        <v>35</v>
      </c>
      <c r="O431" t="s">
        <v>35</v>
      </c>
      <c r="P431" t="s">
        <v>35</v>
      </c>
      <c r="Q431" t="s">
        <v>35</v>
      </c>
      <c r="R431" t="s">
        <v>35</v>
      </c>
      <c r="S431" t="s">
        <v>34</v>
      </c>
      <c r="AD431">
        <v>20170124</v>
      </c>
      <c r="AF431" t="str">
        <f>IFERROR(VLOOKUP(RIGHT(TblFeedFile1[[#This Row],[Leave Type ]],6),LkupPayType[],2,FALSE),"TBD")</f>
        <v>TBD</v>
      </c>
      <c r="AG431" t="str">
        <f>IFERROR(VLOOKUP(TblFeedFile1[[#This Row],[ Report Number ]],LkupPayrollCycle[],2,FALSE),"TBD")</f>
        <v>Semi-Monthly</v>
      </c>
      <c r="AH431" t="str">
        <f>IF(TblFeedFile1[[#This Row],[Return to Work Date ]]="","","Y")</f>
        <v/>
      </c>
    </row>
    <row r="432" spans="1:34" x14ac:dyDescent="0.25">
      <c r="A432" t="s">
        <v>29</v>
      </c>
      <c r="B432">
        <v>314304</v>
      </c>
      <c r="C432">
        <v>22538227</v>
      </c>
      <c r="D432" s="1" t="s">
        <v>646</v>
      </c>
      <c r="E432" t="s">
        <v>647</v>
      </c>
      <c r="F432" t="s">
        <v>263</v>
      </c>
      <c r="G432">
        <v>20161031</v>
      </c>
      <c r="H432">
        <v>20161108</v>
      </c>
      <c r="I432" t="s">
        <v>36</v>
      </c>
      <c r="L432" t="s">
        <v>34</v>
      </c>
      <c r="M432" t="s">
        <v>34</v>
      </c>
      <c r="N432" t="s">
        <v>35</v>
      </c>
      <c r="O432" t="s">
        <v>35</v>
      </c>
      <c r="P432" t="s">
        <v>35</v>
      </c>
      <c r="Q432" t="s">
        <v>35</v>
      </c>
      <c r="R432" t="s">
        <v>35</v>
      </c>
      <c r="S432" t="s">
        <v>34</v>
      </c>
      <c r="AC432" t="s">
        <v>35</v>
      </c>
      <c r="AD432">
        <v>20170124</v>
      </c>
      <c r="AF432" t="str">
        <f>IFERROR(VLOOKUP(RIGHT(TblFeedFile1[[#This Row],[Leave Type ]],6),LkupPayType[],2,FALSE),"TBD")</f>
        <v>TBD</v>
      </c>
      <c r="AG432" t="str">
        <f>IFERROR(VLOOKUP(TblFeedFile1[[#This Row],[ Report Number ]],LkupPayrollCycle[],2,FALSE),"TBD")</f>
        <v>Bi-Weekly</v>
      </c>
      <c r="AH432" t="str">
        <f>IF(TblFeedFile1[[#This Row],[Return to Work Date ]]="","","Y")</f>
        <v/>
      </c>
    </row>
    <row r="433" spans="1:34" x14ac:dyDescent="0.25">
      <c r="A433" t="s">
        <v>37</v>
      </c>
      <c r="B433">
        <v>314304</v>
      </c>
      <c r="C433">
        <v>22538227</v>
      </c>
      <c r="D433" s="1" t="s">
        <v>646</v>
      </c>
      <c r="E433" t="s">
        <v>647</v>
      </c>
      <c r="F433" t="s">
        <v>263</v>
      </c>
      <c r="G433">
        <v>20160822</v>
      </c>
      <c r="H433">
        <v>20161108</v>
      </c>
      <c r="I433" t="s">
        <v>36</v>
      </c>
      <c r="L433" t="s">
        <v>34</v>
      </c>
      <c r="M433" t="s">
        <v>34</v>
      </c>
      <c r="N433" t="s">
        <v>35</v>
      </c>
      <c r="O433" t="s">
        <v>35</v>
      </c>
      <c r="P433" t="s">
        <v>35</v>
      </c>
      <c r="Q433" t="s">
        <v>35</v>
      </c>
      <c r="R433" t="s">
        <v>35</v>
      </c>
      <c r="S433" t="s">
        <v>34</v>
      </c>
      <c r="AD433">
        <v>20170124</v>
      </c>
      <c r="AF433" t="str">
        <f>IFERROR(VLOOKUP(RIGHT(TblFeedFile1[[#This Row],[Leave Type ]],6),LkupPayType[],2,FALSE),"TBD")</f>
        <v>TBD</v>
      </c>
      <c r="AG433" t="str">
        <f>IFERROR(VLOOKUP(TblFeedFile1[[#This Row],[ Report Number ]],LkupPayrollCycle[],2,FALSE),"TBD")</f>
        <v>Bi-Weekly</v>
      </c>
      <c r="AH433" t="str">
        <f>IF(TblFeedFile1[[#This Row],[Return to Work Date ]]="","","Y")</f>
        <v/>
      </c>
    </row>
    <row r="434" spans="1:34" x14ac:dyDescent="0.25">
      <c r="A434" t="s">
        <v>37</v>
      </c>
      <c r="B434">
        <v>314301</v>
      </c>
      <c r="C434">
        <v>22579319</v>
      </c>
      <c r="D434" s="1" t="s">
        <v>648</v>
      </c>
      <c r="E434" t="s">
        <v>649</v>
      </c>
      <c r="F434" t="s">
        <v>650</v>
      </c>
      <c r="G434">
        <v>20170121</v>
      </c>
      <c r="H434">
        <v>20170121</v>
      </c>
      <c r="I434" t="s">
        <v>33</v>
      </c>
      <c r="L434" t="s">
        <v>34</v>
      </c>
      <c r="M434" t="s">
        <v>34</v>
      </c>
      <c r="N434" t="s">
        <v>35</v>
      </c>
      <c r="O434" t="s">
        <v>35</v>
      </c>
      <c r="P434" t="s">
        <v>35</v>
      </c>
      <c r="Q434" t="s">
        <v>35</v>
      </c>
      <c r="R434" t="s">
        <v>35</v>
      </c>
      <c r="S434" t="s">
        <v>34</v>
      </c>
      <c r="AC434" t="s">
        <v>35</v>
      </c>
      <c r="AD434">
        <v>20170124</v>
      </c>
      <c r="AF434" t="str">
        <f>IFERROR(VLOOKUP(RIGHT(TblFeedFile1[[#This Row],[Leave Type ]],6),LkupPayType[],2,FALSE),"TBD")</f>
        <v>TBD</v>
      </c>
      <c r="AG434" t="str">
        <f>IFERROR(VLOOKUP(TblFeedFile1[[#This Row],[ Report Number ]],LkupPayrollCycle[],2,FALSE),"TBD")</f>
        <v>Semi-Monthly</v>
      </c>
      <c r="AH434" t="str">
        <f>IF(TblFeedFile1[[#This Row],[Return to Work Date ]]="","","Y")</f>
        <v/>
      </c>
    </row>
    <row r="435" spans="1:34" x14ac:dyDescent="0.25">
      <c r="A435" t="s">
        <v>29</v>
      </c>
      <c r="B435">
        <v>314301</v>
      </c>
      <c r="C435">
        <v>22591975</v>
      </c>
      <c r="D435" s="1" t="s">
        <v>651</v>
      </c>
      <c r="E435" t="s">
        <v>652</v>
      </c>
      <c r="F435" t="s">
        <v>653</v>
      </c>
      <c r="G435">
        <v>20161107</v>
      </c>
      <c r="H435">
        <v>20170106</v>
      </c>
      <c r="I435" t="s">
        <v>223</v>
      </c>
      <c r="L435" t="s">
        <v>34</v>
      </c>
      <c r="M435" t="s">
        <v>34</v>
      </c>
      <c r="N435" t="s">
        <v>35</v>
      </c>
      <c r="O435" t="s">
        <v>35</v>
      </c>
      <c r="P435" t="s">
        <v>35</v>
      </c>
      <c r="Q435" t="s">
        <v>35</v>
      </c>
      <c r="R435" t="s">
        <v>35</v>
      </c>
      <c r="S435" t="s">
        <v>34</v>
      </c>
      <c r="AC435" t="s">
        <v>35</v>
      </c>
      <c r="AD435">
        <v>20170124</v>
      </c>
      <c r="AF435" t="str">
        <f>IFERROR(VLOOKUP(RIGHT(TblFeedFile1[[#This Row],[Leave Type ]],6),LkupPayType[],2,FALSE),"TBD")</f>
        <v>TBD</v>
      </c>
      <c r="AG435" t="str">
        <f>IFERROR(VLOOKUP(TblFeedFile1[[#This Row],[ Report Number ]],LkupPayrollCycle[],2,FALSE),"TBD")</f>
        <v>Semi-Monthly</v>
      </c>
      <c r="AH435" t="str">
        <f>IF(TblFeedFile1[[#This Row],[Return to Work Date ]]="","","Y")</f>
        <v/>
      </c>
    </row>
    <row r="436" spans="1:34" x14ac:dyDescent="0.25">
      <c r="A436" t="s">
        <v>37</v>
      </c>
      <c r="B436">
        <v>314301</v>
      </c>
      <c r="C436">
        <v>22591975</v>
      </c>
      <c r="D436" s="1" t="s">
        <v>651</v>
      </c>
      <c r="E436" t="s">
        <v>652</v>
      </c>
      <c r="F436" t="s">
        <v>653</v>
      </c>
      <c r="G436">
        <v>20161107</v>
      </c>
      <c r="H436">
        <v>20170129</v>
      </c>
      <c r="I436" t="s">
        <v>223</v>
      </c>
      <c r="L436" t="s">
        <v>34</v>
      </c>
      <c r="M436" t="s">
        <v>34</v>
      </c>
      <c r="N436" t="s">
        <v>35</v>
      </c>
      <c r="O436" t="s">
        <v>35</v>
      </c>
      <c r="P436" t="s">
        <v>35</v>
      </c>
      <c r="Q436" t="s">
        <v>35</v>
      </c>
      <c r="R436" t="s">
        <v>35</v>
      </c>
      <c r="S436" t="s">
        <v>34</v>
      </c>
      <c r="AC436" t="s">
        <v>35</v>
      </c>
      <c r="AD436">
        <v>20170124</v>
      </c>
      <c r="AF436" t="str">
        <f>IFERROR(VLOOKUP(RIGHT(TblFeedFile1[[#This Row],[Leave Type ]],6),LkupPayType[],2,FALSE),"TBD")</f>
        <v>TBD</v>
      </c>
      <c r="AG436" t="str">
        <f>IFERROR(VLOOKUP(TblFeedFile1[[#This Row],[ Report Number ]],LkupPayrollCycle[],2,FALSE),"TBD")</f>
        <v>Semi-Monthly</v>
      </c>
      <c r="AH436" t="str">
        <f>IF(TblFeedFile1[[#This Row],[Return to Work Date ]]="","","Y")</f>
        <v/>
      </c>
    </row>
    <row r="437" spans="1:34" x14ac:dyDescent="0.25">
      <c r="A437" t="s">
        <v>37</v>
      </c>
      <c r="B437">
        <v>314301</v>
      </c>
      <c r="C437">
        <v>22591975</v>
      </c>
      <c r="D437" s="1" t="s">
        <v>651</v>
      </c>
      <c r="E437" t="s">
        <v>652</v>
      </c>
      <c r="F437" t="s">
        <v>653</v>
      </c>
      <c r="G437">
        <v>20161107</v>
      </c>
      <c r="H437">
        <v>20170129</v>
      </c>
      <c r="I437" t="s">
        <v>185</v>
      </c>
      <c r="L437" t="s">
        <v>34</v>
      </c>
      <c r="M437" t="s">
        <v>34</v>
      </c>
      <c r="N437" t="s">
        <v>35</v>
      </c>
      <c r="O437" t="s">
        <v>35</v>
      </c>
      <c r="P437" t="s">
        <v>35</v>
      </c>
      <c r="Q437" t="s">
        <v>35</v>
      </c>
      <c r="R437" t="s">
        <v>35</v>
      </c>
      <c r="S437" t="s">
        <v>34</v>
      </c>
      <c r="AC437" t="s">
        <v>35</v>
      </c>
      <c r="AD437">
        <v>20170124</v>
      </c>
      <c r="AF437" t="str">
        <f>IFERROR(VLOOKUP(RIGHT(TblFeedFile1[[#This Row],[Leave Type ]],6),LkupPayType[],2,FALSE),"TBD")</f>
        <v>TBD</v>
      </c>
      <c r="AG437" t="str">
        <f>IFERROR(VLOOKUP(TblFeedFile1[[#This Row],[ Report Number ]],LkupPayrollCycle[],2,FALSE),"TBD")</f>
        <v>Semi-Monthly</v>
      </c>
      <c r="AH437" t="str">
        <f>IF(TblFeedFile1[[#This Row],[Return to Work Date ]]="","","Y")</f>
        <v/>
      </c>
    </row>
    <row r="438" spans="1:34" x14ac:dyDescent="0.25">
      <c r="A438" t="s">
        <v>29</v>
      </c>
      <c r="B438">
        <v>314301</v>
      </c>
      <c r="C438">
        <v>22598311</v>
      </c>
      <c r="D438" s="1" t="s">
        <v>654</v>
      </c>
      <c r="E438" t="s">
        <v>385</v>
      </c>
      <c r="F438" t="s">
        <v>655</v>
      </c>
      <c r="G438">
        <v>20170119</v>
      </c>
      <c r="H438">
        <v>20170119</v>
      </c>
      <c r="I438" t="s">
        <v>33</v>
      </c>
      <c r="L438" t="s">
        <v>34</v>
      </c>
      <c r="M438" t="s">
        <v>34</v>
      </c>
      <c r="N438" t="s">
        <v>35</v>
      </c>
      <c r="O438" t="s">
        <v>35</v>
      </c>
      <c r="P438" t="s">
        <v>35</v>
      </c>
      <c r="Q438" t="s">
        <v>35</v>
      </c>
      <c r="R438" t="s">
        <v>35</v>
      </c>
      <c r="S438" t="s">
        <v>34</v>
      </c>
      <c r="AC438" t="s">
        <v>35</v>
      </c>
      <c r="AD438">
        <v>20170124</v>
      </c>
      <c r="AF438" t="str">
        <f>IFERROR(VLOOKUP(RIGHT(TblFeedFile1[[#This Row],[Leave Type ]],6),LkupPayType[],2,FALSE),"TBD")</f>
        <v>TBD</v>
      </c>
      <c r="AG438" t="str">
        <f>IFERROR(VLOOKUP(TblFeedFile1[[#This Row],[ Report Number ]],LkupPayrollCycle[],2,FALSE),"TBD")</f>
        <v>Semi-Monthly</v>
      </c>
      <c r="AH438" t="str">
        <f>IF(TblFeedFile1[[#This Row],[Return to Work Date ]]="","","Y")</f>
        <v/>
      </c>
    </row>
    <row r="439" spans="1:34" x14ac:dyDescent="0.25">
      <c r="A439" t="s">
        <v>37</v>
      </c>
      <c r="B439">
        <v>314301</v>
      </c>
      <c r="C439">
        <v>22598311</v>
      </c>
      <c r="D439" s="1" t="s">
        <v>654</v>
      </c>
      <c r="E439" t="s">
        <v>385</v>
      </c>
      <c r="F439" t="s">
        <v>655</v>
      </c>
      <c r="G439">
        <v>20160929</v>
      </c>
      <c r="H439">
        <v>20170118</v>
      </c>
      <c r="I439" t="s">
        <v>223</v>
      </c>
      <c r="L439" t="s">
        <v>34</v>
      </c>
      <c r="M439" t="s">
        <v>34</v>
      </c>
      <c r="N439" t="s">
        <v>35</v>
      </c>
      <c r="O439" t="s">
        <v>35</v>
      </c>
      <c r="P439" t="s">
        <v>35</v>
      </c>
      <c r="Q439" t="s">
        <v>35</v>
      </c>
      <c r="R439" t="s">
        <v>35</v>
      </c>
      <c r="S439" t="s">
        <v>34</v>
      </c>
      <c r="T439">
        <v>20170119</v>
      </c>
      <c r="AC439" t="s">
        <v>35</v>
      </c>
      <c r="AD439">
        <v>20170124</v>
      </c>
      <c r="AF439" t="str">
        <f>IFERROR(VLOOKUP(RIGHT(TblFeedFile1[[#This Row],[Leave Type ]],6),LkupPayType[],2,FALSE),"TBD")</f>
        <v>TBD</v>
      </c>
      <c r="AG439" t="str">
        <f>IFERROR(VLOOKUP(TblFeedFile1[[#This Row],[ Report Number ]],LkupPayrollCycle[],2,FALSE),"TBD")</f>
        <v>Semi-Monthly</v>
      </c>
      <c r="AH439" t="str">
        <f>IF(TblFeedFile1[[#This Row],[Return to Work Date ]]="","","Y")</f>
        <v>Y</v>
      </c>
    </row>
    <row r="440" spans="1:34" x14ac:dyDescent="0.25">
      <c r="A440" t="s">
        <v>37</v>
      </c>
      <c r="B440">
        <v>314301</v>
      </c>
      <c r="C440">
        <v>22611655</v>
      </c>
      <c r="D440" s="1" t="s">
        <v>656</v>
      </c>
      <c r="E440" t="s">
        <v>637</v>
      </c>
      <c r="F440" t="s">
        <v>657</v>
      </c>
      <c r="G440">
        <v>20170123</v>
      </c>
      <c r="H440">
        <v>20170123</v>
      </c>
      <c r="I440" t="s">
        <v>33</v>
      </c>
      <c r="L440" t="s">
        <v>34</v>
      </c>
      <c r="M440" t="s">
        <v>34</v>
      </c>
      <c r="N440" t="s">
        <v>35</v>
      </c>
      <c r="O440" t="s">
        <v>35</v>
      </c>
      <c r="P440" t="s">
        <v>35</v>
      </c>
      <c r="Q440" t="s">
        <v>35</v>
      </c>
      <c r="R440" t="s">
        <v>35</v>
      </c>
      <c r="S440" t="s">
        <v>34</v>
      </c>
      <c r="AD440">
        <v>20170124</v>
      </c>
      <c r="AF440" t="str">
        <f>IFERROR(VLOOKUP(RIGHT(TblFeedFile1[[#This Row],[Leave Type ]],6),LkupPayType[],2,FALSE),"TBD")</f>
        <v>TBD</v>
      </c>
      <c r="AG440" t="str">
        <f>IFERROR(VLOOKUP(TblFeedFile1[[#This Row],[ Report Number ]],LkupPayrollCycle[],2,FALSE),"TBD")</f>
        <v>Semi-Monthly</v>
      </c>
      <c r="AH440" t="str">
        <f>IF(TblFeedFile1[[#This Row],[Return to Work Date ]]="","","Y")</f>
        <v/>
      </c>
    </row>
    <row r="441" spans="1:34" x14ac:dyDescent="0.25">
      <c r="A441" t="s">
        <v>37</v>
      </c>
      <c r="B441">
        <v>314304</v>
      </c>
      <c r="C441">
        <v>22624263</v>
      </c>
      <c r="D441" s="1">
        <v>501701098608</v>
      </c>
      <c r="E441" t="s">
        <v>658</v>
      </c>
      <c r="F441" t="s">
        <v>659</v>
      </c>
      <c r="G441">
        <v>20170123</v>
      </c>
      <c r="H441">
        <v>20170226</v>
      </c>
      <c r="I441" t="s">
        <v>53</v>
      </c>
      <c r="L441" t="s">
        <v>34</v>
      </c>
      <c r="M441" t="s">
        <v>34</v>
      </c>
      <c r="N441" t="s">
        <v>35</v>
      </c>
      <c r="O441" t="s">
        <v>35</v>
      </c>
      <c r="P441" t="s">
        <v>35</v>
      </c>
      <c r="Q441" t="s">
        <v>35</v>
      </c>
      <c r="R441" t="s">
        <v>35</v>
      </c>
      <c r="S441" t="s">
        <v>34</v>
      </c>
      <c r="AD441">
        <v>20170124</v>
      </c>
      <c r="AF441" t="str">
        <f>IFERROR(VLOOKUP(RIGHT(TblFeedFile1[[#This Row],[Leave Type ]],6),LkupPayType[],2,FALSE),"TBD")</f>
        <v>TBD</v>
      </c>
      <c r="AG441" t="str">
        <f>IFERROR(VLOOKUP(TblFeedFile1[[#This Row],[ Report Number ]],LkupPayrollCycle[],2,FALSE),"TBD")</f>
        <v>Bi-Weekly</v>
      </c>
      <c r="AH441" t="str">
        <f>IF(TblFeedFile1[[#This Row],[Return to Work Date ]]="","","Y")</f>
        <v/>
      </c>
    </row>
    <row r="442" spans="1:34" x14ac:dyDescent="0.25">
      <c r="A442" t="s">
        <v>37</v>
      </c>
      <c r="B442">
        <v>314301</v>
      </c>
      <c r="C442">
        <v>22626866</v>
      </c>
      <c r="D442" s="1" t="s">
        <v>660</v>
      </c>
      <c r="E442" t="s">
        <v>661</v>
      </c>
      <c r="F442" t="s">
        <v>572</v>
      </c>
      <c r="G442">
        <v>20170121</v>
      </c>
      <c r="H442">
        <v>20170121</v>
      </c>
      <c r="I442" t="s">
        <v>33</v>
      </c>
      <c r="L442" t="s">
        <v>34</v>
      </c>
      <c r="M442" t="s">
        <v>34</v>
      </c>
      <c r="N442" t="s">
        <v>35</v>
      </c>
      <c r="O442" t="s">
        <v>35</v>
      </c>
      <c r="P442" t="s">
        <v>35</v>
      </c>
      <c r="Q442" t="s">
        <v>35</v>
      </c>
      <c r="R442" t="s">
        <v>35</v>
      </c>
      <c r="S442" t="s">
        <v>34</v>
      </c>
      <c r="AC442" t="s">
        <v>35</v>
      </c>
      <c r="AD442">
        <v>20170124</v>
      </c>
      <c r="AF442" t="str">
        <f>IFERROR(VLOOKUP(RIGHT(TblFeedFile1[[#This Row],[Leave Type ]],6),LkupPayType[],2,FALSE),"TBD")</f>
        <v>TBD</v>
      </c>
      <c r="AG442" t="str">
        <f>IFERROR(VLOOKUP(TblFeedFile1[[#This Row],[ Report Number ]],LkupPayrollCycle[],2,FALSE),"TBD")</f>
        <v>Semi-Monthly</v>
      </c>
      <c r="AH442" t="str">
        <f>IF(TblFeedFile1[[#This Row],[Return to Work Date ]]="","","Y")</f>
        <v/>
      </c>
    </row>
    <row r="443" spans="1:34" x14ac:dyDescent="0.25">
      <c r="A443" t="s">
        <v>37</v>
      </c>
      <c r="B443">
        <v>314304</v>
      </c>
      <c r="C443">
        <v>22651728</v>
      </c>
      <c r="D443" s="1" t="s">
        <v>662</v>
      </c>
      <c r="E443" t="s">
        <v>351</v>
      </c>
      <c r="F443" t="s">
        <v>663</v>
      </c>
      <c r="G443">
        <v>20170118</v>
      </c>
      <c r="H443">
        <v>20170327</v>
      </c>
      <c r="I443" t="s">
        <v>78</v>
      </c>
      <c r="K443" t="s">
        <v>79</v>
      </c>
      <c r="L443" t="s">
        <v>34</v>
      </c>
      <c r="M443" t="s">
        <v>34</v>
      </c>
      <c r="N443" t="s">
        <v>35</v>
      </c>
      <c r="O443" t="s">
        <v>35</v>
      </c>
      <c r="P443" t="s">
        <v>35</v>
      </c>
      <c r="Q443" t="s">
        <v>35</v>
      </c>
      <c r="R443" t="s">
        <v>35</v>
      </c>
      <c r="S443" t="s">
        <v>34</v>
      </c>
      <c r="AD443">
        <v>20170124</v>
      </c>
      <c r="AF443" t="str">
        <f>IFERROR(VLOOKUP(RIGHT(TblFeedFile1[[#This Row],[Leave Type ]],6),LkupPayType[],2,FALSE),"TBD")</f>
        <v>TBD</v>
      </c>
      <c r="AG443" t="str">
        <f>IFERROR(VLOOKUP(TblFeedFile1[[#This Row],[ Report Number ]],LkupPayrollCycle[],2,FALSE),"TBD")</f>
        <v>Bi-Weekly</v>
      </c>
      <c r="AH443" t="str">
        <f>IF(TblFeedFile1[[#This Row],[Return to Work Date ]]="","","Y")</f>
        <v/>
      </c>
    </row>
    <row r="444" spans="1:34" x14ac:dyDescent="0.25">
      <c r="A444" t="s">
        <v>37</v>
      </c>
      <c r="B444">
        <v>314304</v>
      </c>
      <c r="C444">
        <v>22651728</v>
      </c>
      <c r="D444" s="1">
        <v>541701248604</v>
      </c>
      <c r="E444" t="s">
        <v>351</v>
      </c>
      <c r="F444" t="s">
        <v>663</v>
      </c>
      <c r="G444">
        <v>20170118</v>
      </c>
      <c r="I444" t="s">
        <v>53</v>
      </c>
      <c r="L444" t="s">
        <v>34</v>
      </c>
      <c r="M444" t="s">
        <v>34</v>
      </c>
      <c r="N444" t="s">
        <v>35</v>
      </c>
      <c r="O444" t="s">
        <v>35</v>
      </c>
      <c r="P444" t="s">
        <v>35</v>
      </c>
      <c r="Q444" t="s">
        <v>35</v>
      </c>
      <c r="R444" t="s">
        <v>35</v>
      </c>
      <c r="S444" t="s">
        <v>34</v>
      </c>
      <c r="AD444">
        <v>20170124</v>
      </c>
      <c r="AF444" t="str">
        <f>IFERROR(VLOOKUP(RIGHT(TblFeedFile1[[#This Row],[Leave Type ]],6),LkupPayType[],2,FALSE),"TBD")</f>
        <v>TBD</v>
      </c>
      <c r="AG444" t="str">
        <f>IFERROR(VLOOKUP(TblFeedFile1[[#This Row],[ Report Number ]],LkupPayrollCycle[],2,FALSE),"TBD")</f>
        <v>Bi-Weekly</v>
      </c>
      <c r="AH444" t="str">
        <f>IF(TblFeedFile1[[#This Row],[Return to Work Date ]]="","","Y")</f>
        <v/>
      </c>
    </row>
    <row r="445" spans="1:34" x14ac:dyDescent="0.25">
      <c r="A445" t="s">
        <v>37</v>
      </c>
      <c r="B445">
        <v>314305</v>
      </c>
      <c r="C445">
        <v>22690851</v>
      </c>
      <c r="D445" s="1" t="s">
        <v>664</v>
      </c>
      <c r="E445" t="s">
        <v>665</v>
      </c>
      <c r="F445" t="s">
        <v>666</v>
      </c>
      <c r="G445">
        <v>20170121</v>
      </c>
      <c r="H445">
        <v>20170121</v>
      </c>
      <c r="I445" t="s">
        <v>33</v>
      </c>
      <c r="L445" t="s">
        <v>34</v>
      </c>
      <c r="M445" t="s">
        <v>34</v>
      </c>
      <c r="N445" t="s">
        <v>35</v>
      </c>
      <c r="O445" t="s">
        <v>35</v>
      </c>
      <c r="P445" t="s">
        <v>35</v>
      </c>
      <c r="Q445" t="s">
        <v>35</v>
      </c>
      <c r="R445" t="s">
        <v>35</v>
      </c>
      <c r="S445" t="s">
        <v>34</v>
      </c>
      <c r="AC445" t="s">
        <v>35</v>
      </c>
      <c r="AD445">
        <v>20170124</v>
      </c>
      <c r="AF445" t="str">
        <f>IFERROR(VLOOKUP(RIGHT(TblFeedFile1[[#This Row],[Leave Type ]],6),LkupPayType[],2,FALSE),"TBD")</f>
        <v>TBD</v>
      </c>
      <c r="AG445" t="str">
        <f>IFERROR(VLOOKUP(TblFeedFile1[[#This Row],[ Report Number ]],LkupPayrollCycle[],2,FALSE),"TBD")</f>
        <v>Bi-Weekly</v>
      </c>
      <c r="AH445" t="str">
        <f>IF(TblFeedFile1[[#This Row],[Return to Work Date ]]="","","Y")</f>
        <v/>
      </c>
    </row>
    <row r="446" spans="1:34" x14ac:dyDescent="0.25">
      <c r="A446" t="s">
        <v>29</v>
      </c>
      <c r="B446">
        <v>314304</v>
      </c>
      <c r="C446">
        <v>22702096</v>
      </c>
      <c r="D446" s="1" t="s">
        <v>667</v>
      </c>
      <c r="E446" t="s">
        <v>668</v>
      </c>
      <c r="F446" t="s">
        <v>669</v>
      </c>
      <c r="G446">
        <v>20170111</v>
      </c>
      <c r="H446">
        <v>20170111</v>
      </c>
      <c r="I446" t="s">
        <v>33</v>
      </c>
      <c r="L446" t="s">
        <v>34</v>
      </c>
      <c r="M446" t="s">
        <v>34</v>
      </c>
      <c r="N446" t="s">
        <v>35</v>
      </c>
      <c r="O446" t="s">
        <v>35</v>
      </c>
      <c r="P446" t="s">
        <v>35</v>
      </c>
      <c r="Q446" t="s">
        <v>35</v>
      </c>
      <c r="R446" t="s">
        <v>35</v>
      </c>
      <c r="S446" t="s">
        <v>34</v>
      </c>
      <c r="AC446" t="s">
        <v>35</v>
      </c>
      <c r="AD446">
        <v>20170124</v>
      </c>
      <c r="AF446" t="str">
        <f>IFERROR(VLOOKUP(RIGHT(TblFeedFile1[[#This Row],[Leave Type ]],6),LkupPayType[],2,FALSE),"TBD")</f>
        <v>TBD</v>
      </c>
      <c r="AG446" t="str">
        <f>IFERROR(VLOOKUP(TblFeedFile1[[#This Row],[ Report Number ]],LkupPayrollCycle[],2,FALSE),"TBD")</f>
        <v>Bi-Weekly</v>
      </c>
      <c r="AH446" t="str">
        <f>IF(TblFeedFile1[[#This Row],[Return to Work Date ]]="","","Y")</f>
        <v/>
      </c>
    </row>
    <row r="447" spans="1:34" x14ac:dyDescent="0.25">
      <c r="A447" t="s">
        <v>29</v>
      </c>
      <c r="B447">
        <v>314304</v>
      </c>
      <c r="C447">
        <v>22702096</v>
      </c>
      <c r="D447" s="1" t="s">
        <v>667</v>
      </c>
      <c r="E447" t="s">
        <v>668</v>
      </c>
      <c r="F447" t="s">
        <v>669</v>
      </c>
      <c r="G447">
        <v>20100503</v>
      </c>
      <c r="H447">
        <v>20170110</v>
      </c>
      <c r="I447" t="s">
        <v>423</v>
      </c>
      <c r="L447" t="s">
        <v>34</v>
      </c>
      <c r="M447" t="s">
        <v>34</v>
      </c>
      <c r="N447" t="s">
        <v>35</v>
      </c>
      <c r="O447" t="s">
        <v>35</v>
      </c>
      <c r="P447" t="s">
        <v>35</v>
      </c>
      <c r="Q447" t="s">
        <v>35</v>
      </c>
      <c r="R447" t="s">
        <v>35</v>
      </c>
      <c r="S447" t="s">
        <v>34</v>
      </c>
      <c r="AC447" t="s">
        <v>35</v>
      </c>
      <c r="AD447">
        <v>20170124</v>
      </c>
      <c r="AF447" t="str">
        <f>IFERROR(VLOOKUP(RIGHT(TblFeedFile1[[#This Row],[Leave Type ]],6),LkupPayType[],2,FALSE),"TBD")</f>
        <v>TBD</v>
      </c>
      <c r="AG447" t="str">
        <f>IFERROR(VLOOKUP(TblFeedFile1[[#This Row],[ Report Number ]],LkupPayrollCycle[],2,FALSE),"TBD")</f>
        <v>Bi-Weekly</v>
      </c>
      <c r="AH447" t="str">
        <f>IF(TblFeedFile1[[#This Row],[Return to Work Date ]]="","","Y")</f>
        <v/>
      </c>
    </row>
    <row r="448" spans="1:34" x14ac:dyDescent="0.25">
      <c r="A448" t="s">
        <v>29</v>
      </c>
      <c r="B448">
        <v>314304</v>
      </c>
      <c r="C448">
        <v>22702096</v>
      </c>
      <c r="D448" s="1" t="s">
        <v>667</v>
      </c>
      <c r="E448" t="s">
        <v>668</v>
      </c>
      <c r="F448" t="s">
        <v>669</v>
      </c>
      <c r="G448">
        <v>20100503</v>
      </c>
      <c r="H448">
        <v>20170110</v>
      </c>
      <c r="I448" t="s">
        <v>537</v>
      </c>
      <c r="L448" t="s">
        <v>34</v>
      </c>
      <c r="M448" t="s">
        <v>34</v>
      </c>
      <c r="N448" t="s">
        <v>35</v>
      </c>
      <c r="O448" t="s">
        <v>35</v>
      </c>
      <c r="P448" t="s">
        <v>35</v>
      </c>
      <c r="Q448" t="s">
        <v>35</v>
      </c>
      <c r="R448" t="s">
        <v>35</v>
      </c>
      <c r="S448" t="s">
        <v>34</v>
      </c>
      <c r="AC448" t="s">
        <v>35</v>
      </c>
      <c r="AD448">
        <v>20170124</v>
      </c>
      <c r="AF448" t="str">
        <f>IFERROR(VLOOKUP(RIGHT(TblFeedFile1[[#This Row],[Leave Type ]],6),LkupPayType[],2,FALSE),"TBD")</f>
        <v>TBD</v>
      </c>
      <c r="AG448" t="str">
        <f>IFERROR(VLOOKUP(TblFeedFile1[[#This Row],[ Report Number ]],LkupPayrollCycle[],2,FALSE),"TBD")</f>
        <v>Bi-Weekly</v>
      </c>
      <c r="AH448" t="str">
        <f>IF(TblFeedFile1[[#This Row],[Return to Work Date ]]="","","Y")</f>
        <v/>
      </c>
    </row>
    <row r="449" spans="1:34" x14ac:dyDescent="0.25">
      <c r="A449" t="s">
        <v>29</v>
      </c>
      <c r="B449">
        <v>314304</v>
      </c>
      <c r="C449">
        <v>22702096</v>
      </c>
      <c r="D449" s="1" t="s">
        <v>667</v>
      </c>
      <c r="E449" t="s">
        <v>668</v>
      </c>
      <c r="F449" t="s">
        <v>669</v>
      </c>
      <c r="G449">
        <v>20100503</v>
      </c>
      <c r="H449">
        <v>20170110</v>
      </c>
      <c r="I449" t="s">
        <v>303</v>
      </c>
      <c r="L449" t="s">
        <v>34</v>
      </c>
      <c r="M449" t="s">
        <v>34</v>
      </c>
      <c r="N449" t="s">
        <v>35</v>
      </c>
      <c r="O449" t="s">
        <v>35</v>
      </c>
      <c r="P449" t="s">
        <v>35</v>
      </c>
      <c r="Q449" t="s">
        <v>35</v>
      </c>
      <c r="R449" t="s">
        <v>35</v>
      </c>
      <c r="S449" t="s">
        <v>34</v>
      </c>
      <c r="AC449" t="s">
        <v>35</v>
      </c>
      <c r="AD449">
        <v>20170124</v>
      </c>
      <c r="AF449" t="str">
        <f>IFERROR(VLOOKUP(RIGHT(TblFeedFile1[[#This Row],[Leave Type ]],6),LkupPayType[],2,FALSE),"TBD")</f>
        <v>TBD</v>
      </c>
      <c r="AG449" t="str">
        <f>IFERROR(VLOOKUP(TblFeedFile1[[#This Row],[ Report Number ]],LkupPayrollCycle[],2,FALSE),"TBD")</f>
        <v>Bi-Weekly</v>
      </c>
      <c r="AH449" t="str">
        <f>IF(TblFeedFile1[[#This Row],[Return to Work Date ]]="","","Y")</f>
        <v/>
      </c>
    </row>
    <row r="450" spans="1:34" x14ac:dyDescent="0.25">
      <c r="A450" t="s">
        <v>29</v>
      </c>
      <c r="B450">
        <v>314304</v>
      </c>
      <c r="C450">
        <v>22702096</v>
      </c>
      <c r="D450" s="1" t="s">
        <v>667</v>
      </c>
      <c r="E450" t="s">
        <v>668</v>
      </c>
      <c r="F450" t="s">
        <v>669</v>
      </c>
      <c r="G450">
        <v>20100503</v>
      </c>
      <c r="H450">
        <v>20170110</v>
      </c>
      <c r="I450" t="s">
        <v>201</v>
      </c>
      <c r="L450" t="s">
        <v>34</v>
      </c>
      <c r="M450" t="s">
        <v>34</v>
      </c>
      <c r="N450" t="s">
        <v>35</v>
      </c>
      <c r="O450" t="s">
        <v>35</v>
      </c>
      <c r="P450" t="s">
        <v>35</v>
      </c>
      <c r="Q450" t="s">
        <v>35</v>
      </c>
      <c r="R450" t="s">
        <v>35</v>
      </c>
      <c r="S450" t="s">
        <v>34</v>
      </c>
      <c r="AC450" t="s">
        <v>35</v>
      </c>
      <c r="AD450">
        <v>20170124</v>
      </c>
      <c r="AF450" t="str">
        <f>IFERROR(VLOOKUP(RIGHT(TblFeedFile1[[#This Row],[Leave Type ]],6),LkupPayType[],2,FALSE),"TBD")</f>
        <v>TBD</v>
      </c>
      <c r="AG450" t="str">
        <f>IFERROR(VLOOKUP(TblFeedFile1[[#This Row],[ Report Number ]],LkupPayrollCycle[],2,FALSE),"TBD")</f>
        <v>Bi-Weekly</v>
      </c>
      <c r="AH450" t="str">
        <f>IF(TblFeedFile1[[#This Row],[Return to Work Date ]]="","","Y")</f>
        <v/>
      </c>
    </row>
    <row r="451" spans="1:34" x14ac:dyDescent="0.25">
      <c r="A451" t="s">
        <v>37</v>
      </c>
      <c r="B451">
        <v>314304</v>
      </c>
      <c r="C451">
        <v>22702096</v>
      </c>
      <c r="D451" s="1" t="s">
        <v>667</v>
      </c>
      <c r="E451" t="s">
        <v>668</v>
      </c>
      <c r="F451" t="s">
        <v>669</v>
      </c>
      <c r="G451">
        <v>20100503</v>
      </c>
      <c r="H451">
        <v>20170502</v>
      </c>
      <c r="I451" t="s">
        <v>423</v>
      </c>
      <c r="L451" t="s">
        <v>34</v>
      </c>
      <c r="M451" t="s">
        <v>34</v>
      </c>
      <c r="N451" t="s">
        <v>35</v>
      </c>
      <c r="O451" t="s">
        <v>35</v>
      </c>
      <c r="P451" t="s">
        <v>35</v>
      </c>
      <c r="Q451" t="s">
        <v>35</v>
      </c>
      <c r="R451" t="s">
        <v>35</v>
      </c>
      <c r="S451" t="s">
        <v>34</v>
      </c>
      <c r="AC451" t="s">
        <v>35</v>
      </c>
      <c r="AD451">
        <v>20170124</v>
      </c>
      <c r="AF451" t="str">
        <f>IFERROR(VLOOKUP(RIGHT(TblFeedFile1[[#This Row],[Leave Type ]],6),LkupPayType[],2,FALSE),"TBD")</f>
        <v>TBD</v>
      </c>
      <c r="AG451" t="str">
        <f>IFERROR(VLOOKUP(TblFeedFile1[[#This Row],[ Report Number ]],LkupPayrollCycle[],2,FALSE),"TBD")</f>
        <v>Bi-Weekly</v>
      </c>
      <c r="AH451" t="str">
        <f>IF(TblFeedFile1[[#This Row],[Return to Work Date ]]="","","Y")</f>
        <v/>
      </c>
    </row>
    <row r="452" spans="1:34" x14ac:dyDescent="0.25">
      <c r="A452" t="s">
        <v>37</v>
      </c>
      <c r="B452">
        <v>314304</v>
      </c>
      <c r="C452">
        <v>22702096</v>
      </c>
      <c r="D452" s="1" t="s">
        <v>667</v>
      </c>
      <c r="E452" t="s">
        <v>668</v>
      </c>
      <c r="F452" t="s">
        <v>669</v>
      </c>
      <c r="G452">
        <v>20100602</v>
      </c>
      <c r="H452">
        <v>20170502</v>
      </c>
      <c r="I452" t="s">
        <v>303</v>
      </c>
      <c r="L452" t="s">
        <v>34</v>
      </c>
      <c r="M452" t="s">
        <v>34</v>
      </c>
      <c r="N452" t="s">
        <v>35</v>
      </c>
      <c r="O452" t="s">
        <v>35</v>
      </c>
      <c r="P452" t="s">
        <v>35</v>
      </c>
      <c r="Q452" t="s">
        <v>35</v>
      </c>
      <c r="R452" t="s">
        <v>35</v>
      </c>
      <c r="S452" t="s">
        <v>34</v>
      </c>
      <c r="AC452" t="s">
        <v>35</v>
      </c>
      <c r="AD452">
        <v>20170124</v>
      </c>
      <c r="AF452" t="str">
        <f>IFERROR(VLOOKUP(RIGHT(TblFeedFile1[[#This Row],[Leave Type ]],6),LkupPayType[],2,FALSE),"TBD")</f>
        <v>TBD</v>
      </c>
      <c r="AG452" t="str">
        <f>IFERROR(VLOOKUP(TblFeedFile1[[#This Row],[ Report Number ]],LkupPayrollCycle[],2,FALSE),"TBD")</f>
        <v>Bi-Weekly</v>
      </c>
      <c r="AH452" t="str">
        <f>IF(TblFeedFile1[[#This Row],[Return to Work Date ]]="","","Y")</f>
        <v/>
      </c>
    </row>
    <row r="453" spans="1:34" x14ac:dyDescent="0.25">
      <c r="A453" t="s">
        <v>37</v>
      </c>
      <c r="B453">
        <v>314304</v>
      </c>
      <c r="C453">
        <v>22702096</v>
      </c>
      <c r="D453" s="1" t="s">
        <v>667</v>
      </c>
      <c r="E453" t="s">
        <v>668</v>
      </c>
      <c r="F453" t="s">
        <v>669</v>
      </c>
      <c r="G453">
        <v>20100603</v>
      </c>
      <c r="H453">
        <v>20170502</v>
      </c>
      <c r="I453" t="s">
        <v>537</v>
      </c>
      <c r="L453" t="s">
        <v>34</v>
      </c>
      <c r="M453" t="s">
        <v>34</v>
      </c>
      <c r="N453" t="s">
        <v>35</v>
      </c>
      <c r="O453" t="s">
        <v>35</v>
      </c>
      <c r="P453" t="s">
        <v>35</v>
      </c>
      <c r="Q453" t="s">
        <v>35</v>
      </c>
      <c r="R453" t="s">
        <v>35</v>
      </c>
      <c r="S453" t="s">
        <v>34</v>
      </c>
      <c r="AC453" t="s">
        <v>35</v>
      </c>
      <c r="AD453">
        <v>20170124</v>
      </c>
      <c r="AF453" t="str">
        <f>IFERROR(VLOOKUP(RIGHT(TblFeedFile1[[#This Row],[Leave Type ]],6),LkupPayType[],2,FALSE),"TBD")</f>
        <v>TBD</v>
      </c>
      <c r="AG453" t="str">
        <f>IFERROR(VLOOKUP(TblFeedFile1[[#This Row],[ Report Number ]],LkupPayrollCycle[],2,FALSE),"TBD")</f>
        <v>Bi-Weekly</v>
      </c>
      <c r="AH453" t="str">
        <f>IF(TblFeedFile1[[#This Row],[Return to Work Date ]]="","","Y")</f>
        <v/>
      </c>
    </row>
    <row r="454" spans="1:34" x14ac:dyDescent="0.25">
      <c r="A454" t="s">
        <v>37</v>
      </c>
      <c r="B454">
        <v>314304</v>
      </c>
      <c r="C454">
        <v>22702096</v>
      </c>
      <c r="D454" s="1" t="s">
        <v>667</v>
      </c>
      <c r="E454" t="s">
        <v>668</v>
      </c>
      <c r="F454" t="s">
        <v>669</v>
      </c>
      <c r="G454">
        <v>20150503</v>
      </c>
      <c r="H454">
        <v>20170502</v>
      </c>
      <c r="I454" t="s">
        <v>201</v>
      </c>
      <c r="L454" t="s">
        <v>34</v>
      </c>
      <c r="M454" t="s">
        <v>34</v>
      </c>
      <c r="N454" t="s">
        <v>35</v>
      </c>
      <c r="O454" t="s">
        <v>35</v>
      </c>
      <c r="P454" t="s">
        <v>35</v>
      </c>
      <c r="Q454" t="s">
        <v>35</v>
      </c>
      <c r="R454" t="s">
        <v>35</v>
      </c>
      <c r="S454" t="s">
        <v>34</v>
      </c>
      <c r="AC454" t="s">
        <v>35</v>
      </c>
      <c r="AD454">
        <v>20170124</v>
      </c>
      <c r="AF454" t="str">
        <f>IFERROR(VLOOKUP(RIGHT(TblFeedFile1[[#This Row],[Leave Type ]],6),LkupPayType[],2,FALSE),"TBD")</f>
        <v>TBD</v>
      </c>
      <c r="AG454" t="str">
        <f>IFERROR(VLOOKUP(TblFeedFile1[[#This Row],[ Report Number ]],LkupPayrollCycle[],2,FALSE),"TBD")</f>
        <v>Bi-Weekly</v>
      </c>
      <c r="AH454" t="str">
        <f>IF(TblFeedFile1[[#This Row],[Return to Work Date ]]="","","Y")</f>
        <v/>
      </c>
    </row>
    <row r="455" spans="1:34" x14ac:dyDescent="0.25">
      <c r="A455" t="s">
        <v>29</v>
      </c>
      <c r="B455">
        <v>314304</v>
      </c>
      <c r="C455">
        <v>22730504</v>
      </c>
      <c r="D455" s="1" t="s">
        <v>670</v>
      </c>
      <c r="E455" t="s">
        <v>671</v>
      </c>
      <c r="F455" t="s">
        <v>672</v>
      </c>
      <c r="G455">
        <v>20160906</v>
      </c>
      <c r="H455">
        <v>20161223</v>
      </c>
      <c r="I455" t="s">
        <v>223</v>
      </c>
      <c r="L455" t="s">
        <v>34</v>
      </c>
      <c r="M455" t="s">
        <v>34</v>
      </c>
      <c r="N455" t="s">
        <v>35</v>
      </c>
      <c r="O455" t="s">
        <v>35</v>
      </c>
      <c r="P455" t="s">
        <v>35</v>
      </c>
      <c r="Q455" t="s">
        <v>35</v>
      </c>
      <c r="R455" t="s">
        <v>35</v>
      </c>
      <c r="S455" t="s">
        <v>34</v>
      </c>
      <c r="AC455" t="s">
        <v>35</v>
      </c>
      <c r="AD455">
        <v>20170124</v>
      </c>
      <c r="AF455" t="str">
        <f>IFERROR(VLOOKUP(RIGHT(TblFeedFile1[[#This Row],[Leave Type ]],6),LkupPayType[],2,FALSE),"TBD")</f>
        <v>TBD</v>
      </c>
      <c r="AG455" t="str">
        <f>IFERROR(VLOOKUP(TblFeedFile1[[#This Row],[ Report Number ]],LkupPayrollCycle[],2,FALSE),"TBD")</f>
        <v>Bi-Weekly</v>
      </c>
      <c r="AH455" t="str">
        <f>IF(TblFeedFile1[[#This Row],[Return to Work Date ]]="","","Y")</f>
        <v/>
      </c>
    </row>
    <row r="456" spans="1:34" x14ac:dyDescent="0.25">
      <c r="A456" t="s">
        <v>29</v>
      </c>
      <c r="B456">
        <v>314304</v>
      </c>
      <c r="C456">
        <v>22730504</v>
      </c>
      <c r="D456" s="1" t="s">
        <v>670</v>
      </c>
      <c r="E456" t="s">
        <v>671</v>
      </c>
      <c r="F456" t="s">
        <v>672</v>
      </c>
      <c r="G456">
        <v>20160906</v>
      </c>
      <c r="H456">
        <v>20161223</v>
      </c>
      <c r="I456" t="s">
        <v>185</v>
      </c>
      <c r="L456" t="s">
        <v>34</v>
      </c>
      <c r="M456" t="s">
        <v>34</v>
      </c>
      <c r="N456" t="s">
        <v>35</v>
      </c>
      <c r="O456" t="s">
        <v>35</v>
      </c>
      <c r="P456" t="s">
        <v>35</v>
      </c>
      <c r="Q456" t="s">
        <v>35</v>
      </c>
      <c r="R456" t="s">
        <v>35</v>
      </c>
      <c r="S456" t="s">
        <v>34</v>
      </c>
      <c r="AC456" t="s">
        <v>35</v>
      </c>
      <c r="AD456">
        <v>20170124</v>
      </c>
      <c r="AF456" t="str">
        <f>IFERROR(VLOOKUP(RIGHT(TblFeedFile1[[#This Row],[Leave Type ]],6),LkupPayType[],2,FALSE),"TBD")</f>
        <v>TBD</v>
      </c>
      <c r="AG456" t="str">
        <f>IFERROR(VLOOKUP(TblFeedFile1[[#This Row],[ Report Number ]],LkupPayrollCycle[],2,FALSE),"TBD")</f>
        <v>Bi-Weekly</v>
      </c>
      <c r="AH456" t="str">
        <f>IF(TblFeedFile1[[#This Row],[Return to Work Date ]]="","","Y")</f>
        <v/>
      </c>
    </row>
    <row r="457" spans="1:34" x14ac:dyDescent="0.25">
      <c r="A457" t="s">
        <v>37</v>
      </c>
      <c r="B457">
        <v>314304</v>
      </c>
      <c r="C457">
        <v>22743725</v>
      </c>
      <c r="D457" s="1">
        <v>511701058149</v>
      </c>
      <c r="E457" t="s">
        <v>673</v>
      </c>
      <c r="F457" t="s">
        <v>674</v>
      </c>
      <c r="G457">
        <v>20170123</v>
      </c>
      <c r="H457">
        <v>20170505</v>
      </c>
      <c r="I457" t="s">
        <v>459</v>
      </c>
      <c r="L457" t="s">
        <v>34</v>
      </c>
      <c r="M457" t="s">
        <v>34</v>
      </c>
      <c r="N457" t="s">
        <v>35</v>
      </c>
      <c r="O457" t="s">
        <v>35</v>
      </c>
      <c r="P457" t="s">
        <v>35</v>
      </c>
      <c r="Q457" t="s">
        <v>35</v>
      </c>
      <c r="R457" t="s">
        <v>35</v>
      </c>
      <c r="S457" t="s">
        <v>34</v>
      </c>
      <c r="AD457">
        <v>20170124</v>
      </c>
      <c r="AF457" t="str">
        <f>IFERROR(VLOOKUP(RIGHT(TblFeedFile1[[#This Row],[Leave Type ]],6),LkupPayType[],2,FALSE),"TBD")</f>
        <v>TBD</v>
      </c>
      <c r="AG457" t="str">
        <f>IFERROR(VLOOKUP(TblFeedFile1[[#This Row],[ Report Number ]],LkupPayrollCycle[],2,FALSE),"TBD")</f>
        <v>Bi-Weekly</v>
      </c>
      <c r="AH457" t="str">
        <f>IF(TblFeedFile1[[#This Row],[Return to Work Date ]]="","","Y")</f>
        <v/>
      </c>
    </row>
    <row r="458" spans="1:34" x14ac:dyDescent="0.25">
      <c r="A458" t="s">
        <v>29</v>
      </c>
      <c r="B458">
        <v>314304</v>
      </c>
      <c r="C458">
        <v>22757193</v>
      </c>
      <c r="D458" s="1" t="s">
        <v>675</v>
      </c>
      <c r="E458" t="s">
        <v>676</v>
      </c>
      <c r="F458" t="s">
        <v>677</v>
      </c>
      <c r="G458">
        <v>20170117</v>
      </c>
      <c r="H458">
        <v>20170117</v>
      </c>
      <c r="I458" t="s">
        <v>33</v>
      </c>
      <c r="L458" t="s">
        <v>34</v>
      </c>
      <c r="M458" t="s">
        <v>34</v>
      </c>
      <c r="N458" t="s">
        <v>35</v>
      </c>
      <c r="O458" t="s">
        <v>35</v>
      </c>
      <c r="P458" t="s">
        <v>35</v>
      </c>
      <c r="Q458" t="s">
        <v>35</v>
      </c>
      <c r="R458" t="s">
        <v>35</v>
      </c>
      <c r="S458" t="s">
        <v>34</v>
      </c>
      <c r="AD458">
        <v>20170124</v>
      </c>
      <c r="AF458" t="str">
        <f>IFERROR(VLOOKUP(RIGHT(TblFeedFile1[[#This Row],[Leave Type ]],6),LkupPayType[],2,FALSE),"TBD")</f>
        <v>TBD</v>
      </c>
      <c r="AG458" t="str">
        <f>IFERROR(VLOOKUP(TblFeedFile1[[#This Row],[ Report Number ]],LkupPayrollCycle[],2,FALSE),"TBD")</f>
        <v>Bi-Weekly</v>
      </c>
      <c r="AH458" t="str">
        <f>IF(TblFeedFile1[[#This Row],[Return to Work Date ]]="","","Y")</f>
        <v/>
      </c>
    </row>
    <row r="459" spans="1:34" x14ac:dyDescent="0.25">
      <c r="A459" t="s">
        <v>29</v>
      </c>
      <c r="B459">
        <v>314304</v>
      </c>
      <c r="C459">
        <v>22757193</v>
      </c>
      <c r="D459" s="1">
        <v>511701068579</v>
      </c>
      <c r="E459" t="s">
        <v>676</v>
      </c>
      <c r="F459" t="s">
        <v>677</v>
      </c>
      <c r="G459">
        <v>20170111</v>
      </c>
      <c r="H459">
        <v>20170120</v>
      </c>
      <c r="I459" t="s">
        <v>40</v>
      </c>
      <c r="L459" t="s">
        <v>34</v>
      </c>
      <c r="M459" t="s">
        <v>34</v>
      </c>
      <c r="N459" t="s">
        <v>35</v>
      </c>
      <c r="O459" t="s">
        <v>35</v>
      </c>
      <c r="P459" t="s">
        <v>35</v>
      </c>
      <c r="Q459" t="s">
        <v>35</v>
      </c>
      <c r="R459" t="s">
        <v>35</v>
      </c>
      <c r="S459" t="s">
        <v>34</v>
      </c>
      <c r="AD459">
        <v>20170124</v>
      </c>
      <c r="AF459" t="str">
        <f>IFERROR(VLOOKUP(RIGHT(TblFeedFile1[[#This Row],[Leave Type ]],6),LkupPayType[],2,FALSE),"TBD")</f>
        <v>TBD</v>
      </c>
      <c r="AG459" t="str">
        <f>IFERROR(VLOOKUP(TblFeedFile1[[#This Row],[ Report Number ]],LkupPayrollCycle[],2,FALSE),"TBD")</f>
        <v>Bi-Weekly</v>
      </c>
      <c r="AH459" t="str">
        <f>IF(TblFeedFile1[[#This Row],[Return to Work Date ]]="","","Y")</f>
        <v/>
      </c>
    </row>
    <row r="460" spans="1:34" x14ac:dyDescent="0.25">
      <c r="A460" t="s">
        <v>37</v>
      </c>
      <c r="B460">
        <v>314304</v>
      </c>
      <c r="C460">
        <v>22757193</v>
      </c>
      <c r="D460" s="1" t="s">
        <v>675</v>
      </c>
      <c r="E460" t="s">
        <v>676</v>
      </c>
      <c r="F460" t="s">
        <v>677</v>
      </c>
      <c r="G460">
        <v>20170111</v>
      </c>
      <c r="H460">
        <v>20170118</v>
      </c>
      <c r="I460" t="s">
        <v>36</v>
      </c>
      <c r="L460" t="s">
        <v>34</v>
      </c>
      <c r="M460" t="s">
        <v>34</v>
      </c>
      <c r="N460" t="s">
        <v>35</v>
      </c>
      <c r="O460" t="s">
        <v>35</v>
      </c>
      <c r="P460" t="s">
        <v>35</v>
      </c>
      <c r="Q460" t="s">
        <v>35</v>
      </c>
      <c r="R460" t="s">
        <v>35</v>
      </c>
      <c r="S460" t="s">
        <v>34</v>
      </c>
      <c r="AD460">
        <v>20170124</v>
      </c>
      <c r="AF460" t="str">
        <f>IFERROR(VLOOKUP(RIGHT(TblFeedFile1[[#This Row],[Leave Type ]],6),LkupPayType[],2,FALSE),"TBD")</f>
        <v>TBD</v>
      </c>
      <c r="AG460" t="str">
        <f>IFERROR(VLOOKUP(TblFeedFile1[[#This Row],[ Report Number ]],LkupPayrollCycle[],2,FALSE),"TBD")</f>
        <v>Bi-Weekly</v>
      </c>
      <c r="AH460" t="str">
        <f>IF(TblFeedFile1[[#This Row],[Return to Work Date ]]="","","Y")</f>
        <v/>
      </c>
    </row>
    <row r="461" spans="1:34" x14ac:dyDescent="0.25">
      <c r="A461" t="s">
        <v>37</v>
      </c>
      <c r="B461">
        <v>314304</v>
      </c>
      <c r="C461">
        <v>22757193</v>
      </c>
      <c r="D461" s="1" t="s">
        <v>675</v>
      </c>
      <c r="E461" t="s">
        <v>676</v>
      </c>
      <c r="F461" t="s">
        <v>677</v>
      </c>
      <c r="G461">
        <v>20170119</v>
      </c>
      <c r="H461">
        <v>20170119</v>
      </c>
      <c r="I461" t="s">
        <v>33</v>
      </c>
      <c r="L461" t="s">
        <v>34</v>
      </c>
      <c r="M461" t="s">
        <v>34</v>
      </c>
      <c r="N461" t="s">
        <v>35</v>
      </c>
      <c r="O461" t="s">
        <v>35</v>
      </c>
      <c r="P461" t="s">
        <v>35</v>
      </c>
      <c r="Q461" t="s">
        <v>35</v>
      </c>
      <c r="R461" t="s">
        <v>35</v>
      </c>
      <c r="S461" t="s">
        <v>34</v>
      </c>
      <c r="AD461">
        <v>20170124</v>
      </c>
      <c r="AF461" t="str">
        <f>IFERROR(VLOOKUP(RIGHT(TblFeedFile1[[#This Row],[Leave Type ]],6),LkupPayType[],2,FALSE),"TBD")</f>
        <v>TBD</v>
      </c>
      <c r="AG461" t="str">
        <f>IFERROR(VLOOKUP(TblFeedFile1[[#This Row],[ Report Number ]],LkupPayrollCycle[],2,FALSE),"TBD")</f>
        <v>Bi-Weekly</v>
      </c>
      <c r="AH461" t="str">
        <f>IF(TblFeedFile1[[#This Row],[Return to Work Date ]]="","","Y")</f>
        <v/>
      </c>
    </row>
    <row r="462" spans="1:34" x14ac:dyDescent="0.25">
      <c r="A462" t="s">
        <v>37</v>
      </c>
      <c r="B462">
        <v>314301</v>
      </c>
      <c r="C462">
        <v>22757933</v>
      </c>
      <c r="D462" s="1" t="s">
        <v>678</v>
      </c>
      <c r="E462" t="s">
        <v>112</v>
      </c>
      <c r="F462" t="s">
        <v>679</v>
      </c>
      <c r="G462">
        <v>20170125</v>
      </c>
      <c r="H462">
        <v>20170516</v>
      </c>
      <c r="I462" t="s">
        <v>36</v>
      </c>
      <c r="L462" t="s">
        <v>34</v>
      </c>
      <c r="M462" t="s">
        <v>34</v>
      </c>
      <c r="N462" t="s">
        <v>35</v>
      </c>
      <c r="O462" t="s">
        <v>35</v>
      </c>
      <c r="P462" t="s">
        <v>35</v>
      </c>
      <c r="Q462" t="s">
        <v>35</v>
      </c>
      <c r="R462" t="s">
        <v>35</v>
      </c>
      <c r="S462" t="s">
        <v>34</v>
      </c>
      <c r="AD462">
        <v>20170124</v>
      </c>
      <c r="AF462" t="str">
        <f>IFERROR(VLOOKUP(RIGHT(TblFeedFile1[[#This Row],[Leave Type ]],6),LkupPayType[],2,FALSE),"TBD")</f>
        <v>TBD</v>
      </c>
      <c r="AG462" t="str">
        <f>IFERROR(VLOOKUP(TblFeedFile1[[#This Row],[ Report Number ]],LkupPayrollCycle[],2,FALSE),"TBD")</f>
        <v>Semi-Monthly</v>
      </c>
      <c r="AH462" t="str">
        <f>IF(TblFeedFile1[[#This Row],[Return to Work Date ]]="","","Y")</f>
        <v/>
      </c>
    </row>
    <row r="463" spans="1:34" x14ac:dyDescent="0.25">
      <c r="A463" t="s">
        <v>29</v>
      </c>
      <c r="B463">
        <v>314301</v>
      </c>
      <c r="C463">
        <v>22767939</v>
      </c>
      <c r="D463" s="1" t="s">
        <v>680</v>
      </c>
      <c r="E463" t="s">
        <v>681</v>
      </c>
      <c r="F463" t="s">
        <v>682</v>
      </c>
      <c r="G463">
        <v>20170114</v>
      </c>
      <c r="H463">
        <v>20170114</v>
      </c>
      <c r="I463" t="s">
        <v>33</v>
      </c>
      <c r="L463" t="s">
        <v>34</v>
      </c>
      <c r="M463" t="s">
        <v>34</v>
      </c>
      <c r="N463" t="s">
        <v>35</v>
      </c>
      <c r="O463" t="s">
        <v>35</v>
      </c>
      <c r="P463" t="s">
        <v>35</v>
      </c>
      <c r="Q463" t="s">
        <v>35</v>
      </c>
      <c r="R463" t="s">
        <v>35</v>
      </c>
      <c r="S463" t="s">
        <v>34</v>
      </c>
      <c r="AC463" t="s">
        <v>35</v>
      </c>
      <c r="AD463">
        <v>20170124</v>
      </c>
      <c r="AF463" t="str">
        <f>IFERROR(VLOOKUP(RIGHT(TblFeedFile1[[#This Row],[Leave Type ]],6),LkupPayType[],2,FALSE),"TBD")</f>
        <v>TBD</v>
      </c>
      <c r="AG463" t="str">
        <f>IFERROR(VLOOKUP(TblFeedFile1[[#This Row],[ Report Number ]],LkupPayrollCycle[],2,FALSE),"TBD")</f>
        <v>Semi-Monthly</v>
      </c>
      <c r="AH463" t="str">
        <f>IF(TblFeedFile1[[#This Row],[Return to Work Date ]]="","","Y")</f>
        <v/>
      </c>
    </row>
    <row r="464" spans="1:34" x14ac:dyDescent="0.25">
      <c r="A464" t="s">
        <v>29</v>
      </c>
      <c r="B464">
        <v>314301</v>
      </c>
      <c r="C464">
        <v>22767939</v>
      </c>
      <c r="D464" s="1" t="s">
        <v>680</v>
      </c>
      <c r="E464" t="s">
        <v>681</v>
      </c>
      <c r="F464" t="s">
        <v>682</v>
      </c>
      <c r="G464">
        <v>20161227</v>
      </c>
      <c r="H464">
        <v>20170113</v>
      </c>
      <c r="I464" t="s">
        <v>223</v>
      </c>
      <c r="L464" t="s">
        <v>34</v>
      </c>
      <c r="M464" t="s">
        <v>34</v>
      </c>
      <c r="N464" t="s">
        <v>35</v>
      </c>
      <c r="O464" t="s">
        <v>35</v>
      </c>
      <c r="P464" t="s">
        <v>35</v>
      </c>
      <c r="Q464" t="s">
        <v>35</v>
      </c>
      <c r="R464" t="s">
        <v>35</v>
      </c>
      <c r="S464" t="s">
        <v>34</v>
      </c>
      <c r="AC464" t="s">
        <v>35</v>
      </c>
      <c r="AD464">
        <v>20170124</v>
      </c>
      <c r="AF464" t="str">
        <f>IFERROR(VLOOKUP(RIGHT(TblFeedFile1[[#This Row],[Leave Type ]],6),LkupPayType[],2,FALSE),"TBD")</f>
        <v>TBD</v>
      </c>
      <c r="AG464" t="str">
        <f>IFERROR(VLOOKUP(TblFeedFile1[[#This Row],[ Report Number ]],LkupPayrollCycle[],2,FALSE),"TBD")</f>
        <v>Semi-Monthly</v>
      </c>
      <c r="AH464" t="str">
        <f>IF(TblFeedFile1[[#This Row],[Return to Work Date ]]="","","Y")</f>
        <v/>
      </c>
    </row>
    <row r="465" spans="1:34" x14ac:dyDescent="0.25">
      <c r="A465" t="s">
        <v>29</v>
      </c>
      <c r="B465">
        <v>314301</v>
      </c>
      <c r="C465">
        <v>22767939</v>
      </c>
      <c r="D465" s="1" t="s">
        <v>680</v>
      </c>
      <c r="E465" t="s">
        <v>681</v>
      </c>
      <c r="F465" t="s">
        <v>682</v>
      </c>
      <c r="G465">
        <v>20161227</v>
      </c>
      <c r="H465">
        <v>20170113</v>
      </c>
      <c r="I465" t="s">
        <v>185</v>
      </c>
      <c r="L465" t="s">
        <v>34</v>
      </c>
      <c r="M465" t="s">
        <v>34</v>
      </c>
      <c r="N465" t="s">
        <v>35</v>
      </c>
      <c r="O465" t="s">
        <v>35</v>
      </c>
      <c r="P465" t="s">
        <v>35</v>
      </c>
      <c r="Q465" t="s">
        <v>35</v>
      </c>
      <c r="R465" t="s">
        <v>35</v>
      </c>
      <c r="S465" t="s">
        <v>34</v>
      </c>
      <c r="AC465" t="s">
        <v>35</v>
      </c>
      <c r="AD465">
        <v>20170124</v>
      </c>
      <c r="AF465" t="str">
        <f>IFERROR(VLOOKUP(RIGHT(TblFeedFile1[[#This Row],[Leave Type ]],6),LkupPayType[],2,FALSE),"TBD")</f>
        <v>TBD</v>
      </c>
      <c r="AG465" t="str">
        <f>IFERROR(VLOOKUP(TblFeedFile1[[#This Row],[ Report Number ]],LkupPayrollCycle[],2,FALSE),"TBD")</f>
        <v>Semi-Monthly</v>
      </c>
      <c r="AH465" t="str">
        <f>IF(TblFeedFile1[[#This Row],[Return to Work Date ]]="","","Y")</f>
        <v/>
      </c>
    </row>
    <row r="466" spans="1:34" x14ac:dyDescent="0.25">
      <c r="A466" t="s">
        <v>37</v>
      </c>
      <c r="B466">
        <v>314301</v>
      </c>
      <c r="C466">
        <v>22767939</v>
      </c>
      <c r="D466" s="1" t="s">
        <v>680</v>
      </c>
      <c r="E466" t="s">
        <v>681</v>
      </c>
      <c r="F466" t="s">
        <v>682</v>
      </c>
      <c r="G466">
        <v>20161227</v>
      </c>
      <c r="H466">
        <v>20170315</v>
      </c>
      <c r="I466" t="s">
        <v>223</v>
      </c>
      <c r="L466" t="s">
        <v>34</v>
      </c>
      <c r="M466" t="s">
        <v>34</v>
      </c>
      <c r="N466" t="s">
        <v>35</v>
      </c>
      <c r="O466" t="s">
        <v>35</v>
      </c>
      <c r="P466" t="s">
        <v>35</v>
      </c>
      <c r="Q466" t="s">
        <v>35</v>
      </c>
      <c r="R466" t="s">
        <v>35</v>
      </c>
      <c r="S466" t="s">
        <v>34</v>
      </c>
      <c r="AC466" t="s">
        <v>35</v>
      </c>
      <c r="AD466">
        <v>20170124</v>
      </c>
      <c r="AF466" t="str">
        <f>IFERROR(VLOOKUP(RIGHT(TblFeedFile1[[#This Row],[Leave Type ]],6),LkupPayType[],2,FALSE),"TBD")</f>
        <v>TBD</v>
      </c>
      <c r="AG466" t="str">
        <f>IFERROR(VLOOKUP(TblFeedFile1[[#This Row],[ Report Number ]],LkupPayrollCycle[],2,FALSE),"TBD")</f>
        <v>Semi-Monthly</v>
      </c>
      <c r="AH466" t="str">
        <f>IF(TblFeedFile1[[#This Row],[Return to Work Date ]]="","","Y")</f>
        <v/>
      </c>
    </row>
    <row r="467" spans="1:34" x14ac:dyDescent="0.25">
      <c r="A467" t="s">
        <v>37</v>
      </c>
      <c r="B467">
        <v>314301</v>
      </c>
      <c r="C467">
        <v>22768930</v>
      </c>
      <c r="D467" s="1" t="s">
        <v>683</v>
      </c>
      <c r="E467" t="s">
        <v>684</v>
      </c>
      <c r="F467" t="s">
        <v>685</v>
      </c>
      <c r="G467">
        <v>20170131</v>
      </c>
      <c r="H467">
        <v>20170321</v>
      </c>
      <c r="I467" t="s">
        <v>223</v>
      </c>
      <c r="L467" t="s">
        <v>34</v>
      </c>
      <c r="M467" t="s">
        <v>34</v>
      </c>
      <c r="N467" t="s">
        <v>35</v>
      </c>
      <c r="O467" t="s">
        <v>35</v>
      </c>
      <c r="P467" t="s">
        <v>35</v>
      </c>
      <c r="Q467" t="s">
        <v>35</v>
      </c>
      <c r="R467" t="s">
        <v>35</v>
      </c>
      <c r="S467" t="s">
        <v>34</v>
      </c>
      <c r="AD467">
        <v>20170124</v>
      </c>
      <c r="AF467" t="str">
        <f>IFERROR(VLOOKUP(RIGHT(TblFeedFile1[[#This Row],[Leave Type ]],6),LkupPayType[],2,FALSE),"TBD")</f>
        <v>TBD</v>
      </c>
      <c r="AG467" t="str">
        <f>IFERROR(VLOOKUP(TblFeedFile1[[#This Row],[ Report Number ]],LkupPayrollCycle[],2,FALSE),"TBD")</f>
        <v>Semi-Monthly</v>
      </c>
      <c r="AH467" t="str">
        <f>IF(TblFeedFile1[[#This Row],[Return to Work Date ]]="","","Y")</f>
        <v/>
      </c>
    </row>
    <row r="468" spans="1:34" x14ac:dyDescent="0.25">
      <c r="A468" t="s">
        <v>29</v>
      </c>
      <c r="B468">
        <v>314304</v>
      </c>
      <c r="C468">
        <v>22783700</v>
      </c>
      <c r="D468" s="1" t="s">
        <v>686</v>
      </c>
      <c r="E468" t="s">
        <v>687</v>
      </c>
      <c r="F468" t="s">
        <v>688</v>
      </c>
      <c r="G468">
        <v>20170114</v>
      </c>
      <c r="H468">
        <v>20170114</v>
      </c>
      <c r="I468" t="s">
        <v>33</v>
      </c>
      <c r="L468" t="s">
        <v>34</v>
      </c>
      <c r="M468" t="s">
        <v>34</v>
      </c>
      <c r="N468" t="s">
        <v>35</v>
      </c>
      <c r="O468" t="s">
        <v>35</v>
      </c>
      <c r="P468" t="s">
        <v>35</v>
      </c>
      <c r="Q468" t="s">
        <v>35</v>
      </c>
      <c r="R468" t="s">
        <v>35</v>
      </c>
      <c r="S468" t="s">
        <v>34</v>
      </c>
      <c r="AC468" t="s">
        <v>35</v>
      </c>
      <c r="AD468">
        <v>20170124</v>
      </c>
      <c r="AF468" t="str">
        <f>IFERROR(VLOOKUP(RIGHT(TblFeedFile1[[#This Row],[Leave Type ]],6),LkupPayType[],2,FALSE),"TBD")</f>
        <v>TBD</v>
      </c>
      <c r="AG468" t="str">
        <f>IFERROR(VLOOKUP(TblFeedFile1[[#This Row],[ Report Number ]],LkupPayrollCycle[],2,FALSE),"TBD")</f>
        <v>Bi-Weekly</v>
      </c>
      <c r="AH468" t="str">
        <f>IF(TblFeedFile1[[#This Row],[Return to Work Date ]]="","","Y")</f>
        <v/>
      </c>
    </row>
    <row r="469" spans="1:34" x14ac:dyDescent="0.25">
      <c r="A469" t="s">
        <v>29</v>
      </c>
      <c r="B469">
        <v>314304</v>
      </c>
      <c r="C469">
        <v>22783700</v>
      </c>
      <c r="D469" s="1">
        <v>251701188775</v>
      </c>
      <c r="E469" t="s">
        <v>687</v>
      </c>
      <c r="F469" t="s">
        <v>688</v>
      </c>
      <c r="G469">
        <v>20170113</v>
      </c>
      <c r="H469">
        <v>20170123</v>
      </c>
      <c r="I469" t="s">
        <v>40</v>
      </c>
      <c r="L469" t="s">
        <v>34</v>
      </c>
      <c r="M469" t="s">
        <v>34</v>
      </c>
      <c r="N469" t="s">
        <v>35</v>
      </c>
      <c r="O469" t="s">
        <v>35</v>
      </c>
      <c r="P469" t="s">
        <v>35</v>
      </c>
      <c r="Q469" t="s">
        <v>35</v>
      </c>
      <c r="R469" t="s">
        <v>35</v>
      </c>
      <c r="S469" t="s">
        <v>34</v>
      </c>
      <c r="AD469">
        <v>20170124</v>
      </c>
      <c r="AF469" t="str">
        <f>IFERROR(VLOOKUP(RIGHT(TblFeedFile1[[#This Row],[Leave Type ]],6),LkupPayType[],2,FALSE),"TBD")</f>
        <v>TBD</v>
      </c>
      <c r="AG469" t="str">
        <f>IFERROR(VLOOKUP(TblFeedFile1[[#This Row],[ Report Number ]],LkupPayrollCycle[],2,FALSE),"TBD")</f>
        <v>Bi-Weekly</v>
      </c>
      <c r="AH469" t="str">
        <f>IF(TblFeedFile1[[#This Row],[Return to Work Date ]]="","","Y")</f>
        <v/>
      </c>
    </row>
    <row r="470" spans="1:34" x14ac:dyDescent="0.25">
      <c r="A470" t="s">
        <v>29</v>
      </c>
      <c r="B470">
        <v>314304</v>
      </c>
      <c r="C470">
        <v>22783700</v>
      </c>
      <c r="D470" s="1">
        <v>251701188775</v>
      </c>
      <c r="E470" t="s">
        <v>687</v>
      </c>
      <c r="F470" t="s">
        <v>688</v>
      </c>
      <c r="G470">
        <v>20170106</v>
      </c>
      <c r="H470">
        <v>20170123</v>
      </c>
      <c r="I470" t="s">
        <v>53</v>
      </c>
      <c r="L470" t="s">
        <v>34</v>
      </c>
      <c r="M470" t="s">
        <v>34</v>
      </c>
      <c r="N470" t="s">
        <v>35</v>
      </c>
      <c r="O470" t="s">
        <v>35</v>
      </c>
      <c r="P470" t="s">
        <v>35</v>
      </c>
      <c r="Q470" t="s">
        <v>35</v>
      </c>
      <c r="R470" t="s">
        <v>35</v>
      </c>
      <c r="S470" t="s">
        <v>34</v>
      </c>
      <c r="AD470">
        <v>20170124</v>
      </c>
      <c r="AF470" t="str">
        <f>IFERROR(VLOOKUP(RIGHT(TblFeedFile1[[#This Row],[Leave Type ]],6),LkupPayType[],2,FALSE),"TBD")</f>
        <v>TBD</v>
      </c>
      <c r="AG470" t="str">
        <f>IFERROR(VLOOKUP(TblFeedFile1[[#This Row],[ Report Number ]],LkupPayrollCycle[],2,FALSE),"TBD")</f>
        <v>Bi-Weekly</v>
      </c>
      <c r="AH470" t="str">
        <f>IF(TblFeedFile1[[#This Row],[Return to Work Date ]]="","","Y")</f>
        <v/>
      </c>
    </row>
    <row r="471" spans="1:34" x14ac:dyDescent="0.25">
      <c r="A471" t="s">
        <v>37</v>
      </c>
      <c r="B471">
        <v>314304</v>
      </c>
      <c r="C471">
        <v>22783700</v>
      </c>
      <c r="D471" s="1" t="s">
        <v>689</v>
      </c>
      <c r="E471" t="s">
        <v>687</v>
      </c>
      <c r="F471" t="s">
        <v>688</v>
      </c>
      <c r="G471">
        <v>20170106</v>
      </c>
      <c r="H471">
        <v>20170125</v>
      </c>
      <c r="I471" t="s">
        <v>49</v>
      </c>
      <c r="L471" t="s">
        <v>34</v>
      </c>
      <c r="M471" t="s">
        <v>34</v>
      </c>
      <c r="N471" t="s">
        <v>35</v>
      </c>
      <c r="O471" t="s">
        <v>35</v>
      </c>
      <c r="P471" t="s">
        <v>35</v>
      </c>
      <c r="Q471" t="s">
        <v>35</v>
      </c>
      <c r="R471" t="s">
        <v>35</v>
      </c>
      <c r="S471" t="s">
        <v>34</v>
      </c>
      <c r="AD471">
        <v>20170124</v>
      </c>
      <c r="AF471" t="str">
        <f>IFERROR(VLOOKUP(RIGHT(TblFeedFile1[[#This Row],[Leave Type ]],6),LkupPayType[],2,FALSE),"TBD")</f>
        <v>TBD</v>
      </c>
      <c r="AG471" t="str">
        <f>IFERROR(VLOOKUP(TblFeedFile1[[#This Row],[ Report Number ]],LkupPayrollCycle[],2,FALSE),"TBD")</f>
        <v>Bi-Weekly</v>
      </c>
      <c r="AH471" t="str">
        <f>IF(TblFeedFile1[[#This Row],[Return to Work Date ]]="","","Y")</f>
        <v/>
      </c>
    </row>
    <row r="472" spans="1:34" x14ac:dyDescent="0.25">
      <c r="A472" t="s">
        <v>37</v>
      </c>
      <c r="B472">
        <v>314304</v>
      </c>
      <c r="C472">
        <v>22783700</v>
      </c>
      <c r="D472" s="1">
        <v>251701188775</v>
      </c>
      <c r="E472" t="s">
        <v>687</v>
      </c>
      <c r="F472" t="s">
        <v>688</v>
      </c>
      <c r="G472">
        <v>20170106</v>
      </c>
      <c r="H472">
        <v>20170106</v>
      </c>
      <c r="I472" t="s">
        <v>43</v>
      </c>
      <c r="L472" t="s">
        <v>34</v>
      </c>
      <c r="M472" t="s">
        <v>34</v>
      </c>
      <c r="N472" t="s">
        <v>35</v>
      </c>
      <c r="O472" t="s">
        <v>35</v>
      </c>
      <c r="P472" t="s">
        <v>35</v>
      </c>
      <c r="Q472" t="s">
        <v>35</v>
      </c>
      <c r="R472" t="s">
        <v>35</v>
      </c>
      <c r="S472" t="s">
        <v>34</v>
      </c>
      <c r="AD472">
        <v>20170124</v>
      </c>
      <c r="AF472" t="str">
        <f>IFERROR(VLOOKUP(RIGHT(TblFeedFile1[[#This Row],[Leave Type ]],6),LkupPayType[],2,FALSE),"TBD")</f>
        <v>TBD</v>
      </c>
      <c r="AG472" t="str">
        <f>IFERROR(VLOOKUP(TblFeedFile1[[#This Row],[ Report Number ]],LkupPayrollCycle[],2,FALSE),"TBD")</f>
        <v>Bi-Weekly</v>
      </c>
      <c r="AH472" t="str">
        <f>IF(TblFeedFile1[[#This Row],[Return to Work Date ]]="","","Y")</f>
        <v/>
      </c>
    </row>
    <row r="473" spans="1:34" x14ac:dyDescent="0.25">
      <c r="A473" t="s">
        <v>29</v>
      </c>
      <c r="B473">
        <v>314304</v>
      </c>
      <c r="C473">
        <v>22788488</v>
      </c>
      <c r="D473" s="1" t="s">
        <v>690</v>
      </c>
      <c r="E473" t="s">
        <v>238</v>
      </c>
      <c r="F473" t="s">
        <v>691</v>
      </c>
      <c r="G473">
        <v>20170111</v>
      </c>
      <c r="H473">
        <v>20170111</v>
      </c>
      <c r="I473" t="s">
        <v>33</v>
      </c>
      <c r="L473" t="s">
        <v>34</v>
      </c>
      <c r="M473" t="s">
        <v>35</v>
      </c>
      <c r="N473" t="s">
        <v>35</v>
      </c>
      <c r="O473" t="s">
        <v>35</v>
      </c>
      <c r="P473" t="s">
        <v>35</v>
      </c>
      <c r="Q473" t="s">
        <v>35</v>
      </c>
      <c r="R473" t="s">
        <v>35</v>
      </c>
      <c r="S473" t="s">
        <v>34</v>
      </c>
      <c r="AD473">
        <v>20170124</v>
      </c>
      <c r="AF473" t="str">
        <f>IFERROR(VLOOKUP(RIGHT(TblFeedFile1[[#This Row],[Leave Type ]],6),LkupPayType[],2,FALSE),"TBD")</f>
        <v>TBD</v>
      </c>
      <c r="AG473" t="str">
        <f>IFERROR(VLOOKUP(TblFeedFile1[[#This Row],[ Report Number ]],LkupPayrollCycle[],2,FALSE),"TBD")</f>
        <v>Bi-Weekly</v>
      </c>
      <c r="AH473" t="str">
        <f>IF(TblFeedFile1[[#This Row],[Return to Work Date ]]="","","Y")</f>
        <v/>
      </c>
    </row>
    <row r="474" spans="1:34" x14ac:dyDescent="0.25">
      <c r="A474" t="s">
        <v>37</v>
      </c>
      <c r="B474">
        <v>314304</v>
      </c>
      <c r="C474">
        <v>22788488</v>
      </c>
      <c r="D474" s="1" t="s">
        <v>690</v>
      </c>
      <c r="E474" t="s">
        <v>238</v>
      </c>
      <c r="F474" t="s">
        <v>691</v>
      </c>
      <c r="G474">
        <v>20170111</v>
      </c>
      <c r="H474">
        <v>20170111</v>
      </c>
      <c r="I474" t="s">
        <v>33</v>
      </c>
      <c r="L474" t="s">
        <v>34</v>
      </c>
      <c r="M474" t="s">
        <v>34</v>
      </c>
      <c r="N474" t="s">
        <v>35</v>
      </c>
      <c r="O474" t="s">
        <v>35</v>
      </c>
      <c r="P474" t="s">
        <v>35</v>
      </c>
      <c r="Q474" t="s">
        <v>35</v>
      </c>
      <c r="R474" t="s">
        <v>35</v>
      </c>
      <c r="S474" t="s">
        <v>34</v>
      </c>
      <c r="AD474">
        <v>20170124</v>
      </c>
      <c r="AF474" t="str">
        <f>IFERROR(VLOOKUP(RIGHT(TblFeedFile1[[#This Row],[Leave Type ]],6),LkupPayType[],2,FALSE),"TBD")</f>
        <v>TBD</v>
      </c>
      <c r="AG474" t="str">
        <f>IFERROR(VLOOKUP(TblFeedFile1[[#This Row],[ Report Number ]],LkupPayrollCycle[],2,FALSE),"TBD")</f>
        <v>Bi-Weekly</v>
      </c>
      <c r="AH474" t="str">
        <f>IF(TblFeedFile1[[#This Row],[Return to Work Date ]]="","","Y")</f>
        <v/>
      </c>
    </row>
    <row r="475" spans="1:34" x14ac:dyDescent="0.25">
      <c r="A475" t="s">
        <v>29</v>
      </c>
      <c r="B475">
        <v>314304</v>
      </c>
      <c r="C475">
        <v>22791459</v>
      </c>
      <c r="D475" s="1">
        <v>511701048051</v>
      </c>
      <c r="E475" t="s">
        <v>692</v>
      </c>
      <c r="F475" t="s">
        <v>693</v>
      </c>
      <c r="G475">
        <v>20170111</v>
      </c>
      <c r="H475">
        <v>20170203</v>
      </c>
      <c r="I475" t="s">
        <v>40</v>
      </c>
      <c r="L475" t="s">
        <v>34</v>
      </c>
      <c r="M475" t="s">
        <v>34</v>
      </c>
      <c r="N475" t="s">
        <v>35</v>
      </c>
      <c r="O475" t="s">
        <v>35</v>
      </c>
      <c r="P475" t="s">
        <v>35</v>
      </c>
      <c r="Q475" t="s">
        <v>35</v>
      </c>
      <c r="R475" t="s">
        <v>35</v>
      </c>
      <c r="S475" t="s">
        <v>34</v>
      </c>
      <c r="AD475">
        <v>20170124</v>
      </c>
      <c r="AF475" t="str">
        <f>IFERROR(VLOOKUP(RIGHT(TblFeedFile1[[#This Row],[Leave Type ]],6),LkupPayType[],2,FALSE),"TBD")</f>
        <v>TBD</v>
      </c>
      <c r="AG475" t="str">
        <f>IFERROR(VLOOKUP(TblFeedFile1[[#This Row],[ Report Number ]],LkupPayrollCycle[],2,FALSE),"TBD")</f>
        <v>Bi-Weekly</v>
      </c>
      <c r="AH475" t="str">
        <f>IF(TblFeedFile1[[#This Row],[Return to Work Date ]]="","","Y")</f>
        <v/>
      </c>
    </row>
    <row r="476" spans="1:34" x14ac:dyDescent="0.25">
      <c r="A476" t="s">
        <v>37</v>
      </c>
      <c r="B476">
        <v>314304</v>
      </c>
      <c r="C476">
        <v>22791459</v>
      </c>
      <c r="D476" s="1">
        <v>511701048051</v>
      </c>
      <c r="E476" t="s">
        <v>692</v>
      </c>
      <c r="F476" t="s">
        <v>693</v>
      </c>
      <c r="G476">
        <v>20170111</v>
      </c>
      <c r="H476">
        <v>20170120</v>
      </c>
      <c r="I476" t="s">
        <v>40</v>
      </c>
      <c r="L476" t="s">
        <v>34</v>
      </c>
      <c r="M476" t="s">
        <v>34</v>
      </c>
      <c r="N476" t="s">
        <v>35</v>
      </c>
      <c r="O476" t="s">
        <v>35</v>
      </c>
      <c r="P476" t="s">
        <v>35</v>
      </c>
      <c r="Q476" t="s">
        <v>35</v>
      </c>
      <c r="R476" t="s">
        <v>35</v>
      </c>
      <c r="S476" t="s">
        <v>34</v>
      </c>
      <c r="T476">
        <v>20170123</v>
      </c>
      <c r="AD476">
        <v>20170124</v>
      </c>
      <c r="AF476" t="str">
        <f>IFERROR(VLOOKUP(RIGHT(TblFeedFile1[[#This Row],[Leave Type ]],6),LkupPayType[],2,FALSE),"TBD")</f>
        <v>TBD</v>
      </c>
      <c r="AG476" t="str">
        <f>IFERROR(VLOOKUP(TblFeedFile1[[#This Row],[ Report Number ]],LkupPayrollCycle[],2,FALSE),"TBD")</f>
        <v>Bi-Weekly</v>
      </c>
      <c r="AH476" t="str">
        <f>IF(TblFeedFile1[[#This Row],[Return to Work Date ]]="","","Y")</f>
        <v>Y</v>
      </c>
    </row>
    <row r="477" spans="1:34" x14ac:dyDescent="0.25">
      <c r="A477" t="s">
        <v>29</v>
      </c>
      <c r="B477">
        <v>314301</v>
      </c>
      <c r="C477">
        <v>22792278</v>
      </c>
      <c r="D477" s="1" t="s">
        <v>694</v>
      </c>
      <c r="E477" t="s">
        <v>230</v>
      </c>
      <c r="F477" t="s">
        <v>695</v>
      </c>
      <c r="G477">
        <v>20161210</v>
      </c>
      <c r="H477">
        <v>20170127</v>
      </c>
      <c r="I477" t="s">
        <v>36</v>
      </c>
      <c r="L477" t="s">
        <v>34</v>
      </c>
      <c r="M477" t="s">
        <v>34</v>
      </c>
      <c r="N477" t="s">
        <v>35</v>
      </c>
      <c r="O477" t="s">
        <v>35</v>
      </c>
      <c r="P477" t="s">
        <v>35</v>
      </c>
      <c r="Q477" t="s">
        <v>35</v>
      </c>
      <c r="R477" t="s">
        <v>35</v>
      </c>
      <c r="S477" t="s">
        <v>34</v>
      </c>
      <c r="AC477" t="s">
        <v>35</v>
      </c>
      <c r="AD477">
        <v>20170124</v>
      </c>
      <c r="AF477" t="str">
        <f>IFERROR(VLOOKUP(RIGHT(TblFeedFile1[[#This Row],[Leave Type ]],6),LkupPayType[],2,FALSE),"TBD")</f>
        <v>TBD</v>
      </c>
      <c r="AG477" t="str">
        <f>IFERROR(VLOOKUP(TblFeedFile1[[#This Row],[ Report Number ]],LkupPayrollCycle[],2,FALSE),"TBD")</f>
        <v>Semi-Monthly</v>
      </c>
      <c r="AH477" t="str">
        <f>IF(TblFeedFile1[[#This Row],[Return to Work Date ]]="","","Y")</f>
        <v/>
      </c>
    </row>
    <row r="478" spans="1:34" x14ac:dyDescent="0.25">
      <c r="A478" t="s">
        <v>37</v>
      </c>
      <c r="B478">
        <v>314307</v>
      </c>
      <c r="C478">
        <v>22792278</v>
      </c>
      <c r="D478" s="1" t="s">
        <v>694</v>
      </c>
      <c r="E478" t="s">
        <v>230</v>
      </c>
      <c r="F478" t="s">
        <v>695</v>
      </c>
      <c r="G478">
        <v>20161114</v>
      </c>
      <c r="H478">
        <v>20161114</v>
      </c>
      <c r="I478" t="s">
        <v>43</v>
      </c>
      <c r="L478" t="s">
        <v>34</v>
      </c>
      <c r="M478" t="s">
        <v>34</v>
      </c>
      <c r="N478" t="s">
        <v>35</v>
      </c>
      <c r="O478" t="s">
        <v>35</v>
      </c>
      <c r="P478" t="s">
        <v>35</v>
      </c>
      <c r="Q478" t="s">
        <v>35</v>
      </c>
      <c r="R478" t="s">
        <v>35</v>
      </c>
      <c r="S478" t="s">
        <v>34</v>
      </c>
      <c r="AC478" t="s">
        <v>35</v>
      </c>
      <c r="AD478">
        <v>20170124</v>
      </c>
      <c r="AF478" t="str">
        <f>IFERROR(VLOOKUP(RIGHT(TblFeedFile1[[#This Row],[Leave Type ]],6),LkupPayType[],2,FALSE),"TBD")</f>
        <v>TBD</v>
      </c>
      <c r="AG478" t="str">
        <f>IFERROR(VLOOKUP(TblFeedFile1[[#This Row],[ Report Number ]],LkupPayrollCycle[],2,FALSE),"TBD")</f>
        <v>Semi-Monthly</v>
      </c>
      <c r="AH478" t="str">
        <f>IF(TblFeedFile1[[#This Row],[Return to Work Date ]]="","","Y")</f>
        <v/>
      </c>
    </row>
    <row r="479" spans="1:34" x14ac:dyDescent="0.25">
      <c r="A479" t="s">
        <v>37</v>
      </c>
      <c r="B479">
        <v>314304</v>
      </c>
      <c r="C479">
        <v>22800177</v>
      </c>
      <c r="D479" s="1" t="s">
        <v>696</v>
      </c>
      <c r="E479" t="s">
        <v>697</v>
      </c>
      <c r="F479" t="s">
        <v>363</v>
      </c>
      <c r="G479">
        <v>20170122</v>
      </c>
      <c r="H479">
        <v>20200122</v>
      </c>
      <c r="I479" t="s">
        <v>201</v>
      </c>
      <c r="L479" t="s">
        <v>34</v>
      </c>
      <c r="M479" t="s">
        <v>34</v>
      </c>
      <c r="N479" t="s">
        <v>35</v>
      </c>
      <c r="O479" t="s">
        <v>35</v>
      </c>
      <c r="P479" t="s">
        <v>35</v>
      </c>
      <c r="Q479" t="s">
        <v>35</v>
      </c>
      <c r="R479" t="s">
        <v>35</v>
      </c>
      <c r="S479" t="s">
        <v>34</v>
      </c>
      <c r="AC479" t="s">
        <v>35</v>
      </c>
      <c r="AD479">
        <v>20170124</v>
      </c>
      <c r="AF479" t="str">
        <f>IFERROR(VLOOKUP(RIGHT(TblFeedFile1[[#This Row],[Leave Type ]],6),LkupPayType[],2,FALSE),"TBD")</f>
        <v>TBD</v>
      </c>
      <c r="AG479" t="str">
        <f>IFERROR(VLOOKUP(TblFeedFile1[[#This Row],[ Report Number ]],LkupPayrollCycle[],2,FALSE),"TBD")</f>
        <v>Bi-Weekly</v>
      </c>
      <c r="AH479" t="str">
        <f>IF(TblFeedFile1[[#This Row],[Return to Work Date ]]="","","Y")</f>
        <v/>
      </c>
    </row>
    <row r="480" spans="1:34" x14ac:dyDescent="0.25">
      <c r="A480" t="s">
        <v>29</v>
      </c>
      <c r="B480">
        <v>314304</v>
      </c>
      <c r="C480">
        <v>22806951</v>
      </c>
      <c r="D480" s="1">
        <v>511612198101</v>
      </c>
      <c r="E480" t="s">
        <v>351</v>
      </c>
      <c r="F480" t="s">
        <v>698</v>
      </c>
      <c r="G480">
        <v>20170116</v>
      </c>
      <c r="H480">
        <v>20170507</v>
      </c>
      <c r="I480" t="s">
        <v>40</v>
      </c>
      <c r="L480" t="s">
        <v>34</v>
      </c>
      <c r="M480" t="s">
        <v>34</v>
      </c>
      <c r="N480" t="s">
        <v>35</v>
      </c>
      <c r="O480" t="s">
        <v>35</v>
      </c>
      <c r="P480" t="s">
        <v>35</v>
      </c>
      <c r="Q480" t="s">
        <v>35</v>
      </c>
      <c r="R480" t="s">
        <v>35</v>
      </c>
      <c r="S480" t="s">
        <v>34</v>
      </c>
      <c r="AD480">
        <v>20170124</v>
      </c>
      <c r="AF480" t="str">
        <f>IFERROR(VLOOKUP(RIGHT(TblFeedFile1[[#This Row],[Leave Type ]],6),LkupPayType[],2,FALSE),"TBD")</f>
        <v>TBD</v>
      </c>
      <c r="AG480" t="str">
        <f>IFERROR(VLOOKUP(TblFeedFile1[[#This Row],[ Report Number ]],LkupPayrollCycle[],2,FALSE),"TBD")</f>
        <v>Bi-Weekly</v>
      </c>
      <c r="AH480" t="str">
        <f>IF(TblFeedFile1[[#This Row],[Return to Work Date ]]="","","Y")</f>
        <v/>
      </c>
    </row>
    <row r="481" spans="1:34" x14ac:dyDescent="0.25">
      <c r="A481" t="s">
        <v>29</v>
      </c>
      <c r="B481">
        <v>314304</v>
      </c>
      <c r="C481">
        <v>22806951</v>
      </c>
      <c r="D481" s="1" t="s">
        <v>699</v>
      </c>
      <c r="E481" t="s">
        <v>351</v>
      </c>
      <c r="F481" t="s">
        <v>698</v>
      </c>
      <c r="G481">
        <v>20170109</v>
      </c>
      <c r="H481">
        <v>20170507</v>
      </c>
      <c r="I481" t="s">
        <v>78</v>
      </c>
      <c r="K481" t="s">
        <v>79</v>
      </c>
      <c r="L481" t="s">
        <v>34</v>
      </c>
      <c r="M481" t="s">
        <v>34</v>
      </c>
      <c r="N481" t="s">
        <v>35</v>
      </c>
      <c r="O481" t="s">
        <v>35</v>
      </c>
      <c r="P481" t="s">
        <v>35</v>
      </c>
      <c r="Q481" t="s">
        <v>35</v>
      </c>
      <c r="R481" t="s">
        <v>35</v>
      </c>
      <c r="S481" t="s">
        <v>34</v>
      </c>
      <c r="AD481">
        <v>20170124</v>
      </c>
      <c r="AF481" t="str">
        <f>IFERROR(VLOOKUP(RIGHT(TblFeedFile1[[#This Row],[Leave Type ]],6),LkupPayType[],2,FALSE),"TBD")</f>
        <v>TBD</v>
      </c>
      <c r="AG481" t="str">
        <f>IFERROR(VLOOKUP(TblFeedFile1[[#This Row],[ Report Number ]],LkupPayrollCycle[],2,FALSE),"TBD")</f>
        <v>Bi-Weekly</v>
      </c>
      <c r="AH481" t="str">
        <f>IF(TblFeedFile1[[#This Row],[Return to Work Date ]]="","","Y")</f>
        <v/>
      </c>
    </row>
    <row r="482" spans="1:34" x14ac:dyDescent="0.25">
      <c r="A482" t="s">
        <v>29</v>
      </c>
      <c r="B482">
        <v>314304</v>
      </c>
      <c r="C482">
        <v>22806951</v>
      </c>
      <c r="D482" s="1">
        <v>511612198101</v>
      </c>
      <c r="E482" t="s">
        <v>351</v>
      </c>
      <c r="F482" t="s">
        <v>698</v>
      </c>
      <c r="G482">
        <v>20170109</v>
      </c>
      <c r="H482">
        <v>20170507</v>
      </c>
      <c r="I482" t="s">
        <v>53</v>
      </c>
      <c r="L482" t="s">
        <v>34</v>
      </c>
      <c r="M482" t="s">
        <v>34</v>
      </c>
      <c r="N482" t="s">
        <v>35</v>
      </c>
      <c r="O482" t="s">
        <v>35</v>
      </c>
      <c r="P482" t="s">
        <v>35</v>
      </c>
      <c r="Q482" t="s">
        <v>35</v>
      </c>
      <c r="R482" t="s">
        <v>35</v>
      </c>
      <c r="S482" t="s">
        <v>34</v>
      </c>
      <c r="AD482">
        <v>20170124</v>
      </c>
      <c r="AF482" t="str">
        <f>IFERROR(VLOOKUP(RIGHT(TblFeedFile1[[#This Row],[Leave Type ]],6),LkupPayType[],2,FALSE),"TBD")</f>
        <v>TBD</v>
      </c>
      <c r="AG482" t="str">
        <f>IFERROR(VLOOKUP(TblFeedFile1[[#This Row],[ Report Number ]],LkupPayrollCycle[],2,FALSE),"TBD")</f>
        <v>Bi-Weekly</v>
      </c>
      <c r="AH482" t="str">
        <f>IF(TblFeedFile1[[#This Row],[Return to Work Date ]]="","","Y")</f>
        <v/>
      </c>
    </row>
    <row r="483" spans="1:34" x14ac:dyDescent="0.25">
      <c r="A483" t="s">
        <v>37</v>
      </c>
      <c r="B483">
        <v>314304</v>
      </c>
      <c r="C483">
        <v>22806951</v>
      </c>
      <c r="D483" s="1" t="s">
        <v>699</v>
      </c>
      <c r="E483" t="s">
        <v>351</v>
      </c>
      <c r="F483" t="s">
        <v>698</v>
      </c>
      <c r="G483">
        <v>20170109</v>
      </c>
      <c r="H483">
        <v>20170220</v>
      </c>
      <c r="I483" t="s">
        <v>156</v>
      </c>
      <c r="L483" t="s">
        <v>34</v>
      </c>
      <c r="M483" t="s">
        <v>34</v>
      </c>
      <c r="N483" t="s">
        <v>35</v>
      </c>
      <c r="O483" t="s">
        <v>35</v>
      </c>
      <c r="P483" t="s">
        <v>35</v>
      </c>
      <c r="Q483" t="s">
        <v>35</v>
      </c>
      <c r="R483" t="s">
        <v>35</v>
      </c>
      <c r="S483" t="s">
        <v>34</v>
      </c>
      <c r="AD483">
        <v>20170124</v>
      </c>
      <c r="AF483" t="str">
        <f>IFERROR(VLOOKUP(RIGHT(TblFeedFile1[[#This Row],[Leave Type ]],6),LkupPayType[],2,FALSE),"TBD")</f>
        <v>TBD</v>
      </c>
      <c r="AG483" t="str">
        <f>IFERROR(VLOOKUP(TblFeedFile1[[#This Row],[ Report Number ]],LkupPayrollCycle[],2,FALSE),"TBD")</f>
        <v>Bi-Weekly</v>
      </c>
      <c r="AH483" t="str">
        <f>IF(TblFeedFile1[[#This Row],[Return to Work Date ]]="","","Y")</f>
        <v/>
      </c>
    </row>
    <row r="484" spans="1:34" x14ac:dyDescent="0.25">
      <c r="A484" t="s">
        <v>37</v>
      </c>
      <c r="B484">
        <v>314304</v>
      </c>
      <c r="C484">
        <v>22806951</v>
      </c>
      <c r="D484" s="1">
        <v>511612198101</v>
      </c>
      <c r="E484" t="s">
        <v>351</v>
      </c>
      <c r="F484" t="s">
        <v>698</v>
      </c>
      <c r="G484">
        <v>20170109</v>
      </c>
      <c r="H484">
        <v>20170220</v>
      </c>
      <c r="I484" t="s">
        <v>53</v>
      </c>
      <c r="L484" t="s">
        <v>34</v>
      </c>
      <c r="M484" t="s">
        <v>34</v>
      </c>
      <c r="N484" t="s">
        <v>35</v>
      </c>
      <c r="O484" t="s">
        <v>35</v>
      </c>
      <c r="P484" t="s">
        <v>35</v>
      </c>
      <c r="Q484" t="s">
        <v>35</v>
      </c>
      <c r="R484" t="s">
        <v>35</v>
      </c>
      <c r="S484" t="s">
        <v>34</v>
      </c>
      <c r="AD484">
        <v>20170124</v>
      </c>
      <c r="AF484" t="str">
        <f>IFERROR(VLOOKUP(RIGHT(TblFeedFile1[[#This Row],[Leave Type ]],6),LkupPayType[],2,FALSE),"TBD")</f>
        <v>TBD</v>
      </c>
      <c r="AG484" t="str">
        <f>IFERROR(VLOOKUP(TblFeedFile1[[#This Row],[ Report Number ]],LkupPayrollCycle[],2,FALSE),"TBD")</f>
        <v>Bi-Weekly</v>
      </c>
      <c r="AH484" t="str">
        <f>IF(TblFeedFile1[[#This Row],[Return to Work Date ]]="","","Y")</f>
        <v/>
      </c>
    </row>
    <row r="485" spans="1:34" x14ac:dyDescent="0.25">
      <c r="A485" t="s">
        <v>37</v>
      </c>
      <c r="B485">
        <v>314304</v>
      </c>
      <c r="C485">
        <v>22806951</v>
      </c>
      <c r="D485" s="1">
        <v>511612198101</v>
      </c>
      <c r="E485" t="s">
        <v>351</v>
      </c>
      <c r="F485" t="s">
        <v>698</v>
      </c>
      <c r="G485">
        <v>20170110</v>
      </c>
      <c r="H485">
        <v>20170220</v>
      </c>
      <c r="I485" t="s">
        <v>155</v>
      </c>
      <c r="L485" t="s">
        <v>34</v>
      </c>
      <c r="M485" t="s">
        <v>34</v>
      </c>
      <c r="N485" t="s">
        <v>35</v>
      </c>
      <c r="O485" t="s">
        <v>35</v>
      </c>
      <c r="P485" t="s">
        <v>35</v>
      </c>
      <c r="Q485" t="s">
        <v>35</v>
      </c>
      <c r="R485" t="s">
        <v>35</v>
      </c>
      <c r="S485" t="s">
        <v>34</v>
      </c>
      <c r="AD485">
        <v>20170124</v>
      </c>
      <c r="AF485" t="str">
        <f>IFERROR(VLOOKUP(RIGHT(TblFeedFile1[[#This Row],[Leave Type ]],6),LkupPayType[],2,FALSE),"TBD")</f>
        <v>TBD</v>
      </c>
      <c r="AG485" t="str">
        <f>IFERROR(VLOOKUP(TblFeedFile1[[#This Row],[ Report Number ]],LkupPayrollCycle[],2,FALSE),"TBD")</f>
        <v>Bi-Weekly</v>
      </c>
      <c r="AH485" t="str">
        <f>IF(TblFeedFile1[[#This Row],[Return to Work Date ]]="","","Y")</f>
        <v/>
      </c>
    </row>
    <row r="486" spans="1:34" x14ac:dyDescent="0.25">
      <c r="A486" t="s">
        <v>37</v>
      </c>
      <c r="B486">
        <v>314304</v>
      </c>
      <c r="C486">
        <v>22806951</v>
      </c>
      <c r="D486" s="1">
        <v>511612198101</v>
      </c>
      <c r="E486" t="s">
        <v>351</v>
      </c>
      <c r="F486" t="s">
        <v>698</v>
      </c>
      <c r="G486">
        <v>20170116</v>
      </c>
      <c r="H486">
        <v>20170220</v>
      </c>
      <c r="I486" t="s">
        <v>459</v>
      </c>
      <c r="L486" t="s">
        <v>34</v>
      </c>
      <c r="M486" t="s">
        <v>34</v>
      </c>
      <c r="N486" t="s">
        <v>35</v>
      </c>
      <c r="O486" t="s">
        <v>35</v>
      </c>
      <c r="P486" t="s">
        <v>35</v>
      </c>
      <c r="Q486" t="s">
        <v>35</v>
      </c>
      <c r="R486" t="s">
        <v>35</v>
      </c>
      <c r="S486" t="s">
        <v>34</v>
      </c>
      <c r="AD486">
        <v>20170124</v>
      </c>
      <c r="AF486" t="str">
        <f>IFERROR(VLOOKUP(RIGHT(TblFeedFile1[[#This Row],[Leave Type ]],6),LkupPayType[],2,FALSE),"TBD")</f>
        <v>TBD</v>
      </c>
      <c r="AG486" t="str">
        <f>IFERROR(VLOOKUP(TblFeedFile1[[#This Row],[ Report Number ]],LkupPayrollCycle[],2,FALSE),"TBD")</f>
        <v>Bi-Weekly</v>
      </c>
      <c r="AH486" t="str">
        <f>IF(TblFeedFile1[[#This Row],[Return to Work Date ]]="","","Y")</f>
        <v/>
      </c>
    </row>
    <row r="487" spans="1:34" x14ac:dyDescent="0.25">
      <c r="A487" t="s">
        <v>29</v>
      </c>
      <c r="B487">
        <v>314305</v>
      </c>
      <c r="C487">
        <v>22841287</v>
      </c>
      <c r="D487" s="1" t="s">
        <v>700</v>
      </c>
      <c r="E487" t="s">
        <v>701</v>
      </c>
      <c r="F487" t="s">
        <v>702</v>
      </c>
      <c r="G487">
        <v>20170111</v>
      </c>
      <c r="H487">
        <v>20170111</v>
      </c>
      <c r="I487" t="s">
        <v>33</v>
      </c>
      <c r="L487" t="s">
        <v>34</v>
      </c>
      <c r="M487" t="s">
        <v>34</v>
      </c>
      <c r="N487" t="s">
        <v>35</v>
      </c>
      <c r="O487" t="s">
        <v>35</v>
      </c>
      <c r="P487" t="s">
        <v>35</v>
      </c>
      <c r="Q487" t="s">
        <v>35</v>
      </c>
      <c r="R487" t="s">
        <v>35</v>
      </c>
      <c r="S487" t="s">
        <v>34</v>
      </c>
      <c r="AC487" t="s">
        <v>35</v>
      </c>
      <c r="AD487">
        <v>20170124</v>
      </c>
      <c r="AF487" t="str">
        <f>IFERROR(VLOOKUP(RIGHT(TblFeedFile1[[#This Row],[Leave Type ]],6),LkupPayType[],2,FALSE),"TBD")</f>
        <v>TBD</v>
      </c>
      <c r="AG487" t="str">
        <f>IFERROR(VLOOKUP(TblFeedFile1[[#This Row],[ Report Number ]],LkupPayrollCycle[],2,FALSE),"TBD")</f>
        <v>Bi-Weekly</v>
      </c>
      <c r="AH487" t="str">
        <f>IF(TblFeedFile1[[#This Row],[Return to Work Date ]]="","","Y")</f>
        <v/>
      </c>
    </row>
    <row r="488" spans="1:34" x14ac:dyDescent="0.25">
      <c r="A488" t="s">
        <v>29</v>
      </c>
      <c r="B488">
        <v>314305</v>
      </c>
      <c r="C488">
        <v>22841287</v>
      </c>
      <c r="D488" s="1" t="s">
        <v>700</v>
      </c>
      <c r="E488" t="s">
        <v>701</v>
      </c>
      <c r="F488" t="s">
        <v>702</v>
      </c>
      <c r="G488">
        <v>20150411</v>
      </c>
      <c r="H488">
        <v>20170110</v>
      </c>
      <c r="I488" t="s">
        <v>36</v>
      </c>
      <c r="L488" t="s">
        <v>34</v>
      </c>
      <c r="M488" t="s">
        <v>34</v>
      </c>
      <c r="N488" t="s">
        <v>35</v>
      </c>
      <c r="O488" t="s">
        <v>35</v>
      </c>
      <c r="P488" t="s">
        <v>35</v>
      </c>
      <c r="Q488" t="s">
        <v>35</v>
      </c>
      <c r="R488" t="s">
        <v>35</v>
      </c>
      <c r="S488" t="s">
        <v>34</v>
      </c>
      <c r="AC488" t="s">
        <v>35</v>
      </c>
      <c r="AD488">
        <v>20170124</v>
      </c>
      <c r="AF488" t="str">
        <f>IFERROR(VLOOKUP(RIGHT(TblFeedFile1[[#This Row],[Leave Type ]],6),LkupPayType[],2,FALSE),"TBD")</f>
        <v>TBD</v>
      </c>
      <c r="AG488" t="str">
        <f>IFERROR(VLOOKUP(TblFeedFile1[[#This Row],[ Report Number ]],LkupPayrollCycle[],2,FALSE),"TBD")</f>
        <v>Bi-Weekly</v>
      </c>
      <c r="AH488" t="str">
        <f>IF(TblFeedFile1[[#This Row],[Return to Work Date ]]="","","Y")</f>
        <v/>
      </c>
    </row>
    <row r="489" spans="1:34" x14ac:dyDescent="0.25">
      <c r="A489" t="s">
        <v>37</v>
      </c>
      <c r="B489">
        <v>314305</v>
      </c>
      <c r="C489">
        <v>22841287</v>
      </c>
      <c r="D489" s="1" t="s">
        <v>700</v>
      </c>
      <c r="E489" t="s">
        <v>701</v>
      </c>
      <c r="F489" t="s">
        <v>702</v>
      </c>
      <c r="G489">
        <v>20150411</v>
      </c>
      <c r="H489">
        <v>20161228</v>
      </c>
      <c r="I489" t="s">
        <v>36</v>
      </c>
      <c r="L489" t="s">
        <v>34</v>
      </c>
      <c r="M489" t="s">
        <v>34</v>
      </c>
      <c r="N489" t="s">
        <v>35</v>
      </c>
      <c r="O489" t="s">
        <v>35</v>
      </c>
      <c r="P489" t="s">
        <v>35</v>
      </c>
      <c r="Q489" t="s">
        <v>35</v>
      </c>
      <c r="R489" t="s">
        <v>35</v>
      </c>
      <c r="S489" t="s">
        <v>34</v>
      </c>
      <c r="AC489" t="s">
        <v>35</v>
      </c>
      <c r="AD489">
        <v>20170124</v>
      </c>
      <c r="AF489" t="str">
        <f>IFERROR(VLOOKUP(RIGHT(TblFeedFile1[[#This Row],[Leave Type ]],6),LkupPayType[],2,FALSE),"TBD")</f>
        <v>TBD</v>
      </c>
      <c r="AG489" t="str">
        <f>IFERROR(VLOOKUP(TblFeedFile1[[#This Row],[ Report Number ]],LkupPayrollCycle[],2,FALSE),"TBD")</f>
        <v>Bi-Weekly</v>
      </c>
      <c r="AH489" t="str">
        <f>IF(TblFeedFile1[[#This Row],[Return to Work Date ]]="","","Y")</f>
        <v/>
      </c>
    </row>
    <row r="490" spans="1:34" x14ac:dyDescent="0.25">
      <c r="A490" t="s">
        <v>37</v>
      </c>
      <c r="B490">
        <v>314305</v>
      </c>
      <c r="C490">
        <v>22841287</v>
      </c>
      <c r="D490" s="1" t="s">
        <v>700</v>
      </c>
      <c r="E490" t="s">
        <v>701</v>
      </c>
      <c r="F490" t="s">
        <v>702</v>
      </c>
      <c r="G490">
        <v>20161229</v>
      </c>
      <c r="H490">
        <v>20161229</v>
      </c>
      <c r="I490" t="s">
        <v>33</v>
      </c>
      <c r="L490" t="s">
        <v>34</v>
      </c>
      <c r="M490" t="s">
        <v>34</v>
      </c>
      <c r="N490" t="s">
        <v>35</v>
      </c>
      <c r="O490" t="s">
        <v>35</v>
      </c>
      <c r="P490" t="s">
        <v>35</v>
      </c>
      <c r="Q490" t="s">
        <v>35</v>
      </c>
      <c r="R490" t="s">
        <v>35</v>
      </c>
      <c r="S490" t="s">
        <v>34</v>
      </c>
      <c r="AC490" t="s">
        <v>35</v>
      </c>
      <c r="AD490">
        <v>20170124</v>
      </c>
      <c r="AF490" t="str">
        <f>IFERROR(VLOOKUP(RIGHT(TblFeedFile1[[#This Row],[Leave Type ]],6),LkupPayType[],2,FALSE),"TBD")</f>
        <v>TBD</v>
      </c>
      <c r="AG490" t="str">
        <f>IFERROR(VLOOKUP(TblFeedFile1[[#This Row],[ Report Number ]],LkupPayrollCycle[],2,FALSE),"TBD")</f>
        <v>Bi-Weekly</v>
      </c>
      <c r="AH490" t="str">
        <f>IF(TblFeedFile1[[#This Row],[Return to Work Date ]]="","","Y")</f>
        <v/>
      </c>
    </row>
    <row r="491" spans="1:34" x14ac:dyDescent="0.25">
      <c r="A491" t="s">
        <v>37</v>
      </c>
      <c r="B491">
        <v>314305</v>
      </c>
      <c r="C491">
        <v>22858454</v>
      </c>
      <c r="D491" s="1" t="s">
        <v>703</v>
      </c>
      <c r="E491" t="s">
        <v>704</v>
      </c>
      <c r="F491" t="s">
        <v>705</v>
      </c>
      <c r="G491">
        <v>20170123</v>
      </c>
      <c r="H491">
        <v>20170211</v>
      </c>
      <c r="I491" t="s">
        <v>49</v>
      </c>
      <c r="L491" t="s">
        <v>35</v>
      </c>
      <c r="AD491">
        <v>20170124</v>
      </c>
      <c r="AF491" t="str">
        <f>IFERROR(VLOOKUP(RIGHT(TblFeedFile1[[#This Row],[Leave Type ]],6),LkupPayType[],2,FALSE),"TBD")</f>
        <v>TBD</v>
      </c>
      <c r="AG491" t="str">
        <f>IFERROR(VLOOKUP(TblFeedFile1[[#This Row],[ Report Number ]],LkupPayrollCycle[],2,FALSE),"TBD")</f>
        <v>Bi-Weekly</v>
      </c>
      <c r="AH491" t="str">
        <f>IF(TblFeedFile1[[#This Row],[Return to Work Date ]]="","","Y")</f>
        <v/>
      </c>
    </row>
    <row r="492" spans="1:34" x14ac:dyDescent="0.25">
      <c r="A492" t="s">
        <v>29</v>
      </c>
      <c r="B492">
        <v>314304</v>
      </c>
      <c r="C492">
        <v>22872021</v>
      </c>
      <c r="D492" s="1" t="s">
        <v>706</v>
      </c>
      <c r="E492" t="s">
        <v>707</v>
      </c>
      <c r="F492" t="s">
        <v>708</v>
      </c>
      <c r="G492">
        <v>20170110</v>
      </c>
      <c r="H492">
        <v>20170306</v>
      </c>
      <c r="I492" t="s">
        <v>78</v>
      </c>
      <c r="K492" t="s">
        <v>79</v>
      </c>
      <c r="L492" t="s">
        <v>34</v>
      </c>
      <c r="M492" t="s">
        <v>34</v>
      </c>
      <c r="N492" t="s">
        <v>35</v>
      </c>
      <c r="O492" t="s">
        <v>35</v>
      </c>
      <c r="P492" t="s">
        <v>35</v>
      </c>
      <c r="Q492" t="s">
        <v>35</v>
      </c>
      <c r="R492" t="s">
        <v>35</v>
      </c>
      <c r="S492" t="s">
        <v>34</v>
      </c>
      <c r="AD492">
        <v>20170124</v>
      </c>
      <c r="AF492" t="str">
        <f>IFERROR(VLOOKUP(RIGHT(TblFeedFile1[[#This Row],[Leave Type ]],6),LkupPayType[],2,FALSE),"TBD")</f>
        <v>TBD</v>
      </c>
      <c r="AG492" t="str">
        <f>IFERROR(VLOOKUP(TblFeedFile1[[#This Row],[ Report Number ]],LkupPayrollCycle[],2,FALSE),"TBD")</f>
        <v>Bi-Weekly</v>
      </c>
      <c r="AH492" t="str">
        <f>IF(TblFeedFile1[[#This Row],[Return to Work Date ]]="","","Y")</f>
        <v/>
      </c>
    </row>
    <row r="493" spans="1:34" x14ac:dyDescent="0.25">
      <c r="A493" t="s">
        <v>37</v>
      </c>
      <c r="B493">
        <v>314304</v>
      </c>
      <c r="C493">
        <v>22872021</v>
      </c>
      <c r="D493" s="1">
        <v>501701068458</v>
      </c>
      <c r="E493" t="s">
        <v>707</v>
      </c>
      <c r="F493" t="s">
        <v>708</v>
      </c>
      <c r="G493">
        <v>20170116</v>
      </c>
      <c r="H493">
        <v>20170306</v>
      </c>
      <c r="I493" t="s">
        <v>40</v>
      </c>
      <c r="L493" t="s">
        <v>34</v>
      </c>
      <c r="M493" t="s">
        <v>34</v>
      </c>
      <c r="N493" t="s">
        <v>35</v>
      </c>
      <c r="O493" t="s">
        <v>35</v>
      </c>
      <c r="P493" t="s">
        <v>35</v>
      </c>
      <c r="Q493" t="s">
        <v>35</v>
      </c>
      <c r="R493" t="s">
        <v>35</v>
      </c>
      <c r="S493" t="s">
        <v>34</v>
      </c>
      <c r="AD493">
        <v>20170124</v>
      </c>
      <c r="AF493" t="str">
        <f>IFERROR(VLOOKUP(RIGHT(TblFeedFile1[[#This Row],[Leave Type ]],6),LkupPayType[],2,FALSE),"TBD")</f>
        <v>TBD</v>
      </c>
      <c r="AG493" t="str">
        <f>IFERROR(VLOOKUP(TblFeedFile1[[#This Row],[ Report Number ]],LkupPayrollCycle[],2,FALSE),"TBD")</f>
        <v>Bi-Weekly</v>
      </c>
      <c r="AH493" t="str">
        <f>IF(TblFeedFile1[[#This Row],[Return to Work Date ]]="","","Y")</f>
        <v/>
      </c>
    </row>
    <row r="494" spans="1:34" x14ac:dyDescent="0.25">
      <c r="A494" t="s">
        <v>29</v>
      </c>
      <c r="B494">
        <v>314304</v>
      </c>
      <c r="C494">
        <v>22877616</v>
      </c>
      <c r="D494" s="1" t="s">
        <v>709</v>
      </c>
      <c r="E494" t="s">
        <v>710</v>
      </c>
      <c r="F494" t="s">
        <v>263</v>
      </c>
      <c r="G494">
        <v>20160711</v>
      </c>
      <c r="H494">
        <v>20160711</v>
      </c>
      <c r="I494" t="s">
        <v>43</v>
      </c>
      <c r="L494" t="s">
        <v>34</v>
      </c>
      <c r="M494" t="s">
        <v>34</v>
      </c>
      <c r="N494" t="s">
        <v>35</v>
      </c>
      <c r="O494" t="s">
        <v>35</v>
      </c>
      <c r="P494" t="s">
        <v>35</v>
      </c>
      <c r="Q494" t="s">
        <v>35</v>
      </c>
      <c r="R494" t="s">
        <v>35</v>
      </c>
      <c r="S494" t="s">
        <v>34</v>
      </c>
      <c r="AC494" t="s">
        <v>35</v>
      </c>
      <c r="AD494">
        <v>20170124</v>
      </c>
      <c r="AF494" t="str">
        <f>IFERROR(VLOOKUP(RIGHT(TblFeedFile1[[#This Row],[Leave Type ]],6),LkupPayType[],2,FALSE),"TBD")</f>
        <v>TBD</v>
      </c>
      <c r="AG494" t="str">
        <f>IFERROR(VLOOKUP(TblFeedFile1[[#This Row],[ Report Number ]],LkupPayrollCycle[],2,FALSE),"TBD")</f>
        <v>Bi-Weekly</v>
      </c>
      <c r="AH494" t="str">
        <f>IF(TblFeedFile1[[#This Row],[Return to Work Date ]]="","","Y")</f>
        <v/>
      </c>
    </row>
    <row r="495" spans="1:34" x14ac:dyDescent="0.25">
      <c r="A495" t="s">
        <v>37</v>
      </c>
      <c r="B495">
        <v>314304</v>
      </c>
      <c r="C495">
        <v>22895025</v>
      </c>
      <c r="D495" s="1">
        <v>531701238083</v>
      </c>
      <c r="E495" t="s">
        <v>711</v>
      </c>
      <c r="F495" t="s">
        <v>712</v>
      </c>
      <c r="G495">
        <v>20170123</v>
      </c>
      <c r="H495">
        <v>20170303</v>
      </c>
      <c r="I495" t="s">
        <v>53</v>
      </c>
      <c r="L495" t="s">
        <v>34</v>
      </c>
      <c r="M495" t="s">
        <v>34</v>
      </c>
      <c r="N495" t="s">
        <v>35</v>
      </c>
      <c r="O495" t="s">
        <v>35</v>
      </c>
      <c r="P495" t="s">
        <v>35</v>
      </c>
      <c r="Q495" t="s">
        <v>35</v>
      </c>
      <c r="R495" t="s">
        <v>35</v>
      </c>
      <c r="S495" t="s">
        <v>34</v>
      </c>
      <c r="AD495">
        <v>20170124</v>
      </c>
      <c r="AF495" t="str">
        <f>IFERROR(VLOOKUP(RIGHT(TblFeedFile1[[#This Row],[Leave Type ]],6),LkupPayType[],2,FALSE),"TBD")</f>
        <v>TBD</v>
      </c>
      <c r="AG495" t="str">
        <f>IFERROR(VLOOKUP(TblFeedFile1[[#This Row],[ Report Number ]],LkupPayrollCycle[],2,FALSE),"TBD")</f>
        <v>Bi-Weekly</v>
      </c>
      <c r="AH495" t="str">
        <f>IF(TblFeedFile1[[#This Row],[Return to Work Date ]]="","","Y")</f>
        <v/>
      </c>
    </row>
    <row r="496" spans="1:34" x14ac:dyDescent="0.25">
      <c r="A496" t="s">
        <v>37</v>
      </c>
      <c r="B496">
        <v>314304</v>
      </c>
      <c r="C496">
        <v>22917260</v>
      </c>
      <c r="D496" s="1" t="s">
        <v>713</v>
      </c>
      <c r="E496" t="s">
        <v>714</v>
      </c>
      <c r="F496" t="s">
        <v>715</v>
      </c>
      <c r="G496">
        <v>20170123</v>
      </c>
      <c r="H496">
        <v>20170123</v>
      </c>
      <c r="I496" t="s">
        <v>33</v>
      </c>
      <c r="L496" t="s">
        <v>34</v>
      </c>
      <c r="M496" t="s">
        <v>34</v>
      </c>
      <c r="N496" t="s">
        <v>35</v>
      </c>
      <c r="O496" t="s">
        <v>35</v>
      </c>
      <c r="P496" t="s">
        <v>35</v>
      </c>
      <c r="Q496" t="s">
        <v>35</v>
      </c>
      <c r="R496" t="s">
        <v>35</v>
      </c>
      <c r="S496" t="s">
        <v>34</v>
      </c>
      <c r="AC496" t="s">
        <v>35</v>
      </c>
      <c r="AD496">
        <v>20170124</v>
      </c>
      <c r="AF496" t="str">
        <f>IFERROR(VLOOKUP(RIGHT(TblFeedFile1[[#This Row],[Leave Type ]],6),LkupPayType[],2,FALSE),"TBD")</f>
        <v>TBD</v>
      </c>
      <c r="AG496" t="str">
        <f>IFERROR(VLOOKUP(TblFeedFile1[[#This Row],[ Report Number ]],LkupPayrollCycle[],2,FALSE),"TBD")</f>
        <v>Bi-Weekly</v>
      </c>
      <c r="AH496" t="str">
        <f>IF(TblFeedFile1[[#This Row],[Return to Work Date ]]="","","Y")</f>
        <v/>
      </c>
    </row>
    <row r="497" spans="1:34" x14ac:dyDescent="0.25">
      <c r="A497" t="s">
        <v>29</v>
      </c>
      <c r="B497">
        <v>314304</v>
      </c>
      <c r="C497">
        <v>22934235</v>
      </c>
      <c r="D497" s="1" t="s">
        <v>716</v>
      </c>
      <c r="E497" t="s">
        <v>717</v>
      </c>
      <c r="F497" t="s">
        <v>718</v>
      </c>
      <c r="G497">
        <v>20170109</v>
      </c>
      <c r="H497">
        <v>20170109</v>
      </c>
      <c r="I497" t="s">
        <v>33</v>
      </c>
      <c r="L497" t="s">
        <v>35</v>
      </c>
      <c r="AD497">
        <v>20170124</v>
      </c>
      <c r="AF497" t="str">
        <f>IFERROR(VLOOKUP(RIGHT(TblFeedFile1[[#This Row],[Leave Type ]],6),LkupPayType[],2,FALSE),"TBD")</f>
        <v>TBD</v>
      </c>
      <c r="AG497" t="str">
        <f>IFERROR(VLOOKUP(TblFeedFile1[[#This Row],[ Report Number ]],LkupPayrollCycle[],2,FALSE),"TBD")</f>
        <v>Bi-Weekly</v>
      </c>
      <c r="AH497" t="str">
        <f>IF(TblFeedFile1[[#This Row],[Return to Work Date ]]="","","Y")</f>
        <v/>
      </c>
    </row>
    <row r="498" spans="1:34" x14ac:dyDescent="0.25">
      <c r="A498" t="s">
        <v>29</v>
      </c>
      <c r="B498">
        <v>314304</v>
      </c>
      <c r="C498">
        <v>22934235</v>
      </c>
      <c r="D498" s="1" t="s">
        <v>716</v>
      </c>
      <c r="E498" t="s">
        <v>717</v>
      </c>
      <c r="F498" t="s">
        <v>718</v>
      </c>
      <c r="G498">
        <v>20170103</v>
      </c>
      <c r="H498">
        <v>20170108</v>
      </c>
      <c r="I498" t="s">
        <v>78</v>
      </c>
      <c r="K498" t="s">
        <v>79</v>
      </c>
      <c r="L498" t="s">
        <v>35</v>
      </c>
      <c r="AD498">
        <v>20170124</v>
      </c>
      <c r="AF498" t="str">
        <f>IFERROR(VLOOKUP(RIGHT(TblFeedFile1[[#This Row],[Leave Type ]],6),LkupPayType[],2,FALSE),"TBD")</f>
        <v>TBD</v>
      </c>
      <c r="AG498" t="str">
        <f>IFERROR(VLOOKUP(TblFeedFile1[[#This Row],[ Report Number ]],LkupPayrollCycle[],2,FALSE),"TBD")</f>
        <v>Bi-Weekly</v>
      </c>
      <c r="AH498" t="str">
        <f>IF(TblFeedFile1[[#This Row],[Return to Work Date ]]="","","Y")</f>
        <v/>
      </c>
    </row>
    <row r="499" spans="1:34" x14ac:dyDescent="0.25">
      <c r="A499" t="s">
        <v>37</v>
      </c>
      <c r="B499">
        <v>314304</v>
      </c>
      <c r="C499">
        <v>22934235</v>
      </c>
      <c r="D499" s="1" t="s">
        <v>716</v>
      </c>
      <c r="E499" t="s">
        <v>717</v>
      </c>
      <c r="F499" t="s">
        <v>718</v>
      </c>
      <c r="G499">
        <v>20170122</v>
      </c>
      <c r="H499">
        <v>20170122</v>
      </c>
      <c r="I499" t="s">
        <v>36</v>
      </c>
      <c r="L499" t="s">
        <v>35</v>
      </c>
      <c r="T499">
        <v>20170123</v>
      </c>
      <c r="AD499">
        <v>20170124</v>
      </c>
      <c r="AF499" t="str">
        <f>IFERROR(VLOOKUP(RIGHT(TblFeedFile1[[#This Row],[Leave Type ]],6),LkupPayType[],2,FALSE),"TBD")</f>
        <v>TBD</v>
      </c>
      <c r="AG499" t="str">
        <f>IFERROR(VLOOKUP(TblFeedFile1[[#This Row],[ Report Number ]],LkupPayrollCycle[],2,FALSE),"TBD")</f>
        <v>Bi-Weekly</v>
      </c>
      <c r="AH499" t="str">
        <f>IF(TblFeedFile1[[#This Row],[Return to Work Date ]]="","","Y")</f>
        <v>Y</v>
      </c>
    </row>
    <row r="500" spans="1:34" x14ac:dyDescent="0.25">
      <c r="A500" t="s">
        <v>37</v>
      </c>
      <c r="B500">
        <v>314301</v>
      </c>
      <c r="C500">
        <v>22950643</v>
      </c>
      <c r="D500" s="1">
        <v>531612158733</v>
      </c>
      <c r="E500" t="s">
        <v>719</v>
      </c>
      <c r="F500" t="s">
        <v>720</v>
      </c>
      <c r="G500">
        <v>20170102</v>
      </c>
      <c r="H500">
        <v>20170709</v>
      </c>
      <c r="I500" t="s">
        <v>53</v>
      </c>
      <c r="L500" t="s">
        <v>34</v>
      </c>
      <c r="M500" t="s">
        <v>34</v>
      </c>
      <c r="N500" t="s">
        <v>35</v>
      </c>
      <c r="O500" t="s">
        <v>35</v>
      </c>
      <c r="P500" t="s">
        <v>35</v>
      </c>
      <c r="Q500" t="s">
        <v>35</v>
      </c>
      <c r="R500" t="s">
        <v>35</v>
      </c>
      <c r="S500" t="s">
        <v>34</v>
      </c>
      <c r="AD500">
        <v>20170124</v>
      </c>
      <c r="AF500" t="str">
        <f>IFERROR(VLOOKUP(RIGHT(TblFeedFile1[[#This Row],[Leave Type ]],6),LkupPayType[],2,FALSE),"TBD")</f>
        <v>TBD</v>
      </c>
      <c r="AG500" t="str">
        <f>IFERROR(VLOOKUP(TblFeedFile1[[#This Row],[ Report Number ]],LkupPayrollCycle[],2,FALSE),"TBD")</f>
        <v>Semi-Monthly</v>
      </c>
      <c r="AH500" t="str">
        <f>IF(TblFeedFile1[[#This Row],[Return to Work Date ]]="","","Y")</f>
        <v/>
      </c>
    </row>
    <row r="501" spans="1:34" x14ac:dyDescent="0.25">
      <c r="A501" t="s">
        <v>29</v>
      </c>
      <c r="B501">
        <v>314301</v>
      </c>
      <c r="C501">
        <v>22961001</v>
      </c>
      <c r="D501" s="1">
        <v>511701178229</v>
      </c>
      <c r="E501" t="s">
        <v>721</v>
      </c>
      <c r="F501" t="s">
        <v>722</v>
      </c>
      <c r="G501">
        <v>20170119</v>
      </c>
      <c r="H501">
        <v>20180112</v>
      </c>
      <c r="I501" t="s">
        <v>40</v>
      </c>
      <c r="L501" t="s">
        <v>34</v>
      </c>
      <c r="M501" t="s">
        <v>34</v>
      </c>
      <c r="N501" t="s">
        <v>35</v>
      </c>
      <c r="O501" t="s">
        <v>35</v>
      </c>
      <c r="P501" t="s">
        <v>35</v>
      </c>
      <c r="Q501" t="s">
        <v>35</v>
      </c>
      <c r="R501" t="s">
        <v>35</v>
      </c>
      <c r="S501" t="s">
        <v>34</v>
      </c>
      <c r="AD501">
        <v>20170124</v>
      </c>
      <c r="AF501" t="str">
        <f>IFERROR(VLOOKUP(RIGHT(TblFeedFile1[[#This Row],[Leave Type ]],6),LkupPayType[],2,FALSE),"TBD")</f>
        <v>TBD</v>
      </c>
      <c r="AG501" t="str">
        <f>IFERROR(VLOOKUP(TblFeedFile1[[#This Row],[ Report Number ]],LkupPayrollCycle[],2,FALSE),"TBD")</f>
        <v>Semi-Monthly</v>
      </c>
      <c r="AH501" t="str">
        <f>IF(TblFeedFile1[[#This Row],[Return to Work Date ]]="","","Y")</f>
        <v/>
      </c>
    </row>
    <row r="502" spans="1:34" x14ac:dyDescent="0.25">
      <c r="A502" t="s">
        <v>37</v>
      </c>
      <c r="B502">
        <v>314301</v>
      </c>
      <c r="C502">
        <v>22961001</v>
      </c>
      <c r="D502" s="1">
        <v>511701178229</v>
      </c>
      <c r="E502" t="s">
        <v>721</v>
      </c>
      <c r="F502" t="s">
        <v>722</v>
      </c>
      <c r="G502">
        <v>20170119</v>
      </c>
      <c r="H502">
        <v>20170503</v>
      </c>
      <c r="I502" t="s">
        <v>40</v>
      </c>
      <c r="L502" t="s">
        <v>34</v>
      </c>
      <c r="M502" t="s">
        <v>34</v>
      </c>
      <c r="N502" t="s">
        <v>35</v>
      </c>
      <c r="O502" t="s">
        <v>35</v>
      </c>
      <c r="P502" t="s">
        <v>35</v>
      </c>
      <c r="Q502" t="s">
        <v>35</v>
      </c>
      <c r="R502" t="s">
        <v>35</v>
      </c>
      <c r="S502" t="s">
        <v>34</v>
      </c>
      <c r="AD502">
        <v>20170124</v>
      </c>
      <c r="AF502" t="str">
        <f>IFERROR(VLOOKUP(RIGHT(TblFeedFile1[[#This Row],[Leave Type ]],6),LkupPayType[],2,FALSE),"TBD")</f>
        <v>TBD</v>
      </c>
      <c r="AG502" t="str">
        <f>IFERROR(VLOOKUP(TblFeedFile1[[#This Row],[ Report Number ]],LkupPayrollCycle[],2,FALSE),"TBD")</f>
        <v>Semi-Monthly</v>
      </c>
      <c r="AH502" t="str">
        <f>IF(TblFeedFile1[[#This Row],[Return to Work Date ]]="","","Y")</f>
        <v/>
      </c>
    </row>
    <row r="503" spans="1:34" x14ac:dyDescent="0.25">
      <c r="A503" t="s">
        <v>37</v>
      </c>
      <c r="B503">
        <v>314304</v>
      </c>
      <c r="C503">
        <v>22976431</v>
      </c>
      <c r="D503" s="1">
        <v>561701188326</v>
      </c>
      <c r="E503" t="s">
        <v>723</v>
      </c>
      <c r="F503" t="s">
        <v>66</v>
      </c>
      <c r="G503">
        <v>20170119</v>
      </c>
      <c r="H503">
        <v>20170210</v>
      </c>
      <c r="I503" t="s">
        <v>40</v>
      </c>
      <c r="L503" t="s">
        <v>34</v>
      </c>
      <c r="M503" t="s">
        <v>34</v>
      </c>
      <c r="N503" t="s">
        <v>35</v>
      </c>
      <c r="O503" t="s">
        <v>35</v>
      </c>
      <c r="P503" t="s">
        <v>35</v>
      </c>
      <c r="Q503" t="s">
        <v>35</v>
      </c>
      <c r="R503" t="s">
        <v>35</v>
      </c>
      <c r="S503" t="s">
        <v>34</v>
      </c>
      <c r="Y503">
        <v>452</v>
      </c>
      <c r="Z503" t="s">
        <v>306</v>
      </c>
      <c r="AA503">
        <v>20170119</v>
      </c>
      <c r="AB503">
        <v>20170712</v>
      </c>
      <c r="AD503">
        <v>20170124</v>
      </c>
      <c r="AF503" t="str">
        <f>IFERROR(VLOOKUP(RIGHT(TblFeedFile1[[#This Row],[Leave Type ]],6),LkupPayType[],2,FALSE),"TBD")</f>
        <v>TBD</v>
      </c>
      <c r="AG503" t="str">
        <f>IFERROR(VLOOKUP(TblFeedFile1[[#This Row],[ Report Number ]],LkupPayrollCycle[],2,FALSE),"TBD")</f>
        <v>Bi-Weekly</v>
      </c>
      <c r="AH503" t="str">
        <f>IF(TblFeedFile1[[#This Row],[Return to Work Date ]]="","","Y")</f>
        <v/>
      </c>
    </row>
    <row r="504" spans="1:34" x14ac:dyDescent="0.25">
      <c r="A504" t="s">
        <v>37</v>
      </c>
      <c r="B504">
        <v>314305</v>
      </c>
      <c r="C504">
        <v>22997197</v>
      </c>
      <c r="D504" s="1">
        <v>511701048939</v>
      </c>
      <c r="E504" t="s">
        <v>724</v>
      </c>
      <c r="F504" t="s">
        <v>725</v>
      </c>
      <c r="G504">
        <v>20170124</v>
      </c>
      <c r="H504">
        <v>20170227</v>
      </c>
      <c r="I504" t="s">
        <v>459</v>
      </c>
      <c r="L504" t="s">
        <v>34</v>
      </c>
      <c r="M504" t="s">
        <v>34</v>
      </c>
      <c r="N504" t="s">
        <v>35</v>
      </c>
      <c r="O504" t="s">
        <v>35</v>
      </c>
      <c r="P504" t="s">
        <v>35</v>
      </c>
      <c r="Q504" t="s">
        <v>35</v>
      </c>
      <c r="R504" t="s">
        <v>35</v>
      </c>
      <c r="S504" t="s">
        <v>34</v>
      </c>
      <c r="AD504">
        <v>20170124</v>
      </c>
      <c r="AF504" t="str">
        <f>IFERROR(VLOOKUP(RIGHT(TblFeedFile1[[#This Row],[Leave Type ]],6),LkupPayType[],2,FALSE),"TBD")</f>
        <v>TBD</v>
      </c>
      <c r="AG504" t="str">
        <f>IFERROR(VLOOKUP(TblFeedFile1[[#This Row],[ Report Number ]],LkupPayrollCycle[],2,FALSE),"TBD")</f>
        <v>Bi-Weekly</v>
      </c>
      <c r="AH504" t="str">
        <f>IF(TblFeedFile1[[#This Row],[Return to Work Date ]]="","","Y")</f>
        <v/>
      </c>
    </row>
    <row r="505" spans="1:34" x14ac:dyDescent="0.25">
      <c r="A505" t="s">
        <v>29</v>
      </c>
      <c r="B505">
        <v>314305</v>
      </c>
      <c r="C505">
        <v>23004346</v>
      </c>
      <c r="D505" s="1" t="s">
        <v>726</v>
      </c>
      <c r="E505" t="s">
        <v>727</v>
      </c>
      <c r="F505" t="s">
        <v>66</v>
      </c>
      <c r="G505">
        <v>20170116</v>
      </c>
      <c r="H505">
        <v>20170416</v>
      </c>
      <c r="I505" t="s">
        <v>78</v>
      </c>
      <c r="K505" t="s">
        <v>79</v>
      </c>
      <c r="L505" t="s">
        <v>34</v>
      </c>
      <c r="M505" t="s">
        <v>34</v>
      </c>
      <c r="N505" t="s">
        <v>35</v>
      </c>
      <c r="O505" t="s">
        <v>35</v>
      </c>
      <c r="P505" t="s">
        <v>35</v>
      </c>
      <c r="Q505" t="s">
        <v>35</v>
      </c>
      <c r="R505" t="s">
        <v>35</v>
      </c>
      <c r="S505" t="s">
        <v>34</v>
      </c>
      <c r="AD505">
        <v>20170124</v>
      </c>
      <c r="AF505" t="str">
        <f>IFERROR(VLOOKUP(RIGHT(TblFeedFile1[[#This Row],[Leave Type ]],6),LkupPayType[],2,FALSE),"TBD")</f>
        <v>TBD</v>
      </c>
      <c r="AG505" t="str">
        <f>IFERROR(VLOOKUP(TblFeedFile1[[#This Row],[ Report Number ]],LkupPayrollCycle[],2,FALSE),"TBD")</f>
        <v>Bi-Weekly</v>
      </c>
      <c r="AH505" t="str">
        <f>IF(TblFeedFile1[[#This Row],[Return to Work Date ]]="","","Y")</f>
        <v/>
      </c>
    </row>
    <row r="506" spans="1:34" x14ac:dyDescent="0.25">
      <c r="A506" t="s">
        <v>37</v>
      </c>
      <c r="B506">
        <v>314305</v>
      </c>
      <c r="C506">
        <v>23004346</v>
      </c>
      <c r="D506" s="1" t="s">
        <v>726</v>
      </c>
      <c r="E506" t="s">
        <v>727</v>
      </c>
      <c r="F506" t="s">
        <v>66</v>
      </c>
      <c r="G506">
        <v>20170123</v>
      </c>
      <c r="H506">
        <v>20170416</v>
      </c>
      <c r="I506" t="s">
        <v>36</v>
      </c>
      <c r="L506" t="s">
        <v>34</v>
      </c>
      <c r="M506" t="s">
        <v>34</v>
      </c>
      <c r="N506" t="s">
        <v>35</v>
      </c>
      <c r="O506" t="s">
        <v>35</v>
      </c>
      <c r="P506" t="s">
        <v>35</v>
      </c>
      <c r="Q506" t="s">
        <v>35</v>
      </c>
      <c r="R506" t="s">
        <v>35</v>
      </c>
      <c r="S506" t="s">
        <v>34</v>
      </c>
      <c r="AD506">
        <v>20170124</v>
      </c>
      <c r="AF506" t="str">
        <f>IFERROR(VLOOKUP(RIGHT(TblFeedFile1[[#This Row],[Leave Type ]],6),LkupPayType[],2,FALSE),"TBD")</f>
        <v>TBD</v>
      </c>
      <c r="AG506" t="str">
        <f>IFERROR(VLOOKUP(TblFeedFile1[[#This Row],[ Report Number ]],LkupPayrollCycle[],2,FALSE),"TBD")</f>
        <v>Bi-Weekly</v>
      </c>
      <c r="AH506" t="str">
        <f>IF(TblFeedFile1[[#This Row],[Return to Work Date ]]="","","Y")</f>
        <v/>
      </c>
    </row>
    <row r="507" spans="1:34" x14ac:dyDescent="0.25">
      <c r="A507" t="s">
        <v>37</v>
      </c>
      <c r="B507">
        <v>314304</v>
      </c>
      <c r="C507">
        <v>23006023</v>
      </c>
      <c r="D507" s="1">
        <v>571701098607</v>
      </c>
      <c r="E507" t="s">
        <v>728</v>
      </c>
      <c r="F507" t="s">
        <v>729</v>
      </c>
      <c r="G507">
        <v>20170120</v>
      </c>
      <c r="H507">
        <v>20170206</v>
      </c>
      <c r="I507" t="s">
        <v>53</v>
      </c>
      <c r="L507" t="s">
        <v>34</v>
      </c>
      <c r="M507" t="s">
        <v>34</v>
      </c>
      <c r="N507" t="s">
        <v>35</v>
      </c>
      <c r="O507" t="s">
        <v>35</v>
      </c>
      <c r="P507" t="s">
        <v>35</v>
      </c>
      <c r="Q507" t="s">
        <v>35</v>
      </c>
      <c r="R507" t="s">
        <v>35</v>
      </c>
      <c r="S507" t="s">
        <v>34</v>
      </c>
      <c r="AD507">
        <v>20170124</v>
      </c>
      <c r="AF507" t="str">
        <f>IFERROR(VLOOKUP(RIGHT(TblFeedFile1[[#This Row],[Leave Type ]],6),LkupPayType[],2,FALSE),"TBD")</f>
        <v>TBD</v>
      </c>
      <c r="AG507" t="str">
        <f>IFERROR(VLOOKUP(TblFeedFile1[[#This Row],[ Report Number ]],LkupPayrollCycle[],2,FALSE),"TBD")</f>
        <v>Bi-Weekly</v>
      </c>
      <c r="AH507" t="str">
        <f>IF(TblFeedFile1[[#This Row],[Return to Work Date ]]="","","Y")</f>
        <v/>
      </c>
    </row>
    <row r="508" spans="1:34" x14ac:dyDescent="0.25">
      <c r="A508" t="s">
        <v>29</v>
      </c>
      <c r="B508">
        <v>314304</v>
      </c>
      <c r="C508">
        <v>23045156</v>
      </c>
      <c r="D508" s="1" t="s">
        <v>730</v>
      </c>
      <c r="E508" t="s">
        <v>731</v>
      </c>
      <c r="F508" t="s">
        <v>732</v>
      </c>
      <c r="G508">
        <v>20170114</v>
      </c>
      <c r="H508">
        <v>20170114</v>
      </c>
      <c r="I508" t="s">
        <v>33</v>
      </c>
      <c r="L508" t="s">
        <v>34</v>
      </c>
      <c r="M508" t="s">
        <v>34</v>
      </c>
      <c r="N508" t="s">
        <v>35</v>
      </c>
      <c r="O508" t="s">
        <v>35</v>
      </c>
      <c r="P508" t="s">
        <v>35</v>
      </c>
      <c r="Q508" t="s">
        <v>35</v>
      </c>
      <c r="R508" t="s">
        <v>35</v>
      </c>
      <c r="S508" t="s">
        <v>34</v>
      </c>
      <c r="AD508">
        <v>20170124</v>
      </c>
      <c r="AF508" t="str">
        <f>IFERROR(VLOOKUP(RIGHT(TblFeedFile1[[#This Row],[Leave Type ]],6),LkupPayType[],2,FALSE),"TBD")</f>
        <v>TBD</v>
      </c>
      <c r="AG508" t="str">
        <f>IFERROR(VLOOKUP(TblFeedFile1[[#This Row],[ Report Number ]],LkupPayrollCycle[],2,FALSE),"TBD")</f>
        <v>Bi-Weekly</v>
      </c>
      <c r="AH508" t="str">
        <f>IF(TblFeedFile1[[#This Row],[Return to Work Date ]]="","","Y")</f>
        <v/>
      </c>
    </row>
    <row r="509" spans="1:34" x14ac:dyDescent="0.25">
      <c r="A509" t="s">
        <v>37</v>
      </c>
      <c r="B509">
        <v>314304</v>
      </c>
      <c r="C509">
        <v>23045156</v>
      </c>
      <c r="D509" s="1" t="s">
        <v>730</v>
      </c>
      <c r="E509" t="s">
        <v>731</v>
      </c>
      <c r="F509" t="s">
        <v>732</v>
      </c>
      <c r="G509">
        <v>20170103</v>
      </c>
      <c r="H509">
        <v>20170113</v>
      </c>
      <c r="I509" t="s">
        <v>49</v>
      </c>
      <c r="L509" t="s">
        <v>34</v>
      </c>
      <c r="M509" t="s">
        <v>34</v>
      </c>
      <c r="N509" t="s">
        <v>35</v>
      </c>
      <c r="O509" t="s">
        <v>35</v>
      </c>
      <c r="P509" t="s">
        <v>35</v>
      </c>
      <c r="Q509" t="s">
        <v>35</v>
      </c>
      <c r="R509" t="s">
        <v>35</v>
      </c>
      <c r="S509" t="s">
        <v>34</v>
      </c>
      <c r="T509">
        <v>20170123</v>
      </c>
      <c r="AD509">
        <v>20170124</v>
      </c>
      <c r="AF509" t="str">
        <f>IFERROR(VLOOKUP(RIGHT(TblFeedFile1[[#This Row],[Leave Type ]],6),LkupPayType[],2,FALSE),"TBD")</f>
        <v>TBD</v>
      </c>
      <c r="AG509" t="str">
        <f>IFERROR(VLOOKUP(TblFeedFile1[[#This Row],[ Report Number ]],LkupPayrollCycle[],2,FALSE),"TBD")</f>
        <v>Bi-Weekly</v>
      </c>
      <c r="AH509" t="str">
        <f>IF(TblFeedFile1[[#This Row],[Return to Work Date ]]="","","Y")</f>
        <v>Y</v>
      </c>
    </row>
    <row r="510" spans="1:34" x14ac:dyDescent="0.25">
      <c r="A510" t="s">
        <v>37</v>
      </c>
      <c r="B510">
        <v>314304</v>
      </c>
      <c r="C510">
        <v>23048723</v>
      </c>
      <c r="D510" s="1" t="s">
        <v>733</v>
      </c>
      <c r="E510" t="s">
        <v>734</v>
      </c>
      <c r="F510" t="s">
        <v>735</v>
      </c>
      <c r="G510">
        <v>20170120</v>
      </c>
      <c r="H510">
        <v>20170129</v>
      </c>
      <c r="I510" t="s">
        <v>78</v>
      </c>
      <c r="K510" t="s">
        <v>79</v>
      </c>
      <c r="L510" t="s">
        <v>34</v>
      </c>
      <c r="M510" t="s">
        <v>34</v>
      </c>
      <c r="N510" t="s">
        <v>35</v>
      </c>
      <c r="O510" t="s">
        <v>35</v>
      </c>
      <c r="P510" t="s">
        <v>35</v>
      </c>
      <c r="Q510" t="s">
        <v>35</v>
      </c>
      <c r="R510" t="s">
        <v>35</v>
      </c>
      <c r="S510" t="s">
        <v>34</v>
      </c>
      <c r="AD510">
        <v>20170124</v>
      </c>
      <c r="AF510" t="str">
        <f>IFERROR(VLOOKUP(RIGHT(TblFeedFile1[[#This Row],[Leave Type ]],6),LkupPayType[],2,FALSE),"TBD")</f>
        <v>TBD</v>
      </c>
      <c r="AG510" t="str">
        <f>IFERROR(VLOOKUP(TblFeedFile1[[#This Row],[ Report Number ]],LkupPayrollCycle[],2,FALSE),"TBD")</f>
        <v>Bi-Weekly</v>
      </c>
      <c r="AH510" t="str">
        <f>IF(TblFeedFile1[[#This Row],[Return to Work Date ]]="","","Y")</f>
        <v/>
      </c>
    </row>
    <row r="511" spans="1:34" x14ac:dyDescent="0.25">
      <c r="A511" t="s">
        <v>37</v>
      </c>
      <c r="B511">
        <v>314304</v>
      </c>
      <c r="C511">
        <v>23048723</v>
      </c>
      <c r="D511" s="1">
        <v>511701248459</v>
      </c>
      <c r="E511" t="s">
        <v>734</v>
      </c>
      <c r="F511" t="s">
        <v>735</v>
      </c>
      <c r="G511">
        <v>20170120</v>
      </c>
      <c r="I511" t="s">
        <v>53</v>
      </c>
      <c r="L511" t="s">
        <v>34</v>
      </c>
      <c r="M511" t="s">
        <v>34</v>
      </c>
      <c r="N511" t="s">
        <v>35</v>
      </c>
      <c r="O511" t="s">
        <v>35</v>
      </c>
      <c r="P511" t="s">
        <v>35</v>
      </c>
      <c r="Q511" t="s">
        <v>35</v>
      </c>
      <c r="R511" t="s">
        <v>35</v>
      </c>
      <c r="S511" t="s">
        <v>34</v>
      </c>
      <c r="AD511">
        <v>20170124</v>
      </c>
      <c r="AF511" t="str">
        <f>IFERROR(VLOOKUP(RIGHT(TblFeedFile1[[#This Row],[Leave Type ]],6),LkupPayType[],2,FALSE),"TBD")</f>
        <v>TBD</v>
      </c>
      <c r="AG511" t="str">
        <f>IFERROR(VLOOKUP(TblFeedFile1[[#This Row],[ Report Number ]],LkupPayrollCycle[],2,FALSE),"TBD")</f>
        <v>Bi-Weekly</v>
      </c>
      <c r="AH511" t="str">
        <f>IF(TblFeedFile1[[#This Row],[Return to Work Date ]]="","","Y")</f>
        <v/>
      </c>
    </row>
    <row r="512" spans="1:34" x14ac:dyDescent="0.25">
      <c r="A512" t="s">
        <v>29</v>
      </c>
      <c r="B512">
        <v>314304</v>
      </c>
      <c r="C512">
        <v>23066792</v>
      </c>
      <c r="D512" s="1" t="s">
        <v>736</v>
      </c>
      <c r="E512" t="s">
        <v>737</v>
      </c>
      <c r="F512" t="s">
        <v>738</v>
      </c>
      <c r="G512">
        <v>20161118</v>
      </c>
      <c r="H512">
        <v>20170126</v>
      </c>
      <c r="I512" t="s">
        <v>36</v>
      </c>
      <c r="L512" t="s">
        <v>34</v>
      </c>
      <c r="M512" t="s">
        <v>34</v>
      </c>
      <c r="N512" t="s">
        <v>35</v>
      </c>
      <c r="O512" t="s">
        <v>35</v>
      </c>
      <c r="P512" t="s">
        <v>35</v>
      </c>
      <c r="Q512" t="s">
        <v>35</v>
      </c>
      <c r="R512" t="s">
        <v>35</v>
      </c>
      <c r="S512" t="s">
        <v>34</v>
      </c>
      <c r="AC512" t="s">
        <v>35</v>
      </c>
      <c r="AD512">
        <v>20170124</v>
      </c>
      <c r="AF512" t="str">
        <f>IFERROR(VLOOKUP(RIGHT(TblFeedFile1[[#This Row],[Leave Type ]],6),LkupPayType[],2,FALSE),"TBD")</f>
        <v>TBD</v>
      </c>
      <c r="AG512" t="str">
        <f>IFERROR(VLOOKUP(TblFeedFile1[[#This Row],[ Report Number ]],LkupPayrollCycle[],2,FALSE),"TBD")</f>
        <v>Bi-Weekly</v>
      </c>
      <c r="AH512" t="str">
        <f>IF(TblFeedFile1[[#This Row],[Return to Work Date ]]="","","Y")</f>
        <v/>
      </c>
    </row>
    <row r="513" spans="1:34" x14ac:dyDescent="0.25">
      <c r="A513" t="s">
        <v>29</v>
      </c>
      <c r="B513">
        <v>314304</v>
      </c>
      <c r="C513">
        <v>23066792</v>
      </c>
      <c r="D513" s="1" t="s">
        <v>736</v>
      </c>
      <c r="E513" t="s">
        <v>737</v>
      </c>
      <c r="F513" t="s">
        <v>738</v>
      </c>
      <c r="G513">
        <v>20161007</v>
      </c>
      <c r="H513">
        <v>20170126</v>
      </c>
      <c r="I513" t="s">
        <v>155</v>
      </c>
      <c r="L513" t="s">
        <v>34</v>
      </c>
      <c r="M513" t="s">
        <v>34</v>
      </c>
      <c r="N513" t="s">
        <v>35</v>
      </c>
      <c r="O513" t="s">
        <v>35</v>
      </c>
      <c r="P513" t="s">
        <v>35</v>
      </c>
      <c r="Q513" t="s">
        <v>35</v>
      </c>
      <c r="R513" t="s">
        <v>35</v>
      </c>
      <c r="S513" t="s">
        <v>34</v>
      </c>
      <c r="AC513" t="s">
        <v>35</v>
      </c>
      <c r="AD513">
        <v>20170124</v>
      </c>
      <c r="AF513" t="str">
        <f>IFERROR(VLOOKUP(RIGHT(TblFeedFile1[[#This Row],[Leave Type ]],6),LkupPayType[],2,FALSE),"TBD")</f>
        <v>TBD</v>
      </c>
      <c r="AG513" t="str">
        <f>IFERROR(VLOOKUP(TblFeedFile1[[#This Row],[ Report Number ]],LkupPayrollCycle[],2,FALSE),"TBD")</f>
        <v>Bi-Weekly</v>
      </c>
      <c r="AH513" t="str">
        <f>IF(TblFeedFile1[[#This Row],[Return to Work Date ]]="","","Y")</f>
        <v/>
      </c>
    </row>
    <row r="514" spans="1:34" x14ac:dyDescent="0.25">
      <c r="A514" t="s">
        <v>37</v>
      </c>
      <c r="B514">
        <v>314304</v>
      </c>
      <c r="C514">
        <v>23066792</v>
      </c>
      <c r="D514" s="1" t="s">
        <v>736</v>
      </c>
      <c r="E514" t="s">
        <v>737</v>
      </c>
      <c r="F514" t="s">
        <v>738</v>
      </c>
      <c r="G514">
        <v>20161118</v>
      </c>
      <c r="H514">
        <v>20170312</v>
      </c>
      <c r="I514" t="s">
        <v>36</v>
      </c>
      <c r="L514" t="s">
        <v>34</v>
      </c>
      <c r="M514" t="s">
        <v>34</v>
      </c>
      <c r="N514" t="s">
        <v>35</v>
      </c>
      <c r="O514" t="s">
        <v>35</v>
      </c>
      <c r="P514" t="s">
        <v>35</v>
      </c>
      <c r="Q514" t="s">
        <v>35</v>
      </c>
      <c r="R514" t="s">
        <v>35</v>
      </c>
      <c r="S514" t="s">
        <v>34</v>
      </c>
      <c r="AC514" t="s">
        <v>35</v>
      </c>
      <c r="AD514">
        <v>20170124</v>
      </c>
      <c r="AF514" t="str">
        <f>IFERROR(VLOOKUP(RIGHT(TblFeedFile1[[#This Row],[Leave Type ]],6),LkupPayType[],2,FALSE),"TBD")</f>
        <v>TBD</v>
      </c>
      <c r="AG514" t="str">
        <f>IFERROR(VLOOKUP(TblFeedFile1[[#This Row],[ Report Number ]],LkupPayrollCycle[],2,FALSE),"TBD")</f>
        <v>Bi-Weekly</v>
      </c>
      <c r="AH514" t="str">
        <f>IF(TblFeedFile1[[#This Row],[Return to Work Date ]]="","","Y")</f>
        <v/>
      </c>
    </row>
    <row r="515" spans="1:34" x14ac:dyDescent="0.25">
      <c r="A515" t="s">
        <v>37</v>
      </c>
      <c r="B515">
        <v>314301</v>
      </c>
      <c r="C515">
        <v>23087542</v>
      </c>
      <c r="D515" s="1" t="s">
        <v>739</v>
      </c>
      <c r="E515" t="s">
        <v>740</v>
      </c>
      <c r="F515" t="s">
        <v>741</v>
      </c>
      <c r="G515">
        <v>20170121</v>
      </c>
      <c r="H515">
        <v>20170121</v>
      </c>
      <c r="I515" t="s">
        <v>33</v>
      </c>
      <c r="L515" t="s">
        <v>34</v>
      </c>
      <c r="M515" t="s">
        <v>34</v>
      </c>
      <c r="N515" t="s">
        <v>35</v>
      </c>
      <c r="O515" t="s">
        <v>35</v>
      </c>
      <c r="P515" t="s">
        <v>35</v>
      </c>
      <c r="Q515" t="s">
        <v>35</v>
      </c>
      <c r="R515" t="s">
        <v>35</v>
      </c>
      <c r="S515" t="s">
        <v>34</v>
      </c>
      <c r="AC515" t="s">
        <v>35</v>
      </c>
      <c r="AD515">
        <v>20170124</v>
      </c>
      <c r="AF515" t="str">
        <f>IFERROR(VLOOKUP(RIGHT(TblFeedFile1[[#This Row],[Leave Type ]],6),LkupPayType[],2,FALSE),"TBD")</f>
        <v>TBD</v>
      </c>
      <c r="AG515" t="str">
        <f>IFERROR(VLOOKUP(TblFeedFile1[[#This Row],[ Report Number ]],LkupPayrollCycle[],2,FALSE),"TBD")</f>
        <v>Semi-Monthly</v>
      </c>
      <c r="AH515" t="str">
        <f>IF(TblFeedFile1[[#This Row],[Return to Work Date ]]="","","Y")</f>
        <v/>
      </c>
    </row>
    <row r="516" spans="1:34" x14ac:dyDescent="0.25">
      <c r="A516" t="s">
        <v>37</v>
      </c>
      <c r="B516">
        <v>314304</v>
      </c>
      <c r="C516">
        <v>23094356</v>
      </c>
      <c r="D516" s="1" t="s">
        <v>742</v>
      </c>
      <c r="E516" t="s">
        <v>522</v>
      </c>
      <c r="F516" t="s">
        <v>743</v>
      </c>
      <c r="G516">
        <v>20170124</v>
      </c>
      <c r="H516">
        <v>20170223</v>
      </c>
      <c r="I516" t="s">
        <v>78</v>
      </c>
      <c r="K516" t="s">
        <v>79</v>
      </c>
      <c r="L516" t="s">
        <v>34</v>
      </c>
      <c r="M516" t="s">
        <v>34</v>
      </c>
      <c r="N516" t="s">
        <v>35</v>
      </c>
      <c r="O516" t="s">
        <v>35</v>
      </c>
      <c r="P516" t="s">
        <v>35</v>
      </c>
      <c r="Q516" t="s">
        <v>35</v>
      </c>
      <c r="R516" t="s">
        <v>35</v>
      </c>
      <c r="S516" t="s">
        <v>34</v>
      </c>
      <c r="AD516">
        <v>20170124</v>
      </c>
      <c r="AF516" t="str">
        <f>IFERROR(VLOOKUP(RIGHT(TblFeedFile1[[#This Row],[Leave Type ]],6),LkupPayType[],2,FALSE),"TBD")</f>
        <v>TBD</v>
      </c>
      <c r="AG516" t="str">
        <f>IFERROR(VLOOKUP(TblFeedFile1[[#This Row],[ Report Number ]],LkupPayrollCycle[],2,FALSE),"TBD")</f>
        <v>Bi-Weekly</v>
      </c>
      <c r="AH516" t="str">
        <f>IF(TblFeedFile1[[#This Row],[Return to Work Date ]]="","","Y")</f>
        <v/>
      </c>
    </row>
    <row r="517" spans="1:34" x14ac:dyDescent="0.25">
      <c r="A517" t="s">
        <v>37</v>
      </c>
      <c r="B517">
        <v>314304</v>
      </c>
      <c r="C517">
        <v>23099897</v>
      </c>
      <c r="D517" s="1" t="s">
        <v>744</v>
      </c>
      <c r="E517" t="s">
        <v>745</v>
      </c>
      <c r="F517" t="s">
        <v>746</v>
      </c>
      <c r="G517">
        <v>20170124</v>
      </c>
      <c r="H517">
        <v>20170217</v>
      </c>
      <c r="I517" t="s">
        <v>36</v>
      </c>
      <c r="L517" t="s">
        <v>34</v>
      </c>
      <c r="M517" t="s">
        <v>34</v>
      </c>
      <c r="N517" t="s">
        <v>35</v>
      </c>
      <c r="O517" t="s">
        <v>35</v>
      </c>
      <c r="P517" t="s">
        <v>35</v>
      </c>
      <c r="Q517" t="s">
        <v>35</v>
      </c>
      <c r="R517" t="s">
        <v>35</v>
      </c>
      <c r="S517" t="s">
        <v>34</v>
      </c>
      <c r="AD517">
        <v>20170124</v>
      </c>
      <c r="AF517" t="str">
        <f>IFERROR(VLOOKUP(RIGHT(TblFeedFile1[[#This Row],[Leave Type ]],6),LkupPayType[],2,FALSE),"TBD")</f>
        <v>TBD</v>
      </c>
      <c r="AG517" t="str">
        <f>IFERROR(VLOOKUP(TblFeedFile1[[#This Row],[ Report Number ]],LkupPayrollCycle[],2,FALSE),"TBD")</f>
        <v>Bi-Weekly</v>
      </c>
      <c r="AH517" t="str">
        <f>IF(TblFeedFile1[[#This Row],[Return to Work Date ]]="","","Y")</f>
        <v/>
      </c>
    </row>
    <row r="518" spans="1:34" x14ac:dyDescent="0.25">
      <c r="A518" t="s">
        <v>29</v>
      </c>
      <c r="B518">
        <v>314304</v>
      </c>
      <c r="C518">
        <v>23105877</v>
      </c>
      <c r="D518" s="1" t="s">
        <v>747</v>
      </c>
      <c r="E518" t="s">
        <v>313</v>
      </c>
      <c r="F518" t="s">
        <v>748</v>
      </c>
      <c r="G518">
        <v>20160901</v>
      </c>
      <c r="H518">
        <v>20161221</v>
      </c>
      <c r="I518" t="s">
        <v>223</v>
      </c>
      <c r="L518" t="s">
        <v>34</v>
      </c>
      <c r="M518" t="s">
        <v>34</v>
      </c>
      <c r="N518" t="s">
        <v>35</v>
      </c>
      <c r="O518" t="s">
        <v>35</v>
      </c>
      <c r="P518" t="s">
        <v>35</v>
      </c>
      <c r="Q518" t="s">
        <v>35</v>
      </c>
      <c r="R518" t="s">
        <v>35</v>
      </c>
      <c r="S518" t="s">
        <v>34</v>
      </c>
      <c r="AC518" t="s">
        <v>35</v>
      </c>
      <c r="AD518">
        <v>20170124</v>
      </c>
      <c r="AF518" t="str">
        <f>IFERROR(VLOOKUP(RIGHT(TblFeedFile1[[#This Row],[Leave Type ]],6),LkupPayType[],2,FALSE),"TBD")</f>
        <v>TBD</v>
      </c>
      <c r="AG518" t="str">
        <f>IFERROR(VLOOKUP(TblFeedFile1[[#This Row],[ Report Number ]],LkupPayrollCycle[],2,FALSE),"TBD")</f>
        <v>Bi-Weekly</v>
      </c>
      <c r="AH518" t="str">
        <f>IF(TblFeedFile1[[#This Row],[Return to Work Date ]]="","","Y")</f>
        <v/>
      </c>
    </row>
    <row r="519" spans="1:34" x14ac:dyDescent="0.25">
      <c r="A519" t="s">
        <v>37</v>
      </c>
      <c r="B519">
        <v>314304</v>
      </c>
      <c r="C519">
        <v>23105877</v>
      </c>
      <c r="D519" s="1" t="s">
        <v>747</v>
      </c>
      <c r="E519" t="s">
        <v>313</v>
      </c>
      <c r="F519" t="s">
        <v>748</v>
      </c>
      <c r="G519">
        <v>20160901</v>
      </c>
      <c r="H519">
        <v>20161221</v>
      </c>
      <c r="I519" t="s">
        <v>78</v>
      </c>
      <c r="K519" t="s">
        <v>219</v>
      </c>
      <c r="L519" t="s">
        <v>34</v>
      </c>
      <c r="M519" t="s">
        <v>34</v>
      </c>
      <c r="N519" t="s">
        <v>35</v>
      </c>
      <c r="O519" t="s">
        <v>35</v>
      </c>
      <c r="P519" t="s">
        <v>35</v>
      </c>
      <c r="Q519" t="s">
        <v>35</v>
      </c>
      <c r="R519" t="s">
        <v>35</v>
      </c>
      <c r="S519" t="s">
        <v>34</v>
      </c>
      <c r="AC519" t="s">
        <v>35</v>
      </c>
      <c r="AD519">
        <v>20170124</v>
      </c>
      <c r="AF519" t="str">
        <f>IFERROR(VLOOKUP(RIGHT(TblFeedFile1[[#This Row],[Leave Type ]],6),LkupPayType[],2,FALSE),"TBD")</f>
        <v>TBD</v>
      </c>
      <c r="AG519" t="str">
        <f>IFERROR(VLOOKUP(TblFeedFile1[[#This Row],[ Report Number ]],LkupPayrollCycle[],2,FALSE),"TBD")</f>
        <v>Bi-Weekly</v>
      </c>
      <c r="AH519" t="str">
        <f>IF(TblFeedFile1[[#This Row],[Return to Work Date ]]="","","Y")</f>
        <v/>
      </c>
    </row>
    <row r="520" spans="1:34" x14ac:dyDescent="0.25">
      <c r="A520" t="s">
        <v>29</v>
      </c>
      <c r="B520">
        <v>314304</v>
      </c>
      <c r="C520">
        <v>23158268</v>
      </c>
      <c r="D520" s="1" t="s">
        <v>749</v>
      </c>
      <c r="E520" t="s">
        <v>750</v>
      </c>
      <c r="F520" t="s">
        <v>751</v>
      </c>
      <c r="G520">
        <v>20161227</v>
      </c>
      <c r="H520">
        <v>20170320</v>
      </c>
      <c r="I520" t="s">
        <v>49</v>
      </c>
      <c r="L520" t="s">
        <v>34</v>
      </c>
      <c r="M520" t="s">
        <v>34</v>
      </c>
      <c r="N520" t="s">
        <v>35</v>
      </c>
      <c r="O520" t="s">
        <v>35</v>
      </c>
      <c r="P520" t="s">
        <v>35</v>
      </c>
      <c r="Q520" t="s">
        <v>35</v>
      </c>
      <c r="R520" t="s">
        <v>35</v>
      </c>
      <c r="S520" t="s">
        <v>34</v>
      </c>
      <c r="AC520" t="s">
        <v>35</v>
      </c>
      <c r="AD520">
        <v>20170124</v>
      </c>
      <c r="AF520" t="str">
        <f>IFERROR(VLOOKUP(RIGHT(TblFeedFile1[[#This Row],[Leave Type ]],6),LkupPayType[],2,FALSE),"TBD")</f>
        <v>TBD</v>
      </c>
      <c r="AG520" t="str">
        <f>IFERROR(VLOOKUP(TblFeedFile1[[#This Row],[ Report Number ]],LkupPayrollCycle[],2,FALSE),"TBD")</f>
        <v>Bi-Weekly</v>
      </c>
      <c r="AH520" t="str">
        <f>IF(TblFeedFile1[[#This Row],[Return to Work Date ]]="","","Y")</f>
        <v/>
      </c>
    </row>
    <row r="521" spans="1:34" x14ac:dyDescent="0.25">
      <c r="A521" t="s">
        <v>37</v>
      </c>
      <c r="B521">
        <v>314304</v>
      </c>
      <c r="C521">
        <v>23158268</v>
      </c>
      <c r="D521" s="1" t="s">
        <v>749</v>
      </c>
      <c r="E521" t="s">
        <v>750</v>
      </c>
      <c r="F521" t="s">
        <v>751</v>
      </c>
      <c r="G521">
        <v>20161227</v>
      </c>
      <c r="H521">
        <v>20170322</v>
      </c>
      <c r="I521" t="s">
        <v>49</v>
      </c>
      <c r="L521" t="s">
        <v>34</v>
      </c>
      <c r="M521" t="s">
        <v>34</v>
      </c>
      <c r="N521" t="s">
        <v>35</v>
      </c>
      <c r="O521" t="s">
        <v>35</v>
      </c>
      <c r="P521" t="s">
        <v>35</v>
      </c>
      <c r="Q521" t="s">
        <v>35</v>
      </c>
      <c r="R521" t="s">
        <v>35</v>
      </c>
      <c r="S521" t="s">
        <v>34</v>
      </c>
      <c r="AC521" t="s">
        <v>35</v>
      </c>
      <c r="AD521">
        <v>20170124</v>
      </c>
      <c r="AF521" t="str">
        <f>IFERROR(VLOOKUP(RIGHT(TblFeedFile1[[#This Row],[Leave Type ]],6),LkupPayType[],2,FALSE),"TBD")</f>
        <v>TBD</v>
      </c>
      <c r="AG521" t="str">
        <f>IFERROR(VLOOKUP(TblFeedFile1[[#This Row],[ Report Number ]],LkupPayrollCycle[],2,FALSE),"TBD")</f>
        <v>Bi-Weekly</v>
      </c>
      <c r="AH521" t="str">
        <f>IF(TblFeedFile1[[#This Row],[Return to Work Date ]]="","","Y")</f>
        <v/>
      </c>
    </row>
    <row r="522" spans="1:34" x14ac:dyDescent="0.25">
      <c r="A522" t="s">
        <v>37</v>
      </c>
      <c r="B522">
        <v>314304</v>
      </c>
      <c r="C522">
        <v>23166974</v>
      </c>
      <c r="D522" s="1">
        <v>561701208016</v>
      </c>
      <c r="E522" t="s">
        <v>208</v>
      </c>
      <c r="F522" t="s">
        <v>752</v>
      </c>
      <c r="G522">
        <v>20170121</v>
      </c>
      <c r="H522">
        <v>20170520</v>
      </c>
      <c r="I522" t="s">
        <v>40</v>
      </c>
      <c r="L522" t="s">
        <v>34</v>
      </c>
      <c r="M522" t="s">
        <v>34</v>
      </c>
      <c r="N522" t="s">
        <v>35</v>
      </c>
      <c r="O522" t="s">
        <v>35</v>
      </c>
      <c r="P522" t="s">
        <v>35</v>
      </c>
      <c r="Q522" t="s">
        <v>35</v>
      </c>
      <c r="R522" t="s">
        <v>35</v>
      </c>
      <c r="S522" t="s">
        <v>35</v>
      </c>
      <c r="AD522">
        <v>20170124</v>
      </c>
      <c r="AF522" t="str">
        <f>IFERROR(VLOOKUP(RIGHT(TblFeedFile1[[#This Row],[Leave Type ]],6),LkupPayType[],2,FALSE),"TBD")</f>
        <v>TBD</v>
      </c>
      <c r="AG522" t="str">
        <f>IFERROR(VLOOKUP(TblFeedFile1[[#This Row],[ Report Number ]],LkupPayrollCycle[],2,FALSE),"TBD")</f>
        <v>Bi-Weekly</v>
      </c>
      <c r="AH522" t="str">
        <f>IF(TblFeedFile1[[#This Row],[Return to Work Date ]]="","","Y")</f>
        <v/>
      </c>
    </row>
    <row r="523" spans="1:34" x14ac:dyDescent="0.25">
      <c r="A523" t="s">
        <v>37</v>
      </c>
      <c r="B523">
        <v>314304</v>
      </c>
      <c r="C523">
        <v>23166974</v>
      </c>
      <c r="D523" s="1">
        <v>561701208016</v>
      </c>
      <c r="E523" t="s">
        <v>208</v>
      </c>
      <c r="F523" t="s">
        <v>752</v>
      </c>
      <c r="G523">
        <v>20170121</v>
      </c>
      <c r="H523">
        <v>20170520</v>
      </c>
      <c r="I523" t="s">
        <v>53</v>
      </c>
      <c r="L523" t="s">
        <v>34</v>
      </c>
      <c r="M523" t="s">
        <v>34</v>
      </c>
      <c r="N523" t="s">
        <v>35</v>
      </c>
      <c r="O523" t="s">
        <v>35</v>
      </c>
      <c r="P523" t="s">
        <v>35</v>
      </c>
      <c r="Q523" t="s">
        <v>35</v>
      </c>
      <c r="R523" t="s">
        <v>35</v>
      </c>
      <c r="S523" t="s">
        <v>35</v>
      </c>
      <c r="AD523">
        <v>20170124</v>
      </c>
      <c r="AF523" t="str">
        <f>IFERROR(VLOOKUP(RIGHT(TblFeedFile1[[#This Row],[Leave Type ]],6),LkupPayType[],2,FALSE),"TBD")</f>
        <v>TBD</v>
      </c>
      <c r="AG523" t="str">
        <f>IFERROR(VLOOKUP(TblFeedFile1[[#This Row],[ Report Number ]],LkupPayrollCycle[],2,FALSE),"TBD")</f>
        <v>Bi-Weekly</v>
      </c>
      <c r="AH523" t="str">
        <f>IF(TblFeedFile1[[#This Row],[Return to Work Date ]]="","","Y")</f>
        <v/>
      </c>
    </row>
    <row r="524" spans="1:34" x14ac:dyDescent="0.25">
      <c r="A524" t="s">
        <v>29</v>
      </c>
      <c r="B524">
        <v>314304</v>
      </c>
      <c r="C524">
        <v>23171296</v>
      </c>
      <c r="D524" s="1" t="s">
        <v>753</v>
      </c>
      <c r="E524" t="s">
        <v>522</v>
      </c>
      <c r="F524" t="s">
        <v>754</v>
      </c>
      <c r="G524">
        <v>20161224</v>
      </c>
      <c r="H524">
        <v>20161224</v>
      </c>
      <c r="I524" t="s">
        <v>33</v>
      </c>
      <c r="L524" t="s">
        <v>34</v>
      </c>
      <c r="M524" t="s">
        <v>34</v>
      </c>
      <c r="N524" t="s">
        <v>35</v>
      </c>
      <c r="O524" t="s">
        <v>35</v>
      </c>
      <c r="P524" t="s">
        <v>35</v>
      </c>
      <c r="Q524" t="s">
        <v>35</v>
      </c>
      <c r="R524" t="s">
        <v>35</v>
      </c>
      <c r="S524" t="s">
        <v>34</v>
      </c>
      <c r="AC524" t="s">
        <v>35</v>
      </c>
      <c r="AD524">
        <v>20170124</v>
      </c>
      <c r="AF524" t="str">
        <f>IFERROR(VLOOKUP(RIGHT(TblFeedFile1[[#This Row],[Leave Type ]],6),LkupPayType[],2,FALSE),"TBD")</f>
        <v>TBD</v>
      </c>
      <c r="AG524" t="str">
        <f>IFERROR(VLOOKUP(TblFeedFile1[[#This Row],[ Report Number ]],LkupPayrollCycle[],2,FALSE),"TBD")</f>
        <v>Bi-Weekly</v>
      </c>
      <c r="AH524" t="str">
        <f>IF(TblFeedFile1[[#This Row],[Return to Work Date ]]="","","Y")</f>
        <v/>
      </c>
    </row>
    <row r="525" spans="1:34" x14ac:dyDescent="0.25">
      <c r="A525" t="s">
        <v>37</v>
      </c>
      <c r="B525">
        <v>314304</v>
      </c>
      <c r="C525">
        <v>23171296</v>
      </c>
      <c r="D525" s="1" t="s">
        <v>753</v>
      </c>
      <c r="E525" t="s">
        <v>522</v>
      </c>
      <c r="F525" t="s">
        <v>754</v>
      </c>
      <c r="G525">
        <v>20161011</v>
      </c>
      <c r="H525">
        <v>20161223</v>
      </c>
      <c r="I525" t="s">
        <v>36</v>
      </c>
      <c r="L525" t="s">
        <v>34</v>
      </c>
      <c r="M525" t="s">
        <v>34</v>
      </c>
      <c r="N525" t="s">
        <v>35</v>
      </c>
      <c r="O525" t="s">
        <v>35</v>
      </c>
      <c r="P525" t="s">
        <v>35</v>
      </c>
      <c r="Q525" t="s">
        <v>35</v>
      </c>
      <c r="R525" t="s">
        <v>35</v>
      </c>
      <c r="S525" t="s">
        <v>34</v>
      </c>
      <c r="T525">
        <v>20161224</v>
      </c>
      <c r="AC525" t="s">
        <v>35</v>
      </c>
      <c r="AD525">
        <v>20170124</v>
      </c>
      <c r="AF525" t="str">
        <f>IFERROR(VLOOKUP(RIGHT(TblFeedFile1[[#This Row],[Leave Type ]],6),LkupPayType[],2,FALSE),"TBD")</f>
        <v>TBD</v>
      </c>
      <c r="AG525" t="str">
        <f>IFERROR(VLOOKUP(TblFeedFile1[[#This Row],[ Report Number ]],LkupPayrollCycle[],2,FALSE),"TBD")</f>
        <v>Bi-Weekly</v>
      </c>
      <c r="AH525" t="str">
        <f>IF(TblFeedFile1[[#This Row],[Return to Work Date ]]="","","Y")</f>
        <v>Y</v>
      </c>
    </row>
    <row r="526" spans="1:34" x14ac:dyDescent="0.25">
      <c r="A526" t="s">
        <v>37</v>
      </c>
      <c r="B526">
        <v>314305</v>
      </c>
      <c r="C526">
        <v>23181793</v>
      </c>
      <c r="D526" s="1" t="s">
        <v>755</v>
      </c>
      <c r="E526" t="s">
        <v>756</v>
      </c>
      <c r="F526" t="s">
        <v>757</v>
      </c>
      <c r="G526">
        <v>20170121</v>
      </c>
      <c r="H526">
        <v>20170210</v>
      </c>
      <c r="I526" t="s">
        <v>36</v>
      </c>
      <c r="L526" t="s">
        <v>35</v>
      </c>
      <c r="AD526">
        <v>20170124</v>
      </c>
      <c r="AF526" t="str">
        <f>IFERROR(VLOOKUP(RIGHT(TblFeedFile1[[#This Row],[Leave Type ]],6),LkupPayType[],2,FALSE),"TBD")</f>
        <v>TBD</v>
      </c>
      <c r="AG526" t="str">
        <f>IFERROR(VLOOKUP(TblFeedFile1[[#This Row],[ Report Number ]],LkupPayrollCycle[],2,FALSE),"TBD")</f>
        <v>Bi-Weekly</v>
      </c>
      <c r="AH526" t="str">
        <f>IF(TblFeedFile1[[#This Row],[Return to Work Date ]]="","","Y")</f>
        <v/>
      </c>
    </row>
    <row r="527" spans="1:34" x14ac:dyDescent="0.25">
      <c r="A527" t="s">
        <v>29</v>
      </c>
      <c r="B527">
        <v>314304</v>
      </c>
      <c r="C527">
        <v>23182935</v>
      </c>
      <c r="D527" s="1" t="s">
        <v>758</v>
      </c>
      <c r="E527" t="s">
        <v>759</v>
      </c>
      <c r="F527" t="s">
        <v>760</v>
      </c>
      <c r="G527">
        <v>20170121</v>
      </c>
      <c r="H527">
        <v>20170121</v>
      </c>
      <c r="I527" t="s">
        <v>33</v>
      </c>
      <c r="L527" t="s">
        <v>34</v>
      </c>
      <c r="M527" t="s">
        <v>34</v>
      </c>
      <c r="N527" t="s">
        <v>35</v>
      </c>
      <c r="O527" t="s">
        <v>35</v>
      </c>
      <c r="P527" t="s">
        <v>35</v>
      </c>
      <c r="Q527" t="s">
        <v>35</v>
      </c>
      <c r="R527" t="s">
        <v>35</v>
      </c>
      <c r="S527" t="s">
        <v>34</v>
      </c>
      <c r="AD527">
        <v>20170124</v>
      </c>
      <c r="AF527" t="str">
        <f>IFERROR(VLOOKUP(RIGHT(TblFeedFile1[[#This Row],[Leave Type ]],6),LkupPayType[],2,FALSE),"TBD")</f>
        <v>TBD</v>
      </c>
      <c r="AG527" t="str">
        <f>IFERROR(VLOOKUP(TblFeedFile1[[#This Row],[ Report Number ]],LkupPayrollCycle[],2,FALSE),"TBD")</f>
        <v>Bi-Weekly</v>
      </c>
      <c r="AH527" t="str">
        <f>IF(TblFeedFile1[[#This Row],[Return to Work Date ]]="","","Y")</f>
        <v/>
      </c>
    </row>
    <row r="528" spans="1:34" x14ac:dyDescent="0.25">
      <c r="A528" t="s">
        <v>29</v>
      </c>
      <c r="B528">
        <v>314304</v>
      </c>
      <c r="C528">
        <v>23182935</v>
      </c>
      <c r="D528" s="1">
        <v>521701108972</v>
      </c>
      <c r="E528" t="s">
        <v>759</v>
      </c>
      <c r="F528" t="s">
        <v>760</v>
      </c>
      <c r="G528">
        <v>20170111</v>
      </c>
      <c r="H528">
        <v>20170120</v>
      </c>
      <c r="I528" t="s">
        <v>40</v>
      </c>
      <c r="L528" t="s">
        <v>34</v>
      </c>
      <c r="M528" t="s">
        <v>34</v>
      </c>
      <c r="N528" t="s">
        <v>35</v>
      </c>
      <c r="O528" t="s">
        <v>35</v>
      </c>
      <c r="P528" t="s">
        <v>35</v>
      </c>
      <c r="Q528" t="s">
        <v>35</v>
      </c>
      <c r="R528" t="s">
        <v>35</v>
      </c>
      <c r="S528" t="s">
        <v>34</v>
      </c>
      <c r="AD528">
        <v>20170124</v>
      </c>
      <c r="AF528" t="str">
        <f>IFERROR(VLOOKUP(RIGHT(TblFeedFile1[[#This Row],[Leave Type ]],6),LkupPayType[],2,FALSE),"TBD")</f>
        <v>TBD</v>
      </c>
      <c r="AG528" t="str">
        <f>IFERROR(VLOOKUP(TblFeedFile1[[#This Row],[ Report Number ]],LkupPayrollCycle[],2,FALSE),"TBD")</f>
        <v>Bi-Weekly</v>
      </c>
      <c r="AH528" t="str">
        <f>IF(TblFeedFile1[[#This Row],[Return to Work Date ]]="","","Y")</f>
        <v/>
      </c>
    </row>
    <row r="529" spans="1:34" x14ac:dyDescent="0.25">
      <c r="A529" t="s">
        <v>37</v>
      </c>
      <c r="B529">
        <v>314304</v>
      </c>
      <c r="C529">
        <v>23182935</v>
      </c>
      <c r="D529" s="1">
        <v>521701108972</v>
      </c>
      <c r="E529" t="s">
        <v>759</v>
      </c>
      <c r="F529" t="s">
        <v>760</v>
      </c>
      <c r="G529">
        <v>20170111</v>
      </c>
      <c r="H529">
        <v>20170126</v>
      </c>
      <c r="I529" t="s">
        <v>40</v>
      </c>
      <c r="L529" t="s">
        <v>34</v>
      </c>
      <c r="M529" t="s">
        <v>34</v>
      </c>
      <c r="N529" t="s">
        <v>35</v>
      </c>
      <c r="O529" t="s">
        <v>35</v>
      </c>
      <c r="P529" t="s">
        <v>35</v>
      </c>
      <c r="Q529" t="s">
        <v>35</v>
      </c>
      <c r="R529" t="s">
        <v>35</v>
      </c>
      <c r="S529" t="s">
        <v>34</v>
      </c>
      <c r="AD529">
        <v>20170124</v>
      </c>
      <c r="AF529" t="str">
        <f>IFERROR(VLOOKUP(RIGHT(TblFeedFile1[[#This Row],[Leave Type ]],6),LkupPayType[],2,FALSE),"TBD")</f>
        <v>TBD</v>
      </c>
      <c r="AG529" t="str">
        <f>IFERROR(VLOOKUP(TblFeedFile1[[#This Row],[ Report Number ]],LkupPayrollCycle[],2,FALSE),"TBD")</f>
        <v>Bi-Weekly</v>
      </c>
      <c r="AH529" t="str">
        <f>IF(TblFeedFile1[[#This Row],[Return to Work Date ]]="","","Y")</f>
        <v/>
      </c>
    </row>
    <row r="530" spans="1:34" x14ac:dyDescent="0.25">
      <c r="A530" t="s">
        <v>37</v>
      </c>
      <c r="B530">
        <v>314304</v>
      </c>
      <c r="C530">
        <v>23182935</v>
      </c>
      <c r="D530" s="1" t="s">
        <v>758</v>
      </c>
      <c r="E530" t="s">
        <v>759</v>
      </c>
      <c r="F530" t="s">
        <v>760</v>
      </c>
      <c r="G530">
        <v>20170121</v>
      </c>
      <c r="H530">
        <v>20170121</v>
      </c>
      <c r="I530" t="s">
        <v>33</v>
      </c>
      <c r="L530" t="s">
        <v>34</v>
      </c>
      <c r="M530" t="s">
        <v>34</v>
      </c>
      <c r="N530" t="s">
        <v>35</v>
      </c>
      <c r="O530" t="s">
        <v>35</v>
      </c>
      <c r="P530" t="s">
        <v>35</v>
      </c>
      <c r="Q530" t="s">
        <v>35</v>
      </c>
      <c r="R530" t="s">
        <v>35</v>
      </c>
      <c r="S530" t="s">
        <v>34</v>
      </c>
      <c r="AD530">
        <v>20170124</v>
      </c>
      <c r="AF530" t="str">
        <f>IFERROR(VLOOKUP(RIGHT(TblFeedFile1[[#This Row],[Leave Type ]],6),LkupPayType[],2,FALSE),"TBD")</f>
        <v>TBD</v>
      </c>
      <c r="AG530" t="str">
        <f>IFERROR(VLOOKUP(TblFeedFile1[[#This Row],[ Report Number ]],LkupPayrollCycle[],2,FALSE),"TBD")</f>
        <v>Bi-Weekly</v>
      </c>
      <c r="AH530" t="str">
        <f>IF(TblFeedFile1[[#This Row],[Return to Work Date ]]="","","Y")</f>
        <v/>
      </c>
    </row>
    <row r="531" spans="1:34" x14ac:dyDescent="0.25">
      <c r="A531" t="s">
        <v>37</v>
      </c>
      <c r="B531">
        <v>314304</v>
      </c>
      <c r="C531">
        <v>23187561</v>
      </c>
      <c r="D531" s="1">
        <v>541701248594</v>
      </c>
      <c r="E531" t="s">
        <v>761</v>
      </c>
      <c r="F531" t="s">
        <v>762</v>
      </c>
      <c r="G531">
        <v>20170124</v>
      </c>
      <c r="I531" t="s">
        <v>53</v>
      </c>
      <c r="L531" t="s">
        <v>34</v>
      </c>
      <c r="M531" t="s">
        <v>34</v>
      </c>
      <c r="N531" t="s">
        <v>35</v>
      </c>
      <c r="O531" t="s">
        <v>35</v>
      </c>
      <c r="P531" t="s">
        <v>35</v>
      </c>
      <c r="Q531" t="s">
        <v>35</v>
      </c>
      <c r="R531" t="s">
        <v>35</v>
      </c>
      <c r="S531" t="s">
        <v>34</v>
      </c>
      <c r="AD531">
        <v>20170124</v>
      </c>
      <c r="AF531" t="str">
        <f>IFERROR(VLOOKUP(RIGHT(TblFeedFile1[[#This Row],[Leave Type ]],6),LkupPayType[],2,FALSE),"TBD")</f>
        <v>TBD</v>
      </c>
      <c r="AG531" t="str">
        <f>IFERROR(VLOOKUP(TblFeedFile1[[#This Row],[ Report Number ]],LkupPayrollCycle[],2,FALSE),"TBD")</f>
        <v>Bi-Weekly</v>
      </c>
      <c r="AH531" t="str">
        <f>IF(TblFeedFile1[[#This Row],[Return to Work Date ]]="","","Y")</f>
        <v/>
      </c>
    </row>
    <row r="532" spans="1:34" x14ac:dyDescent="0.25">
      <c r="A532" t="s">
        <v>37</v>
      </c>
      <c r="B532">
        <v>314304</v>
      </c>
      <c r="C532">
        <v>23187822</v>
      </c>
      <c r="D532" s="1">
        <v>531701128443</v>
      </c>
      <c r="E532" t="s">
        <v>763</v>
      </c>
      <c r="F532" t="s">
        <v>764</v>
      </c>
      <c r="G532">
        <v>20170124</v>
      </c>
      <c r="H532">
        <v>20170217</v>
      </c>
      <c r="I532" t="s">
        <v>40</v>
      </c>
      <c r="L532" t="s">
        <v>34</v>
      </c>
      <c r="M532" t="s">
        <v>34</v>
      </c>
      <c r="N532" t="s">
        <v>35</v>
      </c>
      <c r="O532" t="s">
        <v>35</v>
      </c>
      <c r="P532" t="s">
        <v>35</v>
      </c>
      <c r="Q532" t="s">
        <v>35</v>
      </c>
      <c r="R532" t="s">
        <v>35</v>
      </c>
      <c r="S532" t="s">
        <v>34</v>
      </c>
      <c r="AD532">
        <v>20170124</v>
      </c>
      <c r="AF532" t="str">
        <f>IFERROR(VLOOKUP(RIGHT(TblFeedFile1[[#This Row],[Leave Type ]],6),LkupPayType[],2,FALSE),"TBD")</f>
        <v>TBD</v>
      </c>
      <c r="AG532" t="str">
        <f>IFERROR(VLOOKUP(TblFeedFile1[[#This Row],[ Report Number ]],LkupPayrollCycle[],2,FALSE),"TBD")</f>
        <v>Bi-Weekly</v>
      </c>
      <c r="AH532" t="str">
        <f>IF(TblFeedFile1[[#This Row],[Return to Work Date ]]="","","Y")</f>
        <v/>
      </c>
    </row>
    <row r="533" spans="1:34" x14ac:dyDescent="0.25">
      <c r="A533" t="s">
        <v>29</v>
      </c>
      <c r="B533">
        <v>314304</v>
      </c>
      <c r="C533">
        <v>23215310</v>
      </c>
      <c r="D533" s="1" t="s">
        <v>765</v>
      </c>
      <c r="E533" t="s">
        <v>766</v>
      </c>
      <c r="F533" t="s">
        <v>767</v>
      </c>
      <c r="G533">
        <v>20170113</v>
      </c>
      <c r="H533">
        <v>20170113</v>
      </c>
      <c r="I533" t="s">
        <v>43</v>
      </c>
      <c r="L533" t="s">
        <v>35</v>
      </c>
      <c r="AD533">
        <v>20170124</v>
      </c>
      <c r="AF533" t="str">
        <f>IFERROR(VLOOKUP(RIGHT(TblFeedFile1[[#This Row],[Leave Type ]],6),LkupPayType[],2,FALSE),"TBD")</f>
        <v>TBD</v>
      </c>
      <c r="AG533" t="str">
        <f>IFERROR(VLOOKUP(TblFeedFile1[[#This Row],[ Report Number ]],LkupPayrollCycle[],2,FALSE),"TBD")</f>
        <v>Bi-Weekly</v>
      </c>
      <c r="AH533" t="str">
        <f>IF(TblFeedFile1[[#This Row],[Return to Work Date ]]="","","Y")</f>
        <v/>
      </c>
    </row>
    <row r="534" spans="1:34" x14ac:dyDescent="0.25">
      <c r="A534" t="s">
        <v>37</v>
      </c>
      <c r="B534">
        <v>314304</v>
      </c>
      <c r="C534">
        <v>23215310</v>
      </c>
      <c r="D534" s="1" t="s">
        <v>765</v>
      </c>
      <c r="E534" t="s">
        <v>766</v>
      </c>
      <c r="F534" t="s">
        <v>767</v>
      </c>
      <c r="G534">
        <v>20170113</v>
      </c>
      <c r="H534">
        <v>20170122</v>
      </c>
      <c r="I534" t="s">
        <v>49</v>
      </c>
      <c r="L534" t="s">
        <v>35</v>
      </c>
      <c r="AD534">
        <v>20170124</v>
      </c>
      <c r="AF534" t="str">
        <f>IFERROR(VLOOKUP(RIGHT(TblFeedFile1[[#This Row],[Leave Type ]],6),LkupPayType[],2,FALSE),"TBD")</f>
        <v>TBD</v>
      </c>
      <c r="AG534" t="str">
        <f>IFERROR(VLOOKUP(TblFeedFile1[[#This Row],[ Report Number ]],LkupPayrollCycle[],2,FALSE),"TBD")</f>
        <v>Bi-Weekly</v>
      </c>
      <c r="AH534" t="str">
        <f>IF(TblFeedFile1[[#This Row],[Return to Work Date ]]="","","Y")</f>
        <v/>
      </c>
    </row>
    <row r="535" spans="1:34" x14ac:dyDescent="0.25">
      <c r="A535" t="s">
        <v>37</v>
      </c>
      <c r="B535">
        <v>314304</v>
      </c>
      <c r="C535">
        <v>23215310</v>
      </c>
      <c r="D535" s="1" t="s">
        <v>765</v>
      </c>
      <c r="E535" t="s">
        <v>766</v>
      </c>
      <c r="F535" t="s">
        <v>767</v>
      </c>
      <c r="G535">
        <v>20170123</v>
      </c>
      <c r="H535">
        <v>20170123</v>
      </c>
      <c r="I535" t="s">
        <v>33</v>
      </c>
      <c r="L535" t="s">
        <v>35</v>
      </c>
      <c r="AD535">
        <v>20170124</v>
      </c>
      <c r="AF535" t="str">
        <f>IFERROR(VLOOKUP(RIGHT(TblFeedFile1[[#This Row],[Leave Type ]],6),LkupPayType[],2,FALSE),"TBD")</f>
        <v>TBD</v>
      </c>
      <c r="AG535" t="str">
        <f>IFERROR(VLOOKUP(TblFeedFile1[[#This Row],[ Report Number ]],LkupPayrollCycle[],2,FALSE),"TBD")</f>
        <v>Bi-Weekly</v>
      </c>
      <c r="AH535" t="str">
        <f>IF(TblFeedFile1[[#This Row],[Return to Work Date ]]="","","Y")</f>
        <v/>
      </c>
    </row>
    <row r="536" spans="1:34" x14ac:dyDescent="0.25">
      <c r="A536" t="s">
        <v>37</v>
      </c>
      <c r="B536">
        <v>314304</v>
      </c>
      <c r="C536">
        <v>23219003</v>
      </c>
      <c r="D536" s="1" t="s">
        <v>768</v>
      </c>
      <c r="E536" t="s">
        <v>769</v>
      </c>
      <c r="F536" t="s">
        <v>770</v>
      </c>
      <c r="G536">
        <v>20170120</v>
      </c>
      <c r="H536">
        <v>20170512</v>
      </c>
      <c r="I536" t="s">
        <v>223</v>
      </c>
      <c r="L536" t="s">
        <v>34</v>
      </c>
      <c r="M536" t="s">
        <v>34</v>
      </c>
      <c r="N536" t="s">
        <v>35</v>
      </c>
      <c r="O536" t="s">
        <v>35</v>
      </c>
      <c r="P536" t="s">
        <v>35</v>
      </c>
      <c r="Q536" t="s">
        <v>35</v>
      </c>
      <c r="R536" t="s">
        <v>35</v>
      </c>
      <c r="S536" t="s">
        <v>34</v>
      </c>
      <c r="AD536">
        <v>20170124</v>
      </c>
      <c r="AF536" t="str">
        <f>IFERROR(VLOOKUP(RIGHT(TblFeedFile1[[#This Row],[Leave Type ]],6),LkupPayType[],2,FALSE),"TBD")</f>
        <v>TBD</v>
      </c>
      <c r="AG536" t="str">
        <f>IFERROR(VLOOKUP(TblFeedFile1[[#This Row],[ Report Number ]],LkupPayrollCycle[],2,FALSE),"TBD")</f>
        <v>Bi-Weekly</v>
      </c>
      <c r="AH536" t="str">
        <f>IF(TblFeedFile1[[#This Row],[Return to Work Date ]]="","","Y")</f>
        <v/>
      </c>
    </row>
    <row r="537" spans="1:34" x14ac:dyDescent="0.25">
      <c r="A537" t="s">
        <v>37</v>
      </c>
      <c r="B537">
        <v>314304</v>
      </c>
      <c r="C537">
        <v>23223236</v>
      </c>
      <c r="D537" s="1">
        <v>551701178165</v>
      </c>
      <c r="E537" t="s">
        <v>771</v>
      </c>
      <c r="F537" t="s">
        <v>772</v>
      </c>
      <c r="G537">
        <v>20170120</v>
      </c>
      <c r="H537">
        <v>20170331</v>
      </c>
      <c r="I537" t="s">
        <v>53</v>
      </c>
      <c r="L537" t="s">
        <v>34</v>
      </c>
      <c r="M537" t="s">
        <v>34</v>
      </c>
      <c r="N537" t="s">
        <v>35</v>
      </c>
      <c r="O537" t="s">
        <v>35</v>
      </c>
      <c r="P537" t="s">
        <v>35</v>
      </c>
      <c r="Q537" t="s">
        <v>35</v>
      </c>
      <c r="R537" t="s">
        <v>35</v>
      </c>
      <c r="S537" t="s">
        <v>34</v>
      </c>
      <c r="AD537">
        <v>20170124</v>
      </c>
      <c r="AF537" t="str">
        <f>IFERROR(VLOOKUP(RIGHT(TblFeedFile1[[#This Row],[Leave Type ]],6),LkupPayType[],2,FALSE),"TBD")</f>
        <v>TBD</v>
      </c>
      <c r="AG537" t="str">
        <f>IFERROR(VLOOKUP(TblFeedFile1[[#This Row],[ Report Number ]],LkupPayrollCycle[],2,FALSE),"TBD")</f>
        <v>Bi-Weekly</v>
      </c>
      <c r="AH537" t="str">
        <f>IF(TblFeedFile1[[#This Row],[Return to Work Date ]]="","","Y")</f>
        <v/>
      </c>
    </row>
    <row r="538" spans="1:34" x14ac:dyDescent="0.25">
      <c r="A538" t="s">
        <v>29</v>
      </c>
      <c r="B538">
        <v>314301</v>
      </c>
      <c r="C538">
        <v>23246836</v>
      </c>
      <c r="D538" s="1" t="s">
        <v>773</v>
      </c>
      <c r="E538" t="s">
        <v>522</v>
      </c>
      <c r="F538" t="s">
        <v>677</v>
      </c>
      <c r="G538">
        <v>20161025</v>
      </c>
      <c r="H538">
        <v>20170213</v>
      </c>
      <c r="I538" t="s">
        <v>223</v>
      </c>
      <c r="L538" t="s">
        <v>34</v>
      </c>
      <c r="M538" t="s">
        <v>34</v>
      </c>
      <c r="N538" t="s">
        <v>35</v>
      </c>
      <c r="O538" t="s">
        <v>35</v>
      </c>
      <c r="P538" t="s">
        <v>35</v>
      </c>
      <c r="Q538" t="s">
        <v>35</v>
      </c>
      <c r="R538" t="s">
        <v>35</v>
      </c>
      <c r="S538" t="s">
        <v>34</v>
      </c>
      <c r="AC538" t="s">
        <v>35</v>
      </c>
      <c r="AD538">
        <v>20170124</v>
      </c>
      <c r="AF538" t="str">
        <f>IFERROR(VLOOKUP(RIGHT(TblFeedFile1[[#This Row],[Leave Type ]],6),LkupPayType[],2,FALSE),"TBD")</f>
        <v>TBD</v>
      </c>
      <c r="AG538" t="str">
        <f>IFERROR(VLOOKUP(TblFeedFile1[[#This Row],[ Report Number ]],LkupPayrollCycle[],2,FALSE),"TBD")</f>
        <v>Semi-Monthly</v>
      </c>
      <c r="AH538" t="str">
        <f>IF(TblFeedFile1[[#This Row],[Return to Work Date ]]="","","Y")</f>
        <v/>
      </c>
    </row>
    <row r="539" spans="1:34" x14ac:dyDescent="0.25">
      <c r="A539" t="s">
        <v>37</v>
      </c>
      <c r="B539">
        <v>314301</v>
      </c>
      <c r="C539">
        <v>23246836</v>
      </c>
      <c r="D539" s="1" t="s">
        <v>773</v>
      </c>
      <c r="E539" t="s">
        <v>522</v>
      </c>
      <c r="F539" t="s">
        <v>677</v>
      </c>
      <c r="G539">
        <v>20161025</v>
      </c>
      <c r="H539">
        <v>20170116</v>
      </c>
      <c r="I539" t="s">
        <v>223</v>
      </c>
      <c r="L539" t="s">
        <v>34</v>
      </c>
      <c r="M539" t="s">
        <v>34</v>
      </c>
      <c r="N539" t="s">
        <v>35</v>
      </c>
      <c r="O539" t="s">
        <v>35</v>
      </c>
      <c r="P539" t="s">
        <v>35</v>
      </c>
      <c r="Q539" t="s">
        <v>35</v>
      </c>
      <c r="R539" t="s">
        <v>35</v>
      </c>
      <c r="S539" t="s">
        <v>34</v>
      </c>
      <c r="AC539" t="s">
        <v>35</v>
      </c>
      <c r="AD539">
        <v>20170124</v>
      </c>
      <c r="AF539" t="str">
        <f>IFERROR(VLOOKUP(RIGHT(TblFeedFile1[[#This Row],[Leave Type ]],6),LkupPayType[],2,FALSE),"TBD")</f>
        <v>TBD</v>
      </c>
      <c r="AG539" t="str">
        <f>IFERROR(VLOOKUP(TblFeedFile1[[#This Row],[ Report Number ]],LkupPayrollCycle[],2,FALSE),"TBD")</f>
        <v>Semi-Monthly</v>
      </c>
      <c r="AH539" t="str">
        <f>IF(TblFeedFile1[[#This Row],[Return to Work Date ]]="","","Y")</f>
        <v/>
      </c>
    </row>
    <row r="540" spans="1:34" x14ac:dyDescent="0.25">
      <c r="A540" t="s">
        <v>37</v>
      </c>
      <c r="B540">
        <v>314301</v>
      </c>
      <c r="C540">
        <v>23246836</v>
      </c>
      <c r="D540" s="1" t="s">
        <v>773</v>
      </c>
      <c r="E540" t="s">
        <v>522</v>
      </c>
      <c r="F540" t="s">
        <v>677</v>
      </c>
      <c r="G540">
        <v>20170117</v>
      </c>
      <c r="H540">
        <v>20170117</v>
      </c>
      <c r="I540" t="s">
        <v>33</v>
      </c>
      <c r="L540" t="s">
        <v>34</v>
      </c>
      <c r="M540" t="s">
        <v>34</v>
      </c>
      <c r="N540" t="s">
        <v>35</v>
      </c>
      <c r="O540" t="s">
        <v>35</v>
      </c>
      <c r="P540" t="s">
        <v>35</v>
      </c>
      <c r="Q540" t="s">
        <v>35</v>
      </c>
      <c r="R540" t="s">
        <v>35</v>
      </c>
      <c r="S540" t="s">
        <v>34</v>
      </c>
      <c r="AC540" t="s">
        <v>35</v>
      </c>
      <c r="AD540">
        <v>20170124</v>
      </c>
      <c r="AF540" t="str">
        <f>IFERROR(VLOOKUP(RIGHT(TblFeedFile1[[#This Row],[Leave Type ]],6),LkupPayType[],2,FALSE),"TBD")</f>
        <v>TBD</v>
      </c>
      <c r="AG540" t="str">
        <f>IFERROR(VLOOKUP(TblFeedFile1[[#This Row],[ Report Number ]],LkupPayrollCycle[],2,FALSE),"TBD")</f>
        <v>Semi-Monthly</v>
      </c>
      <c r="AH540" t="str">
        <f>IF(TblFeedFile1[[#This Row],[Return to Work Date ]]="","","Y")</f>
        <v/>
      </c>
    </row>
    <row r="541" spans="1:34" x14ac:dyDescent="0.25">
      <c r="A541" t="s">
        <v>37</v>
      </c>
      <c r="B541">
        <v>314305</v>
      </c>
      <c r="C541">
        <v>23255654</v>
      </c>
      <c r="D541" s="1" t="s">
        <v>774</v>
      </c>
      <c r="E541" t="s">
        <v>775</v>
      </c>
      <c r="F541" t="s">
        <v>776</v>
      </c>
      <c r="G541">
        <v>20170124</v>
      </c>
      <c r="H541">
        <v>20170630</v>
      </c>
      <c r="I541" t="s">
        <v>36</v>
      </c>
      <c r="L541" t="s">
        <v>35</v>
      </c>
      <c r="AD541">
        <v>20170124</v>
      </c>
      <c r="AF541" t="str">
        <f>IFERROR(VLOOKUP(RIGHT(TblFeedFile1[[#This Row],[Leave Type ]],6),LkupPayType[],2,FALSE),"TBD")</f>
        <v>TBD</v>
      </c>
      <c r="AG541" t="str">
        <f>IFERROR(VLOOKUP(TblFeedFile1[[#This Row],[ Report Number ]],LkupPayrollCycle[],2,FALSE),"TBD")</f>
        <v>Bi-Weekly</v>
      </c>
      <c r="AH541" t="str">
        <f>IF(TblFeedFile1[[#This Row],[Return to Work Date ]]="","","Y")</f>
        <v/>
      </c>
    </row>
    <row r="542" spans="1:34" x14ac:dyDescent="0.25">
      <c r="A542" t="s">
        <v>37</v>
      </c>
      <c r="B542">
        <v>314304</v>
      </c>
      <c r="C542">
        <v>23258413</v>
      </c>
      <c r="D542" s="1" t="s">
        <v>777</v>
      </c>
      <c r="E542" t="s">
        <v>778</v>
      </c>
      <c r="F542" t="s">
        <v>779</v>
      </c>
      <c r="G542">
        <v>20170124</v>
      </c>
      <c r="H542">
        <v>20170820</v>
      </c>
      <c r="I542" t="s">
        <v>36</v>
      </c>
      <c r="L542" t="s">
        <v>34</v>
      </c>
      <c r="M542" t="s">
        <v>34</v>
      </c>
      <c r="N542" t="s">
        <v>35</v>
      </c>
      <c r="O542" t="s">
        <v>35</v>
      </c>
      <c r="P542" t="s">
        <v>35</v>
      </c>
      <c r="Q542" t="s">
        <v>35</v>
      </c>
      <c r="R542" t="s">
        <v>35</v>
      </c>
      <c r="S542" t="s">
        <v>34</v>
      </c>
      <c r="AD542">
        <v>20170124</v>
      </c>
      <c r="AF542" t="str">
        <f>IFERROR(VLOOKUP(RIGHT(TblFeedFile1[[#This Row],[Leave Type ]],6),LkupPayType[],2,FALSE),"TBD")</f>
        <v>TBD</v>
      </c>
      <c r="AG542" t="str">
        <f>IFERROR(VLOOKUP(TblFeedFile1[[#This Row],[ Report Number ]],LkupPayrollCycle[],2,FALSE),"TBD")</f>
        <v>Bi-Weekly</v>
      </c>
      <c r="AH542" t="str">
        <f>IF(TblFeedFile1[[#This Row],[Return to Work Date ]]="","","Y")</f>
        <v/>
      </c>
    </row>
    <row r="543" spans="1:34" x14ac:dyDescent="0.25">
      <c r="A543" t="s">
        <v>37</v>
      </c>
      <c r="B543">
        <v>314304</v>
      </c>
      <c r="C543">
        <v>23266514</v>
      </c>
      <c r="D543" s="1">
        <v>521612208392</v>
      </c>
      <c r="E543" t="s">
        <v>775</v>
      </c>
      <c r="F543" t="s">
        <v>780</v>
      </c>
      <c r="G543">
        <v>20170123</v>
      </c>
      <c r="H543">
        <v>20170422</v>
      </c>
      <c r="I543" t="s">
        <v>53</v>
      </c>
      <c r="L543" t="s">
        <v>34</v>
      </c>
      <c r="M543" t="s">
        <v>34</v>
      </c>
      <c r="N543" t="s">
        <v>35</v>
      </c>
      <c r="O543" t="s">
        <v>35</v>
      </c>
      <c r="P543" t="s">
        <v>35</v>
      </c>
      <c r="Q543" t="s">
        <v>35</v>
      </c>
      <c r="R543" t="s">
        <v>35</v>
      </c>
      <c r="S543" t="s">
        <v>34</v>
      </c>
      <c r="AD543">
        <v>20170124</v>
      </c>
      <c r="AF543" t="str">
        <f>IFERROR(VLOOKUP(RIGHT(TblFeedFile1[[#This Row],[Leave Type ]],6),LkupPayType[],2,FALSE),"TBD")</f>
        <v>TBD</v>
      </c>
      <c r="AG543" t="str">
        <f>IFERROR(VLOOKUP(TblFeedFile1[[#This Row],[ Report Number ]],LkupPayrollCycle[],2,FALSE),"TBD")</f>
        <v>Bi-Weekly</v>
      </c>
      <c r="AH543" t="str">
        <f>IF(TblFeedFile1[[#This Row],[Return to Work Date ]]="","","Y")</f>
        <v/>
      </c>
    </row>
    <row r="544" spans="1:34" x14ac:dyDescent="0.25">
      <c r="A544" t="s">
        <v>37</v>
      </c>
      <c r="B544">
        <v>314304</v>
      </c>
      <c r="C544">
        <v>23272242</v>
      </c>
      <c r="D544" s="1">
        <v>511701238269</v>
      </c>
      <c r="E544" t="s">
        <v>781</v>
      </c>
      <c r="F544" t="s">
        <v>782</v>
      </c>
      <c r="G544">
        <v>20170113</v>
      </c>
      <c r="I544" t="s">
        <v>53</v>
      </c>
      <c r="L544" t="s">
        <v>34</v>
      </c>
      <c r="M544" t="s">
        <v>34</v>
      </c>
      <c r="N544" t="s">
        <v>35</v>
      </c>
      <c r="O544" t="s">
        <v>35</v>
      </c>
      <c r="P544" t="s">
        <v>35</v>
      </c>
      <c r="Q544" t="s">
        <v>35</v>
      </c>
      <c r="R544" t="s">
        <v>35</v>
      </c>
      <c r="S544" t="s">
        <v>34</v>
      </c>
      <c r="AD544">
        <v>20170124</v>
      </c>
      <c r="AF544" t="str">
        <f>IFERROR(VLOOKUP(RIGHT(TblFeedFile1[[#This Row],[Leave Type ]],6),LkupPayType[],2,FALSE),"TBD")</f>
        <v>TBD</v>
      </c>
      <c r="AG544" t="str">
        <f>IFERROR(VLOOKUP(TblFeedFile1[[#This Row],[ Report Number ]],LkupPayrollCycle[],2,FALSE),"TBD")</f>
        <v>Bi-Weekly</v>
      </c>
      <c r="AH544" t="str">
        <f>IF(TblFeedFile1[[#This Row],[Return to Work Date ]]="","","Y")</f>
        <v/>
      </c>
    </row>
    <row r="545" spans="1:34" x14ac:dyDescent="0.25">
      <c r="A545" t="s">
        <v>29</v>
      </c>
      <c r="B545">
        <v>314304</v>
      </c>
      <c r="C545">
        <v>23273169</v>
      </c>
      <c r="D545" s="1" t="s">
        <v>783</v>
      </c>
      <c r="E545" t="s">
        <v>112</v>
      </c>
      <c r="F545" t="s">
        <v>784</v>
      </c>
      <c r="G545">
        <v>20170104</v>
      </c>
      <c r="H545">
        <v>20170104</v>
      </c>
      <c r="I545" t="s">
        <v>43</v>
      </c>
      <c r="L545" t="s">
        <v>34</v>
      </c>
      <c r="M545" t="s">
        <v>34</v>
      </c>
      <c r="N545" t="s">
        <v>35</v>
      </c>
      <c r="O545" t="s">
        <v>35</v>
      </c>
      <c r="P545" t="s">
        <v>35</v>
      </c>
      <c r="Q545" t="s">
        <v>35</v>
      </c>
      <c r="R545" t="s">
        <v>35</v>
      </c>
      <c r="S545" t="s">
        <v>34</v>
      </c>
      <c r="AD545">
        <v>20170124</v>
      </c>
      <c r="AF545" t="str">
        <f>IFERROR(VLOOKUP(RIGHT(TblFeedFile1[[#This Row],[Leave Type ]],6),LkupPayType[],2,FALSE),"TBD")</f>
        <v>TBD</v>
      </c>
      <c r="AG545" t="str">
        <f>IFERROR(VLOOKUP(TblFeedFile1[[#This Row],[ Report Number ]],LkupPayrollCycle[],2,FALSE),"TBD")</f>
        <v>Bi-Weekly</v>
      </c>
      <c r="AH545" t="str">
        <f>IF(TblFeedFile1[[#This Row],[Return to Work Date ]]="","","Y")</f>
        <v/>
      </c>
    </row>
    <row r="546" spans="1:34" x14ac:dyDescent="0.25">
      <c r="A546" t="s">
        <v>37</v>
      </c>
      <c r="B546">
        <v>314304</v>
      </c>
      <c r="C546">
        <v>23273169</v>
      </c>
      <c r="D546" s="1" t="s">
        <v>783</v>
      </c>
      <c r="E546" t="s">
        <v>112</v>
      </c>
      <c r="F546" t="s">
        <v>784</v>
      </c>
      <c r="G546">
        <v>20170111</v>
      </c>
      <c r="H546">
        <v>20170221</v>
      </c>
      <c r="I546" t="s">
        <v>36</v>
      </c>
      <c r="L546" t="s">
        <v>34</v>
      </c>
      <c r="M546" t="s">
        <v>34</v>
      </c>
      <c r="N546" t="s">
        <v>35</v>
      </c>
      <c r="O546" t="s">
        <v>35</v>
      </c>
      <c r="P546" t="s">
        <v>35</v>
      </c>
      <c r="Q546" t="s">
        <v>35</v>
      </c>
      <c r="R546" t="s">
        <v>35</v>
      </c>
      <c r="S546" t="s">
        <v>34</v>
      </c>
      <c r="AD546">
        <v>20170124</v>
      </c>
      <c r="AF546" t="str">
        <f>IFERROR(VLOOKUP(RIGHT(TblFeedFile1[[#This Row],[Leave Type ]],6),LkupPayType[],2,FALSE),"TBD")</f>
        <v>TBD</v>
      </c>
      <c r="AG546" t="str">
        <f>IFERROR(VLOOKUP(TblFeedFile1[[#This Row],[ Report Number ]],LkupPayrollCycle[],2,FALSE),"TBD")</f>
        <v>Bi-Weekly</v>
      </c>
      <c r="AH546" t="str">
        <f>IF(TblFeedFile1[[#This Row],[Return to Work Date ]]="","","Y")</f>
        <v/>
      </c>
    </row>
    <row r="547" spans="1:34" x14ac:dyDescent="0.25">
      <c r="A547" t="s">
        <v>37</v>
      </c>
      <c r="B547">
        <v>314305</v>
      </c>
      <c r="C547">
        <v>23281878</v>
      </c>
      <c r="D547" s="1" t="s">
        <v>785</v>
      </c>
      <c r="E547" t="s">
        <v>544</v>
      </c>
      <c r="F547" t="s">
        <v>786</v>
      </c>
      <c r="G547">
        <v>20170124</v>
      </c>
      <c r="H547">
        <v>20170124</v>
      </c>
      <c r="I547" t="s">
        <v>43</v>
      </c>
      <c r="L547" t="s">
        <v>34</v>
      </c>
      <c r="M547" t="s">
        <v>34</v>
      </c>
      <c r="N547" t="s">
        <v>35</v>
      </c>
      <c r="O547" t="s">
        <v>35</v>
      </c>
      <c r="P547" t="s">
        <v>35</v>
      </c>
      <c r="Q547" t="s">
        <v>35</v>
      </c>
      <c r="R547" t="s">
        <v>35</v>
      </c>
      <c r="S547" t="s">
        <v>34</v>
      </c>
      <c r="AD547">
        <v>20170124</v>
      </c>
      <c r="AF547" t="str">
        <f>IFERROR(VLOOKUP(RIGHT(TblFeedFile1[[#This Row],[Leave Type ]],6),LkupPayType[],2,FALSE),"TBD")</f>
        <v>TBD</v>
      </c>
      <c r="AG547" t="str">
        <f>IFERROR(VLOOKUP(TblFeedFile1[[#This Row],[ Report Number ]],LkupPayrollCycle[],2,FALSE),"TBD")</f>
        <v>Bi-Weekly</v>
      </c>
      <c r="AH547" t="str">
        <f>IF(TblFeedFile1[[#This Row],[Return to Work Date ]]="","","Y")</f>
        <v/>
      </c>
    </row>
    <row r="548" spans="1:34" x14ac:dyDescent="0.25">
      <c r="A548" t="s">
        <v>37</v>
      </c>
      <c r="B548">
        <v>314304</v>
      </c>
      <c r="C548">
        <v>23282836</v>
      </c>
      <c r="D548" s="1" t="s">
        <v>787</v>
      </c>
      <c r="E548" t="s">
        <v>109</v>
      </c>
      <c r="F548" t="s">
        <v>788</v>
      </c>
      <c r="G548">
        <v>20170121</v>
      </c>
      <c r="H548">
        <v>20170121</v>
      </c>
      <c r="I548" t="s">
        <v>33</v>
      </c>
      <c r="L548" t="s">
        <v>34</v>
      </c>
      <c r="M548" t="s">
        <v>34</v>
      </c>
      <c r="N548" t="s">
        <v>35</v>
      </c>
      <c r="O548" t="s">
        <v>35</v>
      </c>
      <c r="P548" t="s">
        <v>35</v>
      </c>
      <c r="Q548" t="s">
        <v>35</v>
      </c>
      <c r="R548" t="s">
        <v>35</v>
      </c>
      <c r="S548" t="s">
        <v>34</v>
      </c>
      <c r="AC548" t="s">
        <v>35</v>
      </c>
      <c r="AD548">
        <v>20170124</v>
      </c>
      <c r="AF548" t="str">
        <f>IFERROR(VLOOKUP(RIGHT(TblFeedFile1[[#This Row],[Leave Type ]],6),LkupPayType[],2,FALSE),"TBD")</f>
        <v>TBD</v>
      </c>
      <c r="AG548" t="str">
        <f>IFERROR(VLOOKUP(TblFeedFile1[[#This Row],[ Report Number ]],LkupPayrollCycle[],2,FALSE),"TBD")</f>
        <v>Bi-Weekly</v>
      </c>
      <c r="AH548" t="str">
        <f>IF(TblFeedFile1[[#This Row],[Return to Work Date ]]="","","Y")</f>
        <v/>
      </c>
    </row>
    <row r="549" spans="1:34" x14ac:dyDescent="0.25">
      <c r="A549" t="s">
        <v>37</v>
      </c>
      <c r="B549">
        <v>314304</v>
      </c>
      <c r="C549">
        <v>23296154</v>
      </c>
      <c r="D549" s="1" t="s">
        <v>789</v>
      </c>
      <c r="E549" t="s">
        <v>790</v>
      </c>
      <c r="F549" t="s">
        <v>791</v>
      </c>
      <c r="G549">
        <v>20170123</v>
      </c>
      <c r="H549">
        <v>20170210</v>
      </c>
      <c r="I549" t="s">
        <v>49</v>
      </c>
      <c r="L549" t="s">
        <v>34</v>
      </c>
      <c r="M549" t="s">
        <v>34</v>
      </c>
      <c r="N549" t="s">
        <v>35</v>
      </c>
      <c r="O549" t="s">
        <v>35</v>
      </c>
      <c r="P549" t="s">
        <v>35</v>
      </c>
      <c r="Q549" t="s">
        <v>35</v>
      </c>
      <c r="R549" t="s">
        <v>35</v>
      </c>
      <c r="S549" t="s">
        <v>34</v>
      </c>
      <c r="AD549">
        <v>20170124</v>
      </c>
      <c r="AF549" t="str">
        <f>IFERROR(VLOOKUP(RIGHT(TblFeedFile1[[#This Row],[Leave Type ]],6),LkupPayType[],2,FALSE),"TBD")</f>
        <v>TBD</v>
      </c>
      <c r="AG549" t="str">
        <f>IFERROR(VLOOKUP(TblFeedFile1[[#This Row],[ Report Number ]],LkupPayrollCycle[],2,FALSE),"TBD")</f>
        <v>Bi-Weekly</v>
      </c>
      <c r="AH549" t="str">
        <f>IF(TblFeedFile1[[#This Row],[Return to Work Date ]]="","","Y")</f>
        <v/>
      </c>
    </row>
    <row r="550" spans="1:34" x14ac:dyDescent="0.25">
      <c r="A550" t="s">
        <v>29</v>
      </c>
      <c r="B550">
        <v>314304</v>
      </c>
      <c r="C550">
        <v>23303296</v>
      </c>
      <c r="D550" s="1">
        <v>511701098621</v>
      </c>
      <c r="E550" t="s">
        <v>792</v>
      </c>
      <c r="F550" t="s">
        <v>793</v>
      </c>
      <c r="G550">
        <v>20170112</v>
      </c>
      <c r="H550">
        <v>20170429</v>
      </c>
      <c r="I550" t="s">
        <v>459</v>
      </c>
      <c r="L550" t="s">
        <v>34</v>
      </c>
      <c r="M550" t="s">
        <v>34</v>
      </c>
      <c r="N550" t="s">
        <v>35</v>
      </c>
      <c r="O550" t="s">
        <v>34</v>
      </c>
      <c r="P550" t="s">
        <v>35</v>
      </c>
      <c r="Q550" t="s">
        <v>35</v>
      </c>
      <c r="R550" t="s">
        <v>35</v>
      </c>
      <c r="S550" t="s">
        <v>35</v>
      </c>
      <c r="AD550">
        <v>20170124</v>
      </c>
      <c r="AF550" t="str">
        <f>IFERROR(VLOOKUP(RIGHT(TblFeedFile1[[#This Row],[Leave Type ]],6),LkupPayType[],2,FALSE),"TBD")</f>
        <v>TBD</v>
      </c>
      <c r="AG550" t="str">
        <f>IFERROR(VLOOKUP(TblFeedFile1[[#This Row],[ Report Number ]],LkupPayrollCycle[],2,FALSE),"TBD")</f>
        <v>Bi-Weekly</v>
      </c>
      <c r="AH550" t="str">
        <f>IF(TblFeedFile1[[#This Row],[Return to Work Date ]]="","","Y")</f>
        <v/>
      </c>
    </row>
    <row r="551" spans="1:34" x14ac:dyDescent="0.25">
      <c r="A551" t="s">
        <v>29</v>
      </c>
      <c r="B551">
        <v>314304</v>
      </c>
      <c r="C551">
        <v>23303296</v>
      </c>
      <c r="D551" s="1">
        <v>511701098621</v>
      </c>
      <c r="E551" t="s">
        <v>792</v>
      </c>
      <c r="F551" t="s">
        <v>793</v>
      </c>
      <c r="G551">
        <v>20170109</v>
      </c>
      <c r="H551">
        <v>20170429</v>
      </c>
      <c r="I551" t="s">
        <v>155</v>
      </c>
      <c r="L551" t="s">
        <v>34</v>
      </c>
      <c r="M551" t="s">
        <v>34</v>
      </c>
      <c r="N551" t="s">
        <v>35</v>
      </c>
      <c r="O551" t="s">
        <v>34</v>
      </c>
      <c r="P551" t="s">
        <v>35</v>
      </c>
      <c r="Q551" t="s">
        <v>35</v>
      </c>
      <c r="R551" t="s">
        <v>35</v>
      </c>
      <c r="S551" t="s">
        <v>35</v>
      </c>
      <c r="AD551">
        <v>20170124</v>
      </c>
      <c r="AF551" t="str">
        <f>IFERROR(VLOOKUP(RIGHT(TblFeedFile1[[#This Row],[Leave Type ]],6),LkupPayType[],2,FALSE),"TBD")</f>
        <v>TBD</v>
      </c>
      <c r="AG551" t="str">
        <f>IFERROR(VLOOKUP(TblFeedFile1[[#This Row],[ Report Number ]],LkupPayrollCycle[],2,FALSE),"TBD")</f>
        <v>Bi-Weekly</v>
      </c>
      <c r="AH551" t="str">
        <f>IF(TblFeedFile1[[#This Row],[Return to Work Date ]]="","","Y")</f>
        <v/>
      </c>
    </row>
    <row r="552" spans="1:34" x14ac:dyDescent="0.25">
      <c r="A552" t="s">
        <v>29</v>
      </c>
      <c r="B552">
        <v>314304</v>
      </c>
      <c r="C552">
        <v>23303296</v>
      </c>
      <c r="D552" s="1">
        <v>511701098621</v>
      </c>
      <c r="E552" t="s">
        <v>792</v>
      </c>
      <c r="F552" t="s">
        <v>793</v>
      </c>
      <c r="G552">
        <v>20170105</v>
      </c>
      <c r="H552">
        <v>20170429</v>
      </c>
      <c r="I552" t="s">
        <v>53</v>
      </c>
      <c r="L552" t="s">
        <v>34</v>
      </c>
      <c r="M552" t="s">
        <v>34</v>
      </c>
      <c r="N552" t="s">
        <v>35</v>
      </c>
      <c r="O552" t="s">
        <v>34</v>
      </c>
      <c r="P552" t="s">
        <v>35</v>
      </c>
      <c r="Q552" t="s">
        <v>35</v>
      </c>
      <c r="R552" t="s">
        <v>35</v>
      </c>
      <c r="S552" t="s">
        <v>35</v>
      </c>
      <c r="AD552">
        <v>20170124</v>
      </c>
      <c r="AF552" t="str">
        <f>IFERROR(VLOOKUP(RIGHT(TblFeedFile1[[#This Row],[Leave Type ]],6),LkupPayType[],2,FALSE),"TBD")</f>
        <v>TBD</v>
      </c>
      <c r="AG552" t="str">
        <f>IFERROR(VLOOKUP(TblFeedFile1[[#This Row],[ Report Number ]],LkupPayrollCycle[],2,FALSE),"TBD")</f>
        <v>Bi-Weekly</v>
      </c>
      <c r="AH552" t="str">
        <f>IF(TblFeedFile1[[#This Row],[Return to Work Date ]]="","","Y")</f>
        <v/>
      </c>
    </row>
    <row r="553" spans="1:34" x14ac:dyDescent="0.25">
      <c r="A553" t="s">
        <v>37</v>
      </c>
      <c r="B553">
        <v>314304</v>
      </c>
      <c r="C553">
        <v>23303296</v>
      </c>
      <c r="D553" s="1">
        <v>511701098621</v>
      </c>
      <c r="E553" t="s">
        <v>792</v>
      </c>
      <c r="F553" t="s">
        <v>793</v>
      </c>
      <c r="G553">
        <v>20170106</v>
      </c>
      <c r="H553">
        <v>20170427</v>
      </c>
      <c r="I553" t="s">
        <v>155</v>
      </c>
      <c r="L553" t="s">
        <v>34</v>
      </c>
      <c r="M553" t="s">
        <v>34</v>
      </c>
      <c r="N553" t="s">
        <v>35</v>
      </c>
      <c r="O553" t="s">
        <v>34</v>
      </c>
      <c r="P553" t="s">
        <v>35</v>
      </c>
      <c r="Q553" t="s">
        <v>35</v>
      </c>
      <c r="R553" t="s">
        <v>35</v>
      </c>
      <c r="S553" t="s">
        <v>35</v>
      </c>
      <c r="AD553">
        <v>20170124</v>
      </c>
      <c r="AF553" t="str">
        <f>IFERROR(VLOOKUP(RIGHT(TblFeedFile1[[#This Row],[Leave Type ]],6),LkupPayType[],2,FALSE),"TBD")</f>
        <v>TBD</v>
      </c>
      <c r="AG553" t="str">
        <f>IFERROR(VLOOKUP(TblFeedFile1[[#This Row],[ Report Number ]],LkupPayrollCycle[],2,FALSE),"TBD")</f>
        <v>Bi-Weekly</v>
      </c>
      <c r="AH553" t="str">
        <f>IF(TblFeedFile1[[#This Row],[Return to Work Date ]]="","","Y")</f>
        <v/>
      </c>
    </row>
    <row r="554" spans="1:34" x14ac:dyDescent="0.25">
      <c r="A554" t="s">
        <v>37</v>
      </c>
      <c r="B554">
        <v>314304</v>
      </c>
      <c r="C554">
        <v>23303296</v>
      </c>
      <c r="D554" s="1">
        <v>511701098621</v>
      </c>
      <c r="E554" t="s">
        <v>792</v>
      </c>
      <c r="F554" t="s">
        <v>793</v>
      </c>
      <c r="G554">
        <v>20170113</v>
      </c>
      <c r="H554">
        <v>20170427</v>
      </c>
      <c r="I554" t="s">
        <v>459</v>
      </c>
      <c r="L554" t="s">
        <v>34</v>
      </c>
      <c r="M554" t="s">
        <v>34</v>
      </c>
      <c r="N554" t="s">
        <v>35</v>
      </c>
      <c r="O554" t="s">
        <v>34</v>
      </c>
      <c r="P554" t="s">
        <v>35</v>
      </c>
      <c r="Q554" t="s">
        <v>35</v>
      </c>
      <c r="R554" t="s">
        <v>35</v>
      </c>
      <c r="S554" t="s">
        <v>35</v>
      </c>
      <c r="AD554">
        <v>20170124</v>
      </c>
      <c r="AF554" t="str">
        <f>IFERROR(VLOOKUP(RIGHT(TblFeedFile1[[#This Row],[Leave Type ]],6),LkupPayType[],2,FALSE),"TBD")</f>
        <v>TBD</v>
      </c>
      <c r="AG554" t="str">
        <f>IFERROR(VLOOKUP(TblFeedFile1[[#This Row],[ Report Number ]],LkupPayrollCycle[],2,FALSE),"TBD")</f>
        <v>Bi-Weekly</v>
      </c>
      <c r="AH554" t="str">
        <f>IF(TblFeedFile1[[#This Row],[Return to Work Date ]]="","","Y")</f>
        <v/>
      </c>
    </row>
    <row r="555" spans="1:34" x14ac:dyDescent="0.25">
      <c r="A555" t="s">
        <v>37</v>
      </c>
      <c r="B555">
        <v>314304</v>
      </c>
      <c r="C555">
        <v>23345562</v>
      </c>
      <c r="D555" s="1">
        <v>511701118259</v>
      </c>
      <c r="E555" t="s">
        <v>794</v>
      </c>
      <c r="F555" t="s">
        <v>554</v>
      </c>
      <c r="G555">
        <v>20170123</v>
      </c>
      <c r="H555">
        <v>20170307</v>
      </c>
      <c r="I555" t="s">
        <v>40</v>
      </c>
      <c r="L555" t="s">
        <v>34</v>
      </c>
      <c r="M555" t="s">
        <v>34</v>
      </c>
      <c r="N555" t="s">
        <v>35</v>
      </c>
      <c r="O555" t="s">
        <v>35</v>
      </c>
      <c r="P555" t="s">
        <v>35</v>
      </c>
      <c r="Q555" t="s">
        <v>35</v>
      </c>
      <c r="R555" t="s">
        <v>35</v>
      </c>
      <c r="S555" t="s">
        <v>34</v>
      </c>
      <c r="AD555">
        <v>20170124</v>
      </c>
      <c r="AF555" t="str">
        <f>IFERROR(VLOOKUP(RIGHT(TblFeedFile1[[#This Row],[Leave Type ]],6),LkupPayType[],2,FALSE),"TBD")</f>
        <v>TBD</v>
      </c>
      <c r="AG555" t="str">
        <f>IFERROR(VLOOKUP(TblFeedFile1[[#This Row],[ Report Number ]],LkupPayrollCycle[],2,FALSE),"TBD")</f>
        <v>Bi-Weekly</v>
      </c>
      <c r="AH555" t="str">
        <f>IF(TblFeedFile1[[#This Row],[Return to Work Date ]]="","","Y")</f>
        <v/>
      </c>
    </row>
    <row r="556" spans="1:34" x14ac:dyDescent="0.25">
      <c r="A556" t="s">
        <v>37</v>
      </c>
      <c r="B556">
        <v>314304</v>
      </c>
      <c r="C556">
        <v>23352073</v>
      </c>
      <c r="D556" s="1" t="s">
        <v>795</v>
      </c>
      <c r="E556" t="s">
        <v>796</v>
      </c>
      <c r="F556" t="s">
        <v>797</v>
      </c>
      <c r="G556">
        <v>20170121</v>
      </c>
      <c r="H556">
        <v>20170121</v>
      </c>
      <c r="I556" t="s">
        <v>43</v>
      </c>
      <c r="L556" t="s">
        <v>34</v>
      </c>
      <c r="M556" t="s">
        <v>34</v>
      </c>
      <c r="N556" t="s">
        <v>35</v>
      </c>
      <c r="O556" t="s">
        <v>35</v>
      </c>
      <c r="P556" t="s">
        <v>35</v>
      </c>
      <c r="Q556" t="s">
        <v>35</v>
      </c>
      <c r="R556" t="s">
        <v>35</v>
      </c>
      <c r="S556" t="s">
        <v>34</v>
      </c>
      <c r="AD556">
        <v>20170124</v>
      </c>
      <c r="AF556" t="str">
        <f>IFERROR(VLOOKUP(RIGHT(TblFeedFile1[[#This Row],[Leave Type ]],6),LkupPayType[],2,FALSE),"TBD")</f>
        <v>TBD</v>
      </c>
      <c r="AG556" t="str">
        <f>IFERROR(VLOOKUP(TblFeedFile1[[#This Row],[ Report Number ]],LkupPayrollCycle[],2,FALSE),"TBD")</f>
        <v>Bi-Weekly</v>
      </c>
      <c r="AH556" t="str">
        <f>IF(TblFeedFile1[[#This Row],[Return to Work Date ]]="","","Y")</f>
        <v/>
      </c>
    </row>
    <row r="557" spans="1:34" x14ac:dyDescent="0.25">
      <c r="A557" t="s">
        <v>29</v>
      </c>
      <c r="B557">
        <v>314304</v>
      </c>
      <c r="C557">
        <v>23352402</v>
      </c>
      <c r="D557" s="1" t="s">
        <v>798</v>
      </c>
      <c r="E557" t="s">
        <v>799</v>
      </c>
      <c r="F557" t="s">
        <v>800</v>
      </c>
      <c r="G557">
        <v>20161229</v>
      </c>
      <c r="H557">
        <v>20161229</v>
      </c>
      <c r="I557" t="s">
        <v>33</v>
      </c>
      <c r="L557" t="s">
        <v>34</v>
      </c>
      <c r="M557" t="s">
        <v>34</v>
      </c>
      <c r="N557" t="s">
        <v>35</v>
      </c>
      <c r="O557" t="s">
        <v>35</v>
      </c>
      <c r="P557" t="s">
        <v>35</v>
      </c>
      <c r="Q557" t="s">
        <v>35</v>
      </c>
      <c r="R557" t="s">
        <v>35</v>
      </c>
      <c r="S557" t="s">
        <v>34</v>
      </c>
      <c r="AC557" t="s">
        <v>35</v>
      </c>
      <c r="AD557">
        <v>20170124</v>
      </c>
      <c r="AF557" t="str">
        <f>IFERROR(VLOOKUP(RIGHT(TblFeedFile1[[#This Row],[Leave Type ]],6),LkupPayType[],2,FALSE),"TBD")</f>
        <v>TBD</v>
      </c>
      <c r="AG557" t="str">
        <f>IFERROR(VLOOKUP(TblFeedFile1[[#This Row],[ Report Number ]],LkupPayrollCycle[],2,FALSE),"TBD")</f>
        <v>Bi-Weekly</v>
      </c>
      <c r="AH557" t="str">
        <f>IF(TblFeedFile1[[#This Row],[Return to Work Date ]]="","","Y")</f>
        <v/>
      </c>
    </row>
    <row r="558" spans="1:34" x14ac:dyDescent="0.25">
      <c r="A558" t="s">
        <v>37</v>
      </c>
      <c r="B558">
        <v>314304</v>
      </c>
      <c r="C558">
        <v>23352402</v>
      </c>
      <c r="D558" s="1" t="s">
        <v>798</v>
      </c>
      <c r="E558" t="s">
        <v>799</v>
      </c>
      <c r="F558" t="s">
        <v>800</v>
      </c>
      <c r="G558">
        <v>20161226</v>
      </c>
      <c r="H558">
        <v>20161228</v>
      </c>
      <c r="I558" t="s">
        <v>49</v>
      </c>
      <c r="L558" t="s">
        <v>34</v>
      </c>
      <c r="M558" t="s">
        <v>34</v>
      </c>
      <c r="N558" t="s">
        <v>35</v>
      </c>
      <c r="O558" t="s">
        <v>35</v>
      </c>
      <c r="P558" t="s">
        <v>35</v>
      </c>
      <c r="Q558" t="s">
        <v>35</v>
      </c>
      <c r="R558" t="s">
        <v>35</v>
      </c>
      <c r="S558" t="s">
        <v>34</v>
      </c>
      <c r="T558">
        <v>20161229</v>
      </c>
      <c r="AC558" t="s">
        <v>35</v>
      </c>
      <c r="AD558">
        <v>20170124</v>
      </c>
      <c r="AF558" t="str">
        <f>IFERROR(VLOOKUP(RIGHT(TblFeedFile1[[#This Row],[Leave Type ]],6),LkupPayType[],2,FALSE),"TBD")</f>
        <v>TBD</v>
      </c>
      <c r="AG558" t="str">
        <f>IFERROR(VLOOKUP(TblFeedFile1[[#This Row],[ Report Number ]],LkupPayrollCycle[],2,FALSE),"TBD")</f>
        <v>Bi-Weekly</v>
      </c>
      <c r="AH558" t="str">
        <f>IF(TblFeedFile1[[#This Row],[Return to Work Date ]]="","","Y")</f>
        <v>Y</v>
      </c>
    </row>
    <row r="559" spans="1:34" x14ac:dyDescent="0.25">
      <c r="A559" t="s">
        <v>37</v>
      </c>
      <c r="B559">
        <v>314304</v>
      </c>
      <c r="C559">
        <v>23364033</v>
      </c>
      <c r="D559" s="1">
        <v>561612288106</v>
      </c>
      <c r="E559" t="s">
        <v>801</v>
      </c>
      <c r="F559" t="s">
        <v>802</v>
      </c>
      <c r="G559">
        <v>20170118</v>
      </c>
      <c r="H559">
        <v>20170125</v>
      </c>
      <c r="I559" t="s">
        <v>40</v>
      </c>
      <c r="L559" t="s">
        <v>34</v>
      </c>
      <c r="M559" t="s">
        <v>34</v>
      </c>
      <c r="N559" t="s">
        <v>35</v>
      </c>
      <c r="O559" t="s">
        <v>35</v>
      </c>
      <c r="P559" t="s">
        <v>35</v>
      </c>
      <c r="Q559" t="s">
        <v>35</v>
      </c>
      <c r="R559" t="s">
        <v>35</v>
      </c>
      <c r="S559" t="s">
        <v>34</v>
      </c>
      <c r="T559">
        <v>20170126</v>
      </c>
      <c r="AD559">
        <v>20170124</v>
      </c>
      <c r="AF559" t="str">
        <f>IFERROR(VLOOKUP(RIGHT(TblFeedFile1[[#This Row],[Leave Type ]],6),LkupPayType[],2,FALSE),"TBD")</f>
        <v>TBD</v>
      </c>
      <c r="AG559" t="str">
        <f>IFERROR(VLOOKUP(TblFeedFile1[[#This Row],[ Report Number ]],LkupPayrollCycle[],2,FALSE),"TBD")</f>
        <v>Bi-Weekly</v>
      </c>
      <c r="AH559" t="str">
        <f>IF(TblFeedFile1[[#This Row],[Return to Work Date ]]="","","Y")</f>
        <v>Y</v>
      </c>
    </row>
    <row r="560" spans="1:34" x14ac:dyDescent="0.25">
      <c r="A560" t="s">
        <v>29</v>
      </c>
      <c r="B560">
        <v>314304</v>
      </c>
      <c r="C560">
        <v>23372734</v>
      </c>
      <c r="D560" s="1">
        <v>501701208978</v>
      </c>
      <c r="E560" t="s">
        <v>803</v>
      </c>
      <c r="F560" t="s">
        <v>804</v>
      </c>
      <c r="G560">
        <v>20170115</v>
      </c>
      <c r="I560" t="s">
        <v>53</v>
      </c>
      <c r="L560" t="s">
        <v>34</v>
      </c>
      <c r="M560" t="s">
        <v>34</v>
      </c>
      <c r="N560" t="s">
        <v>35</v>
      </c>
      <c r="O560" t="s">
        <v>35</v>
      </c>
      <c r="P560" t="s">
        <v>35</v>
      </c>
      <c r="Q560" t="s">
        <v>34</v>
      </c>
      <c r="R560" t="s">
        <v>35</v>
      </c>
      <c r="S560" t="s">
        <v>35</v>
      </c>
      <c r="AD560">
        <v>20170124</v>
      </c>
      <c r="AF560" t="str">
        <f>IFERROR(VLOOKUP(RIGHT(TblFeedFile1[[#This Row],[Leave Type ]],6),LkupPayType[],2,FALSE),"TBD")</f>
        <v>TBD</v>
      </c>
      <c r="AG560" t="str">
        <f>IFERROR(VLOOKUP(TblFeedFile1[[#This Row],[ Report Number ]],LkupPayrollCycle[],2,FALSE),"TBD")</f>
        <v>Bi-Weekly</v>
      </c>
      <c r="AH560" t="str">
        <f>IF(TblFeedFile1[[#This Row],[Return to Work Date ]]="","","Y")</f>
        <v/>
      </c>
    </row>
    <row r="561" spans="1:34" x14ac:dyDescent="0.25">
      <c r="A561" t="s">
        <v>37</v>
      </c>
      <c r="B561">
        <v>314304</v>
      </c>
      <c r="C561">
        <v>23372734</v>
      </c>
      <c r="D561" s="1">
        <v>501701208978</v>
      </c>
      <c r="E561" t="s">
        <v>803</v>
      </c>
      <c r="F561" t="s">
        <v>804</v>
      </c>
      <c r="G561">
        <v>20170116</v>
      </c>
      <c r="H561">
        <v>20170206</v>
      </c>
      <c r="I561" t="s">
        <v>53</v>
      </c>
      <c r="L561" t="s">
        <v>34</v>
      </c>
      <c r="M561" t="s">
        <v>34</v>
      </c>
      <c r="N561" t="s">
        <v>35</v>
      </c>
      <c r="O561" t="s">
        <v>35</v>
      </c>
      <c r="P561" t="s">
        <v>35</v>
      </c>
      <c r="Q561" t="s">
        <v>34</v>
      </c>
      <c r="R561" t="s">
        <v>35</v>
      </c>
      <c r="S561" t="s">
        <v>35</v>
      </c>
      <c r="AD561">
        <v>20170124</v>
      </c>
      <c r="AF561" t="str">
        <f>IFERROR(VLOOKUP(RIGHT(TblFeedFile1[[#This Row],[Leave Type ]],6),LkupPayType[],2,FALSE),"TBD")</f>
        <v>TBD</v>
      </c>
      <c r="AG561" t="str">
        <f>IFERROR(VLOOKUP(TblFeedFile1[[#This Row],[ Report Number ]],LkupPayrollCycle[],2,FALSE),"TBD")</f>
        <v>Bi-Weekly</v>
      </c>
      <c r="AH561" t="str">
        <f>IF(TblFeedFile1[[#This Row],[Return to Work Date ]]="","","Y")</f>
        <v/>
      </c>
    </row>
    <row r="562" spans="1:34" x14ac:dyDescent="0.25">
      <c r="A562" t="s">
        <v>37</v>
      </c>
      <c r="B562">
        <v>314304</v>
      </c>
      <c r="C562">
        <v>23372734</v>
      </c>
      <c r="D562" s="1">
        <v>501701208978</v>
      </c>
      <c r="E562" t="s">
        <v>803</v>
      </c>
      <c r="F562" t="s">
        <v>804</v>
      </c>
      <c r="G562">
        <v>20170123</v>
      </c>
      <c r="H562">
        <v>20170206</v>
      </c>
      <c r="I562" t="s">
        <v>40</v>
      </c>
      <c r="L562" t="s">
        <v>34</v>
      </c>
      <c r="M562" t="s">
        <v>34</v>
      </c>
      <c r="N562" t="s">
        <v>35</v>
      </c>
      <c r="O562" t="s">
        <v>35</v>
      </c>
      <c r="P562" t="s">
        <v>35</v>
      </c>
      <c r="Q562" t="s">
        <v>34</v>
      </c>
      <c r="R562" t="s">
        <v>35</v>
      </c>
      <c r="S562" t="s">
        <v>35</v>
      </c>
      <c r="AD562">
        <v>20170124</v>
      </c>
      <c r="AF562" t="str">
        <f>IFERROR(VLOOKUP(RIGHT(TblFeedFile1[[#This Row],[Leave Type ]],6),LkupPayType[],2,FALSE),"TBD")</f>
        <v>TBD</v>
      </c>
      <c r="AG562" t="str">
        <f>IFERROR(VLOOKUP(TblFeedFile1[[#This Row],[ Report Number ]],LkupPayrollCycle[],2,FALSE),"TBD")</f>
        <v>Bi-Weekly</v>
      </c>
      <c r="AH562" t="str">
        <f>IF(TblFeedFile1[[#This Row],[Return to Work Date ]]="","","Y")</f>
        <v/>
      </c>
    </row>
    <row r="563" spans="1:34" x14ac:dyDescent="0.25">
      <c r="A563" t="s">
        <v>37</v>
      </c>
      <c r="B563">
        <v>314304</v>
      </c>
      <c r="C563">
        <v>23407396</v>
      </c>
      <c r="D563" s="1" t="s">
        <v>805</v>
      </c>
      <c r="E563" t="s">
        <v>199</v>
      </c>
      <c r="F563" t="s">
        <v>806</v>
      </c>
      <c r="G563">
        <v>20170124</v>
      </c>
      <c r="H563">
        <v>20170224</v>
      </c>
      <c r="I563" t="s">
        <v>36</v>
      </c>
      <c r="L563" t="s">
        <v>34</v>
      </c>
      <c r="M563" t="s">
        <v>34</v>
      </c>
      <c r="N563" t="s">
        <v>35</v>
      </c>
      <c r="O563" t="s">
        <v>35</v>
      </c>
      <c r="P563" t="s">
        <v>35</v>
      </c>
      <c r="Q563" t="s">
        <v>35</v>
      </c>
      <c r="R563" t="s">
        <v>35</v>
      </c>
      <c r="S563" t="s">
        <v>34</v>
      </c>
      <c r="AD563">
        <v>20170124</v>
      </c>
      <c r="AF563" t="str">
        <f>IFERROR(VLOOKUP(RIGHT(TblFeedFile1[[#This Row],[Leave Type ]],6),LkupPayType[],2,FALSE),"TBD")</f>
        <v>TBD</v>
      </c>
      <c r="AG563" t="str">
        <f>IFERROR(VLOOKUP(TblFeedFile1[[#This Row],[ Report Number ]],LkupPayrollCycle[],2,FALSE),"TBD")</f>
        <v>Bi-Weekly</v>
      </c>
      <c r="AH563" t="str">
        <f>IF(TblFeedFile1[[#This Row],[Return to Work Date ]]="","","Y")</f>
        <v/>
      </c>
    </row>
    <row r="564" spans="1:34" x14ac:dyDescent="0.25">
      <c r="A564" t="s">
        <v>37</v>
      </c>
      <c r="B564">
        <v>314304</v>
      </c>
      <c r="C564">
        <v>23492916</v>
      </c>
      <c r="D564" s="1">
        <v>571701248497</v>
      </c>
      <c r="E564" t="s">
        <v>807</v>
      </c>
      <c r="F564" t="s">
        <v>808</v>
      </c>
      <c r="G564">
        <v>20170114</v>
      </c>
      <c r="I564" t="s">
        <v>53</v>
      </c>
      <c r="L564" t="s">
        <v>34</v>
      </c>
      <c r="M564" t="s">
        <v>34</v>
      </c>
      <c r="N564" t="s">
        <v>35</v>
      </c>
      <c r="O564" t="s">
        <v>35</v>
      </c>
      <c r="P564" t="s">
        <v>35</v>
      </c>
      <c r="Q564" t="s">
        <v>35</v>
      </c>
      <c r="R564" t="s">
        <v>35</v>
      </c>
      <c r="S564" t="s">
        <v>34</v>
      </c>
      <c r="AD564">
        <v>20170124</v>
      </c>
      <c r="AF564" t="str">
        <f>IFERROR(VLOOKUP(RIGHT(TblFeedFile1[[#This Row],[Leave Type ]],6),LkupPayType[],2,FALSE),"TBD")</f>
        <v>TBD</v>
      </c>
      <c r="AG564" t="str">
        <f>IFERROR(VLOOKUP(TblFeedFile1[[#This Row],[ Report Number ]],LkupPayrollCycle[],2,FALSE),"TBD")</f>
        <v>Bi-Weekly</v>
      </c>
      <c r="AH564" t="str">
        <f>IF(TblFeedFile1[[#This Row],[Return to Work Date ]]="","","Y")</f>
        <v/>
      </c>
    </row>
    <row r="565" spans="1:34" x14ac:dyDescent="0.25">
      <c r="A565" t="s">
        <v>29</v>
      </c>
      <c r="B565">
        <v>314304</v>
      </c>
      <c r="C565">
        <v>23502515</v>
      </c>
      <c r="D565" s="1">
        <v>511701208871</v>
      </c>
      <c r="E565" t="s">
        <v>809</v>
      </c>
      <c r="F565" t="s">
        <v>810</v>
      </c>
      <c r="G565">
        <v>20170119</v>
      </c>
      <c r="I565" t="s">
        <v>53</v>
      </c>
      <c r="L565" t="s">
        <v>34</v>
      </c>
      <c r="M565" t="s">
        <v>34</v>
      </c>
      <c r="N565" t="s">
        <v>35</v>
      </c>
      <c r="O565" t="s">
        <v>35</v>
      </c>
      <c r="P565" t="s">
        <v>35</v>
      </c>
      <c r="Q565" t="s">
        <v>35</v>
      </c>
      <c r="R565" t="s">
        <v>35</v>
      </c>
      <c r="S565" t="s">
        <v>34</v>
      </c>
      <c r="AD565">
        <v>20170124</v>
      </c>
      <c r="AF565" t="str">
        <f>IFERROR(VLOOKUP(RIGHT(TblFeedFile1[[#This Row],[Leave Type ]],6),LkupPayType[],2,FALSE),"TBD")</f>
        <v>TBD</v>
      </c>
      <c r="AG565" t="str">
        <f>IFERROR(VLOOKUP(TblFeedFile1[[#This Row],[ Report Number ]],LkupPayrollCycle[],2,FALSE),"TBD")</f>
        <v>Bi-Weekly</v>
      </c>
      <c r="AH565" t="str">
        <f>IF(TblFeedFile1[[#This Row],[Return to Work Date ]]="","","Y")</f>
        <v/>
      </c>
    </row>
    <row r="566" spans="1:34" x14ac:dyDescent="0.25">
      <c r="A566" t="s">
        <v>37</v>
      </c>
      <c r="B566">
        <v>314304</v>
      </c>
      <c r="C566">
        <v>23502515</v>
      </c>
      <c r="D566" s="1">
        <v>511701208871</v>
      </c>
      <c r="E566" t="s">
        <v>809</v>
      </c>
      <c r="F566" t="s">
        <v>810</v>
      </c>
      <c r="G566">
        <v>20170119</v>
      </c>
      <c r="H566">
        <v>20170314</v>
      </c>
      <c r="I566" t="s">
        <v>155</v>
      </c>
      <c r="L566" t="s">
        <v>34</v>
      </c>
      <c r="M566" t="s">
        <v>34</v>
      </c>
      <c r="N566" t="s">
        <v>35</v>
      </c>
      <c r="O566" t="s">
        <v>35</v>
      </c>
      <c r="P566" t="s">
        <v>35</v>
      </c>
      <c r="Q566" t="s">
        <v>35</v>
      </c>
      <c r="R566" t="s">
        <v>35</v>
      </c>
      <c r="S566" t="s">
        <v>34</v>
      </c>
      <c r="AD566">
        <v>20170124</v>
      </c>
      <c r="AF566" t="str">
        <f>IFERROR(VLOOKUP(RIGHT(TblFeedFile1[[#This Row],[Leave Type ]],6),LkupPayType[],2,FALSE),"TBD")</f>
        <v>TBD</v>
      </c>
      <c r="AG566" t="str">
        <f>IFERROR(VLOOKUP(TblFeedFile1[[#This Row],[ Report Number ]],LkupPayrollCycle[],2,FALSE),"TBD")</f>
        <v>Bi-Weekly</v>
      </c>
      <c r="AH566" t="str">
        <f>IF(TblFeedFile1[[#This Row],[Return to Work Date ]]="","","Y")</f>
        <v/>
      </c>
    </row>
    <row r="567" spans="1:34" x14ac:dyDescent="0.25">
      <c r="A567" t="s">
        <v>37</v>
      </c>
      <c r="B567">
        <v>314304</v>
      </c>
      <c r="C567">
        <v>23506498</v>
      </c>
      <c r="D567" s="1">
        <v>511701238299</v>
      </c>
      <c r="E567" t="s">
        <v>811</v>
      </c>
      <c r="F567" t="s">
        <v>812</v>
      </c>
      <c r="G567">
        <v>20170119</v>
      </c>
      <c r="H567">
        <v>20170511</v>
      </c>
      <c r="I567" t="s">
        <v>155</v>
      </c>
      <c r="L567" t="s">
        <v>34</v>
      </c>
      <c r="M567" t="s">
        <v>34</v>
      </c>
      <c r="N567" t="s">
        <v>35</v>
      </c>
      <c r="O567" t="s">
        <v>35</v>
      </c>
      <c r="P567" t="s">
        <v>35</v>
      </c>
      <c r="Q567" t="s">
        <v>35</v>
      </c>
      <c r="R567" t="s">
        <v>35</v>
      </c>
      <c r="S567" t="s">
        <v>34</v>
      </c>
      <c r="AD567">
        <v>20170124</v>
      </c>
      <c r="AF567" t="str">
        <f>IFERROR(VLOOKUP(RIGHT(TblFeedFile1[[#This Row],[Leave Type ]],6),LkupPayType[],2,FALSE),"TBD")</f>
        <v>TBD</v>
      </c>
      <c r="AG567" t="str">
        <f>IFERROR(VLOOKUP(TblFeedFile1[[#This Row],[ Report Number ]],LkupPayrollCycle[],2,FALSE),"TBD")</f>
        <v>Bi-Weekly</v>
      </c>
      <c r="AH567" t="str">
        <f>IF(TblFeedFile1[[#This Row],[Return to Work Date ]]="","","Y")</f>
        <v/>
      </c>
    </row>
    <row r="568" spans="1:34" x14ac:dyDescent="0.25">
      <c r="A568" t="s">
        <v>29</v>
      </c>
      <c r="B568">
        <v>314301</v>
      </c>
      <c r="C568">
        <v>23526003</v>
      </c>
      <c r="D568" s="1" t="s">
        <v>813</v>
      </c>
      <c r="E568" t="s">
        <v>790</v>
      </c>
      <c r="F568" t="s">
        <v>814</v>
      </c>
      <c r="G568">
        <v>20161227</v>
      </c>
      <c r="H568">
        <v>20170120</v>
      </c>
      <c r="I568" t="s">
        <v>156</v>
      </c>
      <c r="L568" t="s">
        <v>34</v>
      </c>
      <c r="M568" t="s">
        <v>34</v>
      </c>
      <c r="N568" t="s">
        <v>35</v>
      </c>
      <c r="O568" t="s">
        <v>35</v>
      </c>
      <c r="P568" t="s">
        <v>35</v>
      </c>
      <c r="Q568" t="s">
        <v>35</v>
      </c>
      <c r="R568" t="s">
        <v>35</v>
      </c>
      <c r="S568" t="s">
        <v>34</v>
      </c>
      <c r="AC568" t="s">
        <v>35</v>
      </c>
      <c r="AD568">
        <v>20170124</v>
      </c>
      <c r="AF568" t="str">
        <f>IFERROR(VLOOKUP(RIGHT(TblFeedFile1[[#This Row],[Leave Type ]],6),LkupPayType[],2,FALSE),"TBD")</f>
        <v>TBD</v>
      </c>
      <c r="AG568" t="str">
        <f>IFERROR(VLOOKUP(TblFeedFile1[[#This Row],[ Report Number ]],LkupPayrollCycle[],2,FALSE),"TBD")</f>
        <v>Semi-Monthly</v>
      </c>
      <c r="AH568" t="str">
        <f>IF(TblFeedFile1[[#This Row],[Return to Work Date ]]="","","Y")</f>
        <v/>
      </c>
    </row>
    <row r="569" spans="1:34" x14ac:dyDescent="0.25">
      <c r="A569" t="s">
        <v>37</v>
      </c>
      <c r="B569">
        <v>314304</v>
      </c>
      <c r="C569">
        <v>23571848</v>
      </c>
      <c r="D569" s="1">
        <v>571612288187</v>
      </c>
      <c r="E569" t="s">
        <v>815</v>
      </c>
      <c r="F569" t="s">
        <v>816</v>
      </c>
      <c r="G569">
        <v>20170123</v>
      </c>
      <c r="H569">
        <v>20180112</v>
      </c>
      <c r="I569" t="s">
        <v>40</v>
      </c>
      <c r="L569" t="s">
        <v>34</v>
      </c>
      <c r="M569" t="s">
        <v>34</v>
      </c>
      <c r="N569" t="s">
        <v>35</v>
      </c>
      <c r="O569" t="s">
        <v>35</v>
      </c>
      <c r="P569" t="s">
        <v>35</v>
      </c>
      <c r="Q569" t="s">
        <v>35</v>
      </c>
      <c r="R569" t="s">
        <v>35</v>
      </c>
      <c r="S569" t="s">
        <v>34</v>
      </c>
      <c r="Y569">
        <v>1173</v>
      </c>
      <c r="Z569" t="s">
        <v>306</v>
      </c>
      <c r="AA569">
        <v>20170123</v>
      </c>
      <c r="AB569">
        <v>20170711</v>
      </c>
      <c r="AD569">
        <v>20170124</v>
      </c>
      <c r="AF569" t="str">
        <f>IFERROR(VLOOKUP(RIGHT(TblFeedFile1[[#This Row],[Leave Type ]],6),LkupPayType[],2,FALSE),"TBD")</f>
        <v>TBD</v>
      </c>
      <c r="AG569" t="str">
        <f>IFERROR(VLOOKUP(TblFeedFile1[[#This Row],[ Report Number ]],LkupPayrollCycle[],2,FALSE),"TBD")</f>
        <v>Bi-Weekly</v>
      </c>
      <c r="AH569" t="str">
        <f>IF(TblFeedFile1[[#This Row],[Return to Work Date ]]="","","Y")</f>
        <v/>
      </c>
    </row>
    <row r="570" spans="1:34" x14ac:dyDescent="0.25">
      <c r="A570" t="s">
        <v>29</v>
      </c>
      <c r="B570">
        <v>314304</v>
      </c>
      <c r="C570">
        <v>23576807</v>
      </c>
      <c r="D570" s="1" t="s">
        <v>817</v>
      </c>
      <c r="E570" t="s">
        <v>818</v>
      </c>
      <c r="F570" t="s">
        <v>263</v>
      </c>
      <c r="G570">
        <v>20161224</v>
      </c>
      <c r="H570">
        <v>20161224</v>
      </c>
      <c r="I570" t="s">
        <v>33</v>
      </c>
      <c r="L570" t="s">
        <v>34</v>
      </c>
      <c r="M570" t="s">
        <v>34</v>
      </c>
      <c r="N570" t="s">
        <v>35</v>
      </c>
      <c r="O570" t="s">
        <v>35</v>
      </c>
      <c r="P570" t="s">
        <v>35</v>
      </c>
      <c r="Q570" t="s">
        <v>35</v>
      </c>
      <c r="R570" t="s">
        <v>35</v>
      </c>
      <c r="S570" t="s">
        <v>34</v>
      </c>
      <c r="AC570" t="s">
        <v>35</v>
      </c>
      <c r="AD570">
        <v>20170124</v>
      </c>
      <c r="AF570" t="str">
        <f>IFERROR(VLOOKUP(RIGHT(TblFeedFile1[[#This Row],[Leave Type ]],6),LkupPayType[],2,FALSE),"TBD")</f>
        <v>TBD</v>
      </c>
      <c r="AG570" t="str">
        <f>IFERROR(VLOOKUP(TblFeedFile1[[#This Row],[ Report Number ]],LkupPayrollCycle[],2,FALSE),"TBD")</f>
        <v>Bi-Weekly</v>
      </c>
      <c r="AH570" t="str">
        <f>IF(TblFeedFile1[[#This Row],[Return to Work Date ]]="","","Y")</f>
        <v/>
      </c>
    </row>
    <row r="571" spans="1:34" x14ac:dyDescent="0.25">
      <c r="A571" t="s">
        <v>37</v>
      </c>
      <c r="B571">
        <v>314304</v>
      </c>
      <c r="C571">
        <v>23576807</v>
      </c>
      <c r="D571" s="1" t="s">
        <v>817</v>
      </c>
      <c r="E571" t="s">
        <v>818</v>
      </c>
      <c r="F571" t="s">
        <v>263</v>
      </c>
      <c r="G571">
        <v>20161219</v>
      </c>
      <c r="H571">
        <v>20161223</v>
      </c>
      <c r="I571" t="s">
        <v>49</v>
      </c>
      <c r="L571" t="s">
        <v>34</v>
      </c>
      <c r="M571" t="s">
        <v>34</v>
      </c>
      <c r="N571" t="s">
        <v>35</v>
      </c>
      <c r="O571" t="s">
        <v>35</v>
      </c>
      <c r="P571" t="s">
        <v>35</v>
      </c>
      <c r="Q571" t="s">
        <v>35</v>
      </c>
      <c r="R571" t="s">
        <v>35</v>
      </c>
      <c r="S571" t="s">
        <v>34</v>
      </c>
      <c r="T571">
        <v>20161224</v>
      </c>
      <c r="AC571" t="s">
        <v>35</v>
      </c>
      <c r="AD571">
        <v>20170124</v>
      </c>
      <c r="AF571" t="str">
        <f>IFERROR(VLOOKUP(RIGHT(TblFeedFile1[[#This Row],[Leave Type ]],6),LkupPayType[],2,FALSE),"TBD")</f>
        <v>TBD</v>
      </c>
      <c r="AG571" t="str">
        <f>IFERROR(VLOOKUP(TblFeedFile1[[#This Row],[ Report Number ]],LkupPayrollCycle[],2,FALSE),"TBD")</f>
        <v>Bi-Weekly</v>
      </c>
      <c r="AH571" t="str">
        <f>IF(TblFeedFile1[[#This Row],[Return to Work Date ]]="","","Y")</f>
        <v>Y</v>
      </c>
    </row>
    <row r="572" spans="1:34" x14ac:dyDescent="0.25">
      <c r="A572" t="s">
        <v>29</v>
      </c>
      <c r="B572">
        <v>314304</v>
      </c>
      <c r="C572">
        <v>23614350</v>
      </c>
      <c r="D572" s="1" t="s">
        <v>819</v>
      </c>
      <c r="E572" t="s">
        <v>820</v>
      </c>
      <c r="F572" t="s">
        <v>821</v>
      </c>
      <c r="G572">
        <v>20161212</v>
      </c>
      <c r="H572">
        <v>20161216</v>
      </c>
      <c r="I572" t="s">
        <v>223</v>
      </c>
      <c r="L572" t="s">
        <v>34</v>
      </c>
      <c r="M572" t="s">
        <v>34</v>
      </c>
      <c r="N572" t="s">
        <v>35</v>
      </c>
      <c r="O572" t="s">
        <v>35</v>
      </c>
      <c r="P572" t="s">
        <v>35</v>
      </c>
      <c r="Q572" t="s">
        <v>35</v>
      </c>
      <c r="R572" t="s">
        <v>35</v>
      </c>
      <c r="S572" t="s">
        <v>34</v>
      </c>
      <c r="T572">
        <v>20170103</v>
      </c>
      <c r="AC572" t="s">
        <v>35</v>
      </c>
      <c r="AD572">
        <v>20170124</v>
      </c>
      <c r="AF572" t="str">
        <f>IFERROR(VLOOKUP(RIGHT(TblFeedFile1[[#This Row],[Leave Type ]],6),LkupPayType[],2,FALSE),"TBD")</f>
        <v>TBD</v>
      </c>
      <c r="AG572" t="str">
        <f>IFERROR(VLOOKUP(TblFeedFile1[[#This Row],[ Report Number ]],LkupPayrollCycle[],2,FALSE),"TBD")</f>
        <v>Bi-Weekly</v>
      </c>
      <c r="AH572" t="str">
        <f>IF(TblFeedFile1[[#This Row],[Return to Work Date ]]="","","Y")</f>
        <v>Y</v>
      </c>
    </row>
    <row r="573" spans="1:34" x14ac:dyDescent="0.25">
      <c r="A573" t="s">
        <v>37</v>
      </c>
      <c r="B573">
        <v>314304</v>
      </c>
      <c r="C573">
        <v>23614350</v>
      </c>
      <c r="D573" s="1" t="s">
        <v>819</v>
      </c>
      <c r="E573" t="s">
        <v>820</v>
      </c>
      <c r="F573" t="s">
        <v>821</v>
      </c>
      <c r="G573">
        <v>20161212</v>
      </c>
      <c r="H573">
        <v>20161216</v>
      </c>
      <c r="I573" t="s">
        <v>223</v>
      </c>
      <c r="L573" t="s">
        <v>34</v>
      </c>
      <c r="M573" t="s">
        <v>34</v>
      </c>
      <c r="N573" t="s">
        <v>35</v>
      </c>
      <c r="O573" t="s">
        <v>35</v>
      </c>
      <c r="P573" t="s">
        <v>35</v>
      </c>
      <c r="Q573" t="s">
        <v>35</v>
      </c>
      <c r="R573" t="s">
        <v>35</v>
      </c>
      <c r="S573" t="s">
        <v>34</v>
      </c>
      <c r="AC573" t="s">
        <v>35</v>
      </c>
      <c r="AD573">
        <v>20170124</v>
      </c>
      <c r="AF573" t="str">
        <f>IFERROR(VLOOKUP(RIGHT(TblFeedFile1[[#This Row],[Leave Type ]],6),LkupPayType[],2,FALSE),"TBD")</f>
        <v>TBD</v>
      </c>
      <c r="AG573" t="str">
        <f>IFERROR(VLOOKUP(TblFeedFile1[[#This Row],[ Report Number ]],LkupPayrollCycle[],2,FALSE),"TBD")</f>
        <v>Bi-Weekly</v>
      </c>
      <c r="AH573" t="str">
        <f>IF(TblFeedFile1[[#This Row],[Return to Work Date ]]="","","Y")</f>
        <v/>
      </c>
    </row>
    <row r="574" spans="1:34" x14ac:dyDescent="0.25">
      <c r="A574" t="s">
        <v>37</v>
      </c>
      <c r="B574">
        <v>314304</v>
      </c>
      <c r="C574">
        <v>23614350</v>
      </c>
      <c r="D574" s="1" t="s">
        <v>819</v>
      </c>
      <c r="E574" t="s">
        <v>820</v>
      </c>
      <c r="F574" t="s">
        <v>821</v>
      </c>
      <c r="G574">
        <v>20161212</v>
      </c>
      <c r="H574">
        <v>20161216</v>
      </c>
      <c r="I574" t="s">
        <v>185</v>
      </c>
      <c r="L574" t="s">
        <v>34</v>
      </c>
      <c r="M574" t="s">
        <v>34</v>
      </c>
      <c r="N574" t="s">
        <v>35</v>
      </c>
      <c r="O574" t="s">
        <v>35</v>
      </c>
      <c r="P574" t="s">
        <v>35</v>
      </c>
      <c r="Q574" t="s">
        <v>35</v>
      </c>
      <c r="R574" t="s">
        <v>35</v>
      </c>
      <c r="S574" t="s">
        <v>34</v>
      </c>
      <c r="T574">
        <v>20170103</v>
      </c>
      <c r="AC574" t="s">
        <v>35</v>
      </c>
      <c r="AD574">
        <v>20170124</v>
      </c>
      <c r="AF574" t="str">
        <f>IFERROR(VLOOKUP(RIGHT(TblFeedFile1[[#This Row],[Leave Type ]],6),LkupPayType[],2,FALSE),"TBD")</f>
        <v>TBD</v>
      </c>
      <c r="AG574" t="str">
        <f>IFERROR(VLOOKUP(TblFeedFile1[[#This Row],[ Report Number ]],LkupPayrollCycle[],2,FALSE),"TBD")</f>
        <v>Bi-Weekly</v>
      </c>
      <c r="AH574" t="str">
        <f>IF(TblFeedFile1[[#This Row],[Return to Work Date ]]="","","Y")</f>
        <v>Y</v>
      </c>
    </row>
    <row r="575" spans="1:34" x14ac:dyDescent="0.25">
      <c r="A575" t="s">
        <v>37</v>
      </c>
      <c r="B575">
        <v>314301</v>
      </c>
      <c r="C575">
        <v>23678399</v>
      </c>
      <c r="D575" s="1">
        <v>511701108089</v>
      </c>
      <c r="E575" t="s">
        <v>501</v>
      </c>
      <c r="F575" t="s">
        <v>822</v>
      </c>
      <c r="G575">
        <v>20170123</v>
      </c>
      <c r="H575">
        <v>20170220</v>
      </c>
      <c r="I575" t="s">
        <v>53</v>
      </c>
      <c r="L575" t="s">
        <v>34</v>
      </c>
      <c r="M575" t="s">
        <v>34</v>
      </c>
      <c r="N575" t="s">
        <v>35</v>
      </c>
      <c r="O575" t="s">
        <v>35</v>
      </c>
      <c r="P575" t="s">
        <v>35</v>
      </c>
      <c r="Q575" t="s">
        <v>35</v>
      </c>
      <c r="R575" t="s">
        <v>35</v>
      </c>
      <c r="S575" t="s">
        <v>34</v>
      </c>
      <c r="AD575">
        <v>20170124</v>
      </c>
      <c r="AF575" t="str">
        <f>IFERROR(VLOOKUP(RIGHT(TblFeedFile1[[#This Row],[Leave Type ]],6),LkupPayType[],2,FALSE),"TBD")</f>
        <v>TBD</v>
      </c>
      <c r="AG575" t="str">
        <f>IFERROR(VLOOKUP(TblFeedFile1[[#This Row],[ Report Number ]],LkupPayrollCycle[],2,FALSE),"TBD")</f>
        <v>Semi-Monthly</v>
      </c>
      <c r="AH575" t="str">
        <f>IF(TblFeedFile1[[#This Row],[Return to Work Date ]]="","","Y")</f>
        <v/>
      </c>
    </row>
    <row r="576" spans="1:34" x14ac:dyDescent="0.25">
      <c r="A576" t="s">
        <v>37</v>
      </c>
      <c r="B576">
        <v>314301</v>
      </c>
      <c r="C576">
        <v>23678399</v>
      </c>
      <c r="D576" s="1">
        <v>511701108089</v>
      </c>
      <c r="E576" t="s">
        <v>501</v>
      </c>
      <c r="F576" t="s">
        <v>822</v>
      </c>
      <c r="G576">
        <v>20170130</v>
      </c>
      <c r="H576">
        <v>20170220</v>
      </c>
      <c r="I576" t="s">
        <v>40</v>
      </c>
      <c r="L576" t="s">
        <v>34</v>
      </c>
      <c r="M576" t="s">
        <v>34</v>
      </c>
      <c r="N576" t="s">
        <v>35</v>
      </c>
      <c r="O576" t="s">
        <v>35</v>
      </c>
      <c r="P576" t="s">
        <v>35</v>
      </c>
      <c r="Q576" t="s">
        <v>35</v>
      </c>
      <c r="R576" t="s">
        <v>35</v>
      </c>
      <c r="S576" t="s">
        <v>34</v>
      </c>
      <c r="AD576">
        <v>20170124</v>
      </c>
      <c r="AF576" t="str">
        <f>IFERROR(VLOOKUP(RIGHT(TblFeedFile1[[#This Row],[Leave Type ]],6),LkupPayType[],2,FALSE),"TBD")</f>
        <v>TBD</v>
      </c>
      <c r="AG576" t="str">
        <f>IFERROR(VLOOKUP(TblFeedFile1[[#This Row],[ Report Number ]],LkupPayrollCycle[],2,FALSE),"TBD")</f>
        <v>Semi-Monthly</v>
      </c>
      <c r="AH576" t="str">
        <f>IF(TblFeedFile1[[#This Row],[Return to Work Date ]]="","","Y")</f>
        <v/>
      </c>
    </row>
    <row r="577" spans="1:34" x14ac:dyDescent="0.25">
      <c r="A577" t="s">
        <v>29</v>
      </c>
      <c r="B577">
        <v>314304</v>
      </c>
      <c r="C577">
        <v>23698894</v>
      </c>
      <c r="D577" s="1" t="s">
        <v>823</v>
      </c>
      <c r="E577" t="s">
        <v>824</v>
      </c>
      <c r="F577" t="s">
        <v>825</v>
      </c>
      <c r="G577">
        <v>20161123</v>
      </c>
      <c r="H577">
        <v>20161123</v>
      </c>
      <c r="I577" t="s">
        <v>33</v>
      </c>
      <c r="L577" t="s">
        <v>34</v>
      </c>
      <c r="M577" t="s">
        <v>34</v>
      </c>
      <c r="N577" t="s">
        <v>35</v>
      </c>
      <c r="O577" t="s">
        <v>35</v>
      </c>
      <c r="P577" t="s">
        <v>35</v>
      </c>
      <c r="Q577" t="s">
        <v>35</v>
      </c>
      <c r="R577" t="s">
        <v>35</v>
      </c>
      <c r="S577" t="s">
        <v>34</v>
      </c>
      <c r="AC577" t="s">
        <v>35</v>
      </c>
      <c r="AD577">
        <v>20170124</v>
      </c>
      <c r="AF577" t="str">
        <f>IFERROR(VLOOKUP(RIGHT(TblFeedFile1[[#This Row],[Leave Type ]],6),LkupPayType[],2,FALSE),"TBD")</f>
        <v>TBD</v>
      </c>
      <c r="AG577" t="str">
        <f>IFERROR(VLOOKUP(TblFeedFile1[[#This Row],[ Report Number ]],LkupPayrollCycle[],2,FALSE),"TBD")</f>
        <v>Bi-Weekly</v>
      </c>
      <c r="AH577" t="str">
        <f>IF(TblFeedFile1[[#This Row],[Return to Work Date ]]="","","Y")</f>
        <v/>
      </c>
    </row>
    <row r="578" spans="1:34" x14ac:dyDescent="0.25">
      <c r="A578" t="s">
        <v>29</v>
      </c>
      <c r="B578">
        <v>314304</v>
      </c>
      <c r="C578">
        <v>23698894</v>
      </c>
      <c r="D578" s="1" t="s">
        <v>823</v>
      </c>
      <c r="E578" t="s">
        <v>824</v>
      </c>
      <c r="F578" t="s">
        <v>825</v>
      </c>
      <c r="G578">
        <v>20161001</v>
      </c>
      <c r="H578">
        <v>20161122</v>
      </c>
      <c r="I578" t="s">
        <v>36</v>
      </c>
      <c r="L578" t="s">
        <v>34</v>
      </c>
      <c r="M578" t="s">
        <v>34</v>
      </c>
      <c r="N578" t="s">
        <v>35</v>
      </c>
      <c r="O578" t="s">
        <v>35</v>
      </c>
      <c r="P578" t="s">
        <v>35</v>
      </c>
      <c r="Q578" t="s">
        <v>35</v>
      </c>
      <c r="R578" t="s">
        <v>35</v>
      </c>
      <c r="S578" t="s">
        <v>34</v>
      </c>
      <c r="AC578" t="s">
        <v>35</v>
      </c>
      <c r="AD578">
        <v>20170124</v>
      </c>
      <c r="AF578" t="str">
        <f>IFERROR(VLOOKUP(RIGHT(TblFeedFile1[[#This Row],[Leave Type ]],6),LkupPayType[],2,FALSE),"TBD")</f>
        <v>TBD</v>
      </c>
      <c r="AG578" t="str">
        <f>IFERROR(VLOOKUP(TblFeedFile1[[#This Row],[ Report Number ]],LkupPayrollCycle[],2,FALSE),"TBD")</f>
        <v>Bi-Weekly</v>
      </c>
      <c r="AH578" t="str">
        <f>IF(TblFeedFile1[[#This Row],[Return to Work Date ]]="","","Y")</f>
        <v/>
      </c>
    </row>
    <row r="579" spans="1:34" x14ac:dyDescent="0.25">
      <c r="A579" t="s">
        <v>37</v>
      </c>
      <c r="B579">
        <v>314304</v>
      </c>
      <c r="C579">
        <v>23698894</v>
      </c>
      <c r="D579" s="1" t="s">
        <v>823</v>
      </c>
      <c r="E579" t="s">
        <v>824</v>
      </c>
      <c r="F579" t="s">
        <v>825</v>
      </c>
      <c r="G579">
        <v>20161001</v>
      </c>
      <c r="H579">
        <v>20161001</v>
      </c>
      <c r="I579" t="s">
        <v>33</v>
      </c>
      <c r="L579" t="s">
        <v>34</v>
      </c>
      <c r="M579" t="s">
        <v>34</v>
      </c>
      <c r="N579" t="s">
        <v>35</v>
      </c>
      <c r="O579" t="s">
        <v>35</v>
      </c>
      <c r="P579" t="s">
        <v>35</v>
      </c>
      <c r="Q579" t="s">
        <v>35</v>
      </c>
      <c r="R579" t="s">
        <v>35</v>
      </c>
      <c r="S579" t="s">
        <v>34</v>
      </c>
      <c r="AC579" t="s">
        <v>35</v>
      </c>
      <c r="AD579">
        <v>20170124</v>
      </c>
      <c r="AF579" t="str">
        <f>IFERROR(VLOOKUP(RIGHT(TblFeedFile1[[#This Row],[Leave Type ]],6),LkupPayType[],2,FALSE),"TBD")</f>
        <v>TBD</v>
      </c>
      <c r="AG579" t="str">
        <f>IFERROR(VLOOKUP(TblFeedFile1[[#This Row],[ Report Number ]],LkupPayrollCycle[],2,FALSE),"TBD")</f>
        <v>Bi-Weekly</v>
      </c>
      <c r="AH579" t="str">
        <f>IF(TblFeedFile1[[#This Row],[Return to Work Date ]]="","","Y")</f>
        <v/>
      </c>
    </row>
    <row r="580" spans="1:34" x14ac:dyDescent="0.25">
      <c r="A580" t="s">
        <v>37</v>
      </c>
      <c r="B580">
        <v>314304</v>
      </c>
      <c r="C580">
        <v>23698894</v>
      </c>
      <c r="D580" s="1" t="s">
        <v>823</v>
      </c>
      <c r="E580" t="s">
        <v>824</v>
      </c>
      <c r="F580" t="s">
        <v>825</v>
      </c>
      <c r="G580">
        <v>20161102</v>
      </c>
      <c r="H580">
        <v>20161222</v>
      </c>
      <c r="I580" t="s">
        <v>78</v>
      </c>
      <c r="K580" t="s">
        <v>79</v>
      </c>
      <c r="L580" t="s">
        <v>34</v>
      </c>
      <c r="M580" t="s">
        <v>34</v>
      </c>
      <c r="N580" t="s">
        <v>35</v>
      </c>
      <c r="O580" t="s">
        <v>35</v>
      </c>
      <c r="P580" t="s">
        <v>35</v>
      </c>
      <c r="Q580" t="s">
        <v>35</v>
      </c>
      <c r="R580" t="s">
        <v>35</v>
      </c>
      <c r="S580" t="s">
        <v>34</v>
      </c>
      <c r="T580">
        <v>20161223</v>
      </c>
      <c r="AC580" t="s">
        <v>35</v>
      </c>
      <c r="AD580">
        <v>20170124</v>
      </c>
      <c r="AF580" t="str">
        <f>IFERROR(VLOOKUP(RIGHT(TblFeedFile1[[#This Row],[Leave Type ]],6),LkupPayType[],2,FALSE),"TBD")</f>
        <v>TBD</v>
      </c>
      <c r="AG580" t="str">
        <f>IFERROR(VLOOKUP(TblFeedFile1[[#This Row],[ Report Number ]],LkupPayrollCycle[],2,FALSE),"TBD")</f>
        <v>Bi-Weekly</v>
      </c>
      <c r="AH580" t="str">
        <f>IF(TblFeedFile1[[#This Row],[Return to Work Date ]]="","","Y")</f>
        <v>Y</v>
      </c>
    </row>
    <row r="581" spans="1:34" x14ac:dyDescent="0.25">
      <c r="A581" t="s">
        <v>37</v>
      </c>
      <c r="B581">
        <v>314305</v>
      </c>
      <c r="C581">
        <v>23706610</v>
      </c>
      <c r="D581" s="1" t="s">
        <v>826</v>
      </c>
      <c r="E581" t="s">
        <v>354</v>
      </c>
      <c r="F581" t="s">
        <v>827</v>
      </c>
      <c r="G581">
        <v>20170123</v>
      </c>
      <c r="H581">
        <v>20170123</v>
      </c>
      <c r="I581" t="s">
        <v>43</v>
      </c>
      <c r="L581" t="s">
        <v>34</v>
      </c>
      <c r="M581" t="s">
        <v>34</v>
      </c>
      <c r="N581" t="s">
        <v>35</v>
      </c>
      <c r="O581" t="s">
        <v>35</v>
      </c>
      <c r="P581" t="s">
        <v>35</v>
      </c>
      <c r="Q581" t="s">
        <v>35</v>
      </c>
      <c r="R581" t="s">
        <v>35</v>
      </c>
      <c r="S581" t="s">
        <v>34</v>
      </c>
      <c r="AD581">
        <v>20170124</v>
      </c>
      <c r="AF581" t="str">
        <f>IFERROR(VLOOKUP(RIGHT(TblFeedFile1[[#This Row],[Leave Type ]],6),LkupPayType[],2,FALSE),"TBD")</f>
        <v>TBD</v>
      </c>
      <c r="AG581" t="str">
        <f>IFERROR(VLOOKUP(TblFeedFile1[[#This Row],[ Report Number ]],LkupPayrollCycle[],2,FALSE),"TBD")</f>
        <v>Bi-Weekly</v>
      </c>
      <c r="AH581" t="str">
        <f>IF(TblFeedFile1[[#This Row],[Return to Work Date ]]="","","Y")</f>
        <v/>
      </c>
    </row>
    <row r="582" spans="1:34" x14ac:dyDescent="0.25">
      <c r="A582" t="s">
        <v>29</v>
      </c>
      <c r="B582">
        <v>314304</v>
      </c>
      <c r="C582">
        <v>23709671</v>
      </c>
      <c r="D582" s="1" t="s">
        <v>828</v>
      </c>
      <c r="E582" t="s">
        <v>829</v>
      </c>
      <c r="F582" t="s">
        <v>830</v>
      </c>
      <c r="G582">
        <v>20170114</v>
      </c>
      <c r="H582">
        <v>20170114</v>
      </c>
      <c r="I582" t="s">
        <v>33</v>
      </c>
      <c r="L582" t="s">
        <v>34</v>
      </c>
      <c r="M582" t="s">
        <v>34</v>
      </c>
      <c r="N582" t="s">
        <v>35</v>
      </c>
      <c r="O582" t="s">
        <v>35</v>
      </c>
      <c r="P582" t="s">
        <v>35</v>
      </c>
      <c r="Q582" t="s">
        <v>35</v>
      </c>
      <c r="R582" t="s">
        <v>35</v>
      </c>
      <c r="S582" t="s">
        <v>34</v>
      </c>
      <c r="AC582" t="s">
        <v>35</v>
      </c>
      <c r="AD582">
        <v>20170124</v>
      </c>
      <c r="AF582" t="str">
        <f>IFERROR(VLOOKUP(RIGHT(TblFeedFile1[[#This Row],[Leave Type ]],6),LkupPayType[],2,FALSE),"TBD")</f>
        <v>TBD</v>
      </c>
      <c r="AG582" t="str">
        <f>IFERROR(VLOOKUP(TblFeedFile1[[#This Row],[ Report Number ]],LkupPayrollCycle[],2,FALSE),"TBD")</f>
        <v>Bi-Weekly</v>
      </c>
      <c r="AH582" t="str">
        <f>IF(TblFeedFile1[[#This Row],[Return to Work Date ]]="","","Y")</f>
        <v/>
      </c>
    </row>
    <row r="583" spans="1:34" x14ac:dyDescent="0.25">
      <c r="A583" t="s">
        <v>29</v>
      </c>
      <c r="B583">
        <v>314304</v>
      </c>
      <c r="C583">
        <v>23709671</v>
      </c>
      <c r="D583" s="1" t="s">
        <v>828</v>
      </c>
      <c r="E583" t="s">
        <v>829</v>
      </c>
      <c r="F583" t="s">
        <v>830</v>
      </c>
      <c r="G583">
        <v>20161231</v>
      </c>
      <c r="H583">
        <v>20170113</v>
      </c>
      <c r="I583" t="s">
        <v>223</v>
      </c>
      <c r="L583" t="s">
        <v>34</v>
      </c>
      <c r="M583" t="s">
        <v>34</v>
      </c>
      <c r="N583" t="s">
        <v>35</v>
      </c>
      <c r="O583" t="s">
        <v>35</v>
      </c>
      <c r="P583" t="s">
        <v>35</v>
      </c>
      <c r="Q583" t="s">
        <v>35</v>
      </c>
      <c r="R583" t="s">
        <v>35</v>
      </c>
      <c r="S583" t="s">
        <v>34</v>
      </c>
      <c r="AC583" t="s">
        <v>35</v>
      </c>
      <c r="AD583">
        <v>20170124</v>
      </c>
      <c r="AF583" t="str">
        <f>IFERROR(VLOOKUP(RIGHT(TblFeedFile1[[#This Row],[Leave Type ]],6),LkupPayType[],2,FALSE),"TBD")</f>
        <v>TBD</v>
      </c>
      <c r="AG583" t="str">
        <f>IFERROR(VLOOKUP(TblFeedFile1[[#This Row],[ Report Number ]],LkupPayrollCycle[],2,FALSE),"TBD")</f>
        <v>Bi-Weekly</v>
      </c>
      <c r="AH583" t="str">
        <f>IF(TblFeedFile1[[#This Row],[Return to Work Date ]]="","","Y")</f>
        <v/>
      </c>
    </row>
    <row r="584" spans="1:34" x14ac:dyDescent="0.25">
      <c r="A584" t="s">
        <v>29</v>
      </c>
      <c r="B584">
        <v>314304</v>
      </c>
      <c r="C584">
        <v>23709671</v>
      </c>
      <c r="D584" s="1" t="s">
        <v>828</v>
      </c>
      <c r="E584" t="s">
        <v>829</v>
      </c>
      <c r="F584" t="s">
        <v>830</v>
      </c>
      <c r="G584">
        <v>20161231</v>
      </c>
      <c r="H584">
        <v>20170113</v>
      </c>
      <c r="I584" t="s">
        <v>185</v>
      </c>
      <c r="L584" t="s">
        <v>34</v>
      </c>
      <c r="M584" t="s">
        <v>34</v>
      </c>
      <c r="N584" t="s">
        <v>35</v>
      </c>
      <c r="O584" t="s">
        <v>35</v>
      </c>
      <c r="P584" t="s">
        <v>35</v>
      </c>
      <c r="Q584" t="s">
        <v>35</v>
      </c>
      <c r="R584" t="s">
        <v>35</v>
      </c>
      <c r="S584" t="s">
        <v>34</v>
      </c>
      <c r="AC584" t="s">
        <v>35</v>
      </c>
      <c r="AD584">
        <v>20170124</v>
      </c>
      <c r="AF584" t="str">
        <f>IFERROR(VLOOKUP(RIGHT(TblFeedFile1[[#This Row],[Leave Type ]],6),LkupPayType[],2,FALSE),"TBD")</f>
        <v>TBD</v>
      </c>
      <c r="AG584" t="str">
        <f>IFERROR(VLOOKUP(TblFeedFile1[[#This Row],[ Report Number ]],LkupPayrollCycle[],2,FALSE),"TBD")</f>
        <v>Bi-Weekly</v>
      </c>
      <c r="AH584" t="str">
        <f>IF(TblFeedFile1[[#This Row],[Return to Work Date ]]="","","Y")</f>
        <v/>
      </c>
    </row>
    <row r="585" spans="1:34" x14ac:dyDescent="0.25">
      <c r="A585" t="s">
        <v>37</v>
      </c>
      <c r="B585">
        <v>314304</v>
      </c>
      <c r="C585">
        <v>23709671</v>
      </c>
      <c r="D585" s="1" t="s">
        <v>828</v>
      </c>
      <c r="E585" t="s">
        <v>829</v>
      </c>
      <c r="F585" t="s">
        <v>830</v>
      </c>
      <c r="G585">
        <v>20161231</v>
      </c>
      <c r="H585">
        <v>20170323</v>
      </c>
      <c r="I585" t="s">
        <v>223</v>
      </c>
      <c r="L585" t="s">
        <v>34</v>
      </c>
      <c r="M585" t="s">
        <v>34</v>
      </c>
      <c r="N585" t="s">
        <v>35</v>
      </c>
      <c r="O585" t="s">
        <v>35</v>
      </c>
      <c r="P585" t="s">
        <v>35</v>
      </c>
      <c r="Q585" t="s">
        <v>35</v>
      </c>
      <c r="R585" t="s">
        <v>35</v>
      </c>
      <c r="S585" t="s">
        <v>34</v>
      </c>
      <c r="AC585" t="s">
        <v>35</v>
      </c>
      <c r="AD585">
        <v>20170124</v>
      </c>
      <c r="AF585" t="str">
        <f>IFERROR(VLOOKUP(RIGHT(TblFeedFile1[[#This Row],[Leave Type ]],6),LkupPayType[],2,FALSE),"TBD")</f>
        <v>TBD</v>
      </c>
      <c r="AG585" t="str">
        <f>IFERROR(VLOOKUP(TblFeedFile1[[#This Row],[ Report Number ]],LkupPayrollCycle[],2,FALSE),"TBD")</f>
        <v>Bi-Weekly</v>
      </c>
      <c r="AH585" t="str">
        <f>IF(TblFeedFile1[[#This Row],[Return to Work Date ]]="","","Y")</f>
        <v/>
      </c>
    </row>
    <row r="586" spans="1:34" x14ac:dyDescent="0.25">
      <c r="A586" t="s">
        <v>37</v>
      </c>
      <c r="B586">
        <v>314304</v>
      </c>
      <c r="C586">
        <v>23751154</v>
      </c>
      <c r="D586" s="1">
        <v>561701098696</v>
      </c>
      <c r="E586" t="s">
        <v>818</v>
      </c>
      <c r="F586" t="s">
        <v>526</v>
      </c>
      <c r="G586">
        <v>20170116</v>
      </c>
      <c r="H586">
        <v>20170130</v>
      </c>
      <c r="I586" t="s">
        <v>40</v>
      </c>
      <c r="L586" t="s">
        <v>35</v>
      </c>
      <c r="T586">
        <v>20170113</v>
      </c>
      <c r="AD586">
        <v>20170124</v>
      </c>
      <c r="AF586" t="str">
        <f>IFERROR(VLOOKUP(RIGHT(TblFeedFile1[[#This Row],[Leave Type ]],6),LkupPayType[],2,FALSE),"TBD")</f>
        <v>TBD</v>
      </c>
      <c r="AG586" t="str">
        <f>IFERROR(VLOOKUP(TblFeedFile1[[#This Row],[ Report Number ]],LkupPayrollCycle[],2,FALSE),"TBD")</f>
        <v>Bi-Weekly</v>
      </c>
      <c r="AH586" t="str">
        <f>IF(TblFeedFile1[[#This Row],[Return to Work Date ]]="","","Y")</f>
        <v>Y</v>
      </c>
    </row>
    <row r="587" spans="1:34" x14ac:dyDescent="0.25">
      <c r="A587" t="s">
        <v>37</v>
      </c>
      <c r="B587">
        <v>314304</v>
      </c>
      <c r="C587">
        <v>23764304</v>
      </c>
      <c r="D587" s="1">
        <v>561701238286</v>
      </c>
      <c r="E587" t="s">
        <v>831</v>
      </c>
      <c r="F587" t="s">
        <v>832</v>
      </c>
      <c r="G587">
        <v>20170124</v>
      </c>
      <c r="H587">
        <v>20170307</v>
      </c>
      <c r="I587" t="s">
        <v>53</v>
      </c>
      <c r="L587" t="s">
        <v>35</v>
      </c>
      <c r="AD587">
        <v>20170124</v>
      </c>
      <c r="AF587" t="str">
        <f>IFERROR(VLOOKUP(RIGHT(TblFeedFile1[[#This Row],[Leave Type ]],6),LkupPayType[],2,FALSE),"TBD")</f>
        <v>TBD</v>
      </c>
      <c r="AG587" t="str">
        <f>IFERROR(VLOOKUP(TblFeedFile1[[#This Row],[ Report Number ]],LkupPayrollCycle[],2,FALSE),"TBD")</f>
        <v>Bi-Weekly</v>
      </c>
      <c r="AH587" t="str">
        <f>IF(TblFeedFile1[[#This Row],[Return to Work Date ]]="","","Y")</f>
        <v/>
      </c>
    </row>
    <row r="588" spans="1:34" x14ac:dyDescent="0.25">
      <c r="A588" t="s">
        <v>29</v>
      </c>
      <c r="B588">
        <v>314301</v>
      </c>
      <c r="C588">
        <v>23769370</v>
      </c>
      <c r="D588" s="1">
        <v>501701058298</v>
      </c>
      <c r="E588" t="s">
        <v>833</v>
      </c>
      <c r="F588" t="s">
        <v>834</v>
      </c>
      <c r="G588">
        <v>20170116</v>
      </c>
      <c r="H588">
        <v>20170228</v>
      </c>
      <c r="I588" t="s">
        <v>40</v>
      </c>
      <c r="L588" t="s">
        <v>34</v>
      </c>
      <c r="M588" t="s">
        <v>34</v>
      </c>
      <c r="N588" t="s">
        <v>35</v>
      </c>
      <c r="O588" t="s">
        <v>35</v>
      </c>
      <c r="P588" t="s">
        <v>35</v>
      </c>
      <c r="Q588" t="s">
        <v>35</v>
      </c>
      <c r="R588" t="s">
        <v>35</v>
      </c>
      <c r="S588" t="s">
        <v>34</v>
      </c>
      <c r="AD588">
        <v>20170124</v>
      </c>
      <c r="AF588" t="str">
        <f>IFERROR(VLOOKUP(RIGHT(TblFeedFile1[[#This Row],[Leave Type ]],6),LkupPayType[],2,FALSE),"TBD")</f>
        <v>TBD</v>
      </c>
      <c r="AG588" t="str">
        <f>IFERROR(VLOOKUP(TblFeedFile1[[#This Row],[ Report Number ]],LkupPayrollCycle[],2,FALSE),"TBD")</f>
        <v>Semi-Monthly</v>
      </c>
      <c r="AH588" t="str">
        <f>IF(TblFeedFile1[[#This Row],[Return to Work Date ]]="","","Y")</f>
        <v/>
      </c>
    </row>
    <row r="589" spans="1:34" x14ac:dyDescent="0.25">
      <c r="A589" t="s">
        <v>37</v>
      </c>
      <c r="B589">
        <v>314301</v>
      </c>
      <c r="C589">
        <v>23769370</v>
      </c>
      <c r="D589" s="1">
        <v>501701058298</v>
      </c>
      <c r="E589" t="s">
        <v>833</v>
      </c>
      <c r="F589" t="s">
        <v>834</v>
      </c>
      <c r="G589">
        <v>20170116</v>
      </c>
      <c r="H589">
        <v>20170208</v>
      </c>
      <c r="I589" t="s">
        <v>40</v>
      </c>
      <c r="L589" t="s">
        <v>34</v>
      </c>
      <c r="M589" t="s">
        <v>34</v>
      </c>
      <c r="N589" t="s">
        <v>35</v>
      </c>
      <c r="O589" t="s">
        <v>35</v>
      </c>
      <c r="P589" t="s">
        <v>35</v>
      </c>
      <c r="Q589" t="s">
        <v>35</v>
      </c>
      <c r="R589" t="s">
        <v>35</v>
      </c>
      <c r="S589" t="s">
        <v>34</v>
      </c>
      <c r="AD589">
        <v>20170124</v>
      </c>
      <c r="AF589" t="str">
        <f>IFERROR(VLOOKUP(RIGHT(TblFeedFile1[[#This Row],[Leave Type ]],6),LkupPayType[],2,FALSE),"TBD")</f>
        <v>TBD</v>
      </c>
      <c r="AG589" t="str">
        <f>IFERROR(VLOOKUP(TblFeedFile1[[#This Row],[ Report Number ]],LkupPayrollCycle[],2,FALSE),"TBD")</f>
        <v>Semi-Monthly</v>
      </c>
      <c r="AH589" t="str">
        <f>IF(TblFeedFile1[[#This Row],[Return to Work Date ]]="","","Y")</f>
        <v/>
      </c>
    </row>
    <row r="590" spans="1:34" x14ac:dyDescent="0.25">
      <c r="A590" t="s">
        <v>37</v>
      </c>
      <c r="B590">
        <v>314304</v>
      </c>
      <c r="C590">
        <v>23770385</v>
      </c>
      <c r="D590" s="1" t="s">
        <v>835</v>
      </c>
      <c r="E590" t="s">
        <v>44</v>
      </c>
      <c r="F590" t="s">
        <v>836</v>
      </c>
      <c r="G590">
        <v>20170121</v>
      </c>
      <c r="H590">
        <v>20170121</v>
      </c>
      <c r="I590" t="s">
        <v>33</v>
      </c>
      <c r="L590" t="s">
        <v>34</v>
      </c>
      <c r="M590" t="s">
        <v>34</v>
      </c>
      <c r="N590" t="s">
        <v>35</v>
      </c>
      <c r="O590" t="s">
        <v>35</v>
      </c>
      <c r="P590" t="s">
        <v>35</v>
      </c>
      <c r="Q590" t="s">
        <v>35</v>
      </c>
      <c r="R590" t="s">
        <v>35</v>
      </c>
      <c r="S590" t="s">
        <v>34</v>
      </c>
      <c r="AC590" t="s">
        <v>35</v>
      </c>
      <c r="AD590">
        <v>20170124</v>
      </c>
      <c r="AF590" t="str">
        <f>IFERROR(VLOOKUP(RIGHT(TblFeedFile1[[#This Row],[Leave Type ]],6),LkupPayType[],2,FALSE),"TBD")</f>
        <v>TBD</v>
      </c>
      <c r="AG590" t="str">
        <f>IFERROR(VLOOKUP(TblFeedFile1[[#This Row],[ Report Number ]],LkupPayrollCycle[],2,FALSE),"TBD")</f>
        <v>Bi-Weekly</v>
      </c>
      <c r="AH590" t="str">
        <f>IF(TblFeedFile1[[#This Row],[Return to Work Date ]]="","","Y")</f>
        <v/>
      </c>
    </row>
    <row r="591" spans="1:34" x14ac:dyDescent="0.25">
      <c r="A591" t="s">
        <v>37</v>
      </c>
      <c r="B591">
        <v>314304</v>
      </c>
      <c r="C591">
        <v>23822404</v>
      </c>
      <c r="D591" s="1">
        <v>501701238380</v>
      </c>
      <c r="E591" t="s">
        <v>837</v>
      </c>
      <c r="F591" t="s">
        <v>838</v>
      </c>
      <c r="G591">
        <v>20170119</v>
      </c>
      <c r="I591" t="s">
        <v>53</v>
      </c>
      <c r="L591" t="s">
        <v>34</v>
      </c>
      <c r="M591" t="s">
        <v>34</v>
      </c>
      <c r="N591" t="s">
        <v>35</v>
      </c>
      <c r="O591" t="s">
        <v>35</v>
      </c>
      <c r="P591" t="s">
        <v>35</v>
      </c>
      <c r="Q591" t="s">
        <v>35</v>
      </c>
      <c r="R591" t="s">
        <v>35</v>
      </c>
      <c r="S591" t="s">
        <v>34</v>
      </c>
      <c r="AD591">
        <v>20170124</v>
      </c>
      <c r="AF591" t="str">
        <f>IFERROR(VLOOKUP(RIGHT(TblFeedFile1[[#This Row],[Leave Type ]],6),LkupPayType[],2,FALSE),"TBD")</f>
        <v>TBD</v>
      </c>
      <c r="AG591" t="str">
        <f>IFERROR(VLOOKUP(TblFeedFile1[[#This Row],[ Report Number ]],LkupPayrollCycle[],2,FALSE),"TBD")</f>
        <v>Bi-Weekly</v>
      </c>
      <c r="AH591" t="str">
        <f>IF(TblFeedFile1[[#This Row],[Return to Work Date ]]="","","Y")</f>
        <v/>
      </c>
    </row>
    <row r="592" spans="1:34" x14ac:dyDescent="0.25">
      <c r="A592" t="s">
        <v>29</v>
      </c>
      <c r="B592">
        <v>314304</v>
      </c>
      <c r="C592">
        <v>23829383</v>
      </c>
      <c r="D592" s="1" t="s">
        <v>839</v>
      </c>
      <c r="E592" t="s">
        <v>840</v>
      </c>
      <c r="F592" t="s">
        <v>841</v>
      </c>
      <c r="G592">
        <v>20161025</v>
      </c>
      <c r="H592">
        <v>20170207</v>
      </c>
      <c r="I592" t="s">
        <v>223</v>
      </c>
      <c r="L592" t="s">
        <v>34</v>
      </c>
      <c r="M592" t="s">
        <v>34</v>
      </c>
      <c r="N592" t="s">
        <v>35</v>
      </c>
      <c r="O592" t="s">
        <v>35</v>
      </c>
      <c r="P592" t="s">
        <v>35</v>
      </c>
      <c r="Q592" t="s">
        <v>35</v>
      </c>
      <c r="R592" t="s">
        <v>35</v>
      </c>
      <c r="S592" t="s">
        <v>34</v>
      </c>
      <c r="AC592" t="s">
        <v>35</v>
      </c>
      <c r="AD592">
        <v>20170124</v>
      </c>
      <c r="AF592" t="str">
        <f>IFERROR(VLOOKUP(RIGHT(TblFeedFile1[[#This Row],[Leave Type ]],6),LkupPayType[],2,FALSE),"TBD")</f>
        <v>TBD</v>
      </c>
      <c r="AG592" t="str">
        <f>IFERROR(VLOOKUP(TblFeedFile1[[#This Row],[ Report Number ]],LkupPayrollCycle[],2,FALSE),"TBD")</f>
        <v>Bi-Weekly</v>
      </c>
      <c r="AH592" t="str">
        <f>IF(TblFeedFile1[[#This Row],[Return to Work Date ]]="","","Y")</f>
        <v/>
      </c>
    </row>
    <row r="593" spans="1:34" x14ac:dyDescent="0.25">
      <c r="A593" t="s">
        <v>37</v>
      </c>
      <c r="B593">
        <v>314310</v>
      </c>
      <c r="C593">
        <v>23829383</v>
      </c>
      <c r="D593" s="1" t="s">
        <v>839</v>
      </c>
      <c r="E593" t="s">
        <v>840</v>
      </c>
      <c r="F593" t="s">
        <v>841</v>
      </c>
      <c r="G593">
        <v>20161025</v>
      </c>
      <c r="H593">
        <v>20170122</v>
      </c>
      <c r="I593" t="s">
        <v>223</v>
      </c>
      <c r="L593" t="s">
        <v>34</v>
      </c>
      <c r="M593" t="s">
        <v>34</v>
      </c>
      <c r="N593" t="s">
        <v>35</v>
      </c>
      <c r="O593" t="s">
        <v>35</v>
      </c>
      <c r="P593" t="s">
        <v>35</v>
      </c>
      <c r="Q593" t="s">
        <v>35</v>
      </c>
      <c r="R593" t="s">
        <v>35</v>
      </c>
      <c r="S593" t="s">
        <v>34</v>
      </c>
      <c r="T593">
        <v>20170123</v>
      </c>
      <c r="AC593" t="s">
        <v>35</v>
      </c>
      <c r="AD593">
        <v>20170124</v>
      </c>
      <c r="AF593" t="str">
        <f>IFERROR(VLOOKUP(RIGHT(TblFeedFile1[[#This Row],[Leave Type ]],6),LkupPayType[],2,FALSE),"TBD")</f>
        <v>TBD</v>
      </c>
      <c r="AG593" t="str">
        <f>IFERROR(VLOOKUP(TblFeedFile1[[#This Row],[ Report Number ]],LkupPayrollCycle[],2,FALSE),"TBD")</f>
        <v>Bi-Weekly</v>
      </c>
      <c r="AH593" t="str">
        <f>IF(TblFeedFile1[[#This Row],[Return to Work Date ]]="","","Y")</f>
        <v>Y</v>
      </c>
    </row>
    <row r="594" spans="1:34" x14ac:dyDescent="0.25">
      <c r="A594" t="s">
        <v>37</v>
      </c>
      <c r="B594">
        <v>314304</v>
      </c>
      <c r="C594">
        <v>23855380</v>
      </c>
      <c r="D594" s="1" t="s">
        <v>842</v>
      </c>
      <c r="E594" t="s">
        <v>756</v>
      </c>
      <c r="F594" t="s">
        <v>843</v>
      </c>
      <c r="G594">
        <v>20170122</v>
      </c>
      <c r="H594">
        <v>20170122</v>
      </c>
      <c r="I594" t="s">
        <v>33</v>
      </c>
      <c r="L594" t="s">
        <v>34</v>
      </c>
      <c r="M594" t="s">
        <v>34</v>
      </c>
      <c r="N594" t="s">
        <v>35</v>
      </c>
      <c r="O594" t="s">
        <v>35</v>
      </c>
      <c r="P594" t="s">
        <v>35</v>
      </c>
      <c r="Q594" t="s">
        <v>35</v>
      </c>
      <c r="R594" t="s">
        <v>35</v>
      </c>
      <c r="S594" t="s">
        <v>34</v>
      </c>
      <c r="AC594" t="s">
        <v>35</v>
      </c>
      <c r="AD594">
        <v>20170124</v>
      </c>
      <c r="AF594" t="str">
        <f>IFERROR(VLOOKUP(RIGHT(TblFeedFile1[[#This Row],[Leave Type ]],6),LkupPayType[],2,FALSE),"TBD")</f>
        <v>TBD</v>
      </c>
      <c r="AG594" t="str">
        <f>IFERROR(VLOOKUP(TblFeedFile1[[#This Row],[ Report Number ]],LkupPayrollCycle[],2,FALSE),"TBD")</f>
        <v>Bi-Weekly</v>
      </c>
      <c r="AH594" t="str">
        <f>IF(TblFeedFile1[[#This Row],[Return to Work Date ]]="","","Y")</f>
        <v/>
      </c>
    </row>
    <row r="595" spans="1:34" x14ac:dyDescent="0.25">
      <c r="A595" t="s">
        <v>37</v>
      </c>
      <c r="B595">
        <v>314304</v>
      </c>
      <c r="C595">
        <v>23873026</v>
      </c>
      <c r="D595" s="1" t="s">
        <v>844</v>
      </c>
      <c r="E595" t="s">
        <v>556</v>
      </c>
      <c r="F595" t="s">
        <v>845</v>
      </c>
      <c r="G595">
        <v>20161003</v>
      </c>
      <c r="H595">
        <v>20170120</v>
      </c>
      <c r="I595" t="s">
        <v>223</v>
      </c>
      <c r="L595" t="s">
        <v>34</v>
      </c>
      <c r="M595" t="s">
        <v>34</v>
      </c>
      <c r="N595" t="s">
        <v>35</v>
      </c>
      <c r="O595" t="s">
        <v>35</v>
      </c>
      <c r="P595" t="s">
        <v>35</v>
      </c>
      <c r="Q595" t="s">
        <v>35</v>
      </c>
      <c r="R595" t="s">
        <v>35</v>
      </c>
      <c r="S595" t="s">
        <v>34</v>
      </c>
      <c r="T595">
        <v>20170123</v>
      </c>
      <c r="AC595" t="s">
        <v>35</v>
      </c>
      <c r="AD595">
        <v>20170124</v>
      </c>
      <c r="AF595" t="str">
        <f>IFERROR(VLOOKUP(RIGHT(TblFeedFile1[[#This Row],[Leave Type ]],6),LkupPayType[],2,FALSE),"TBD")</f>
        <v>TBD</v>
      </c>
      <c r="AG595" t="str">
        <f>IFERROR(VLOOKUP(TblFeedFile1[[#This Row],[ Report Number ]],LkupPayrollCycle[],2,FALSE),"TBD")</f>
        <v>Bi-Weekly</v>
      </c>
      <c r="AH595" t="str">
        <f>IF(TblFeedFile1[[#This Row],[Return to Work Date ]]="","","Y")</f>
        <v>Y</v>
      </c>
    </row>
    <row r="596" spans="1:34" x14ac:dyDescent="0.25">
      <c r="A596" t="s">
        <v>37</v>
      </c>
      <c r="B596">
        <v>314304</v>
      </c>
      <c r="C596">
        <v>23873872</v>
      </c>
      <c r="D596" s="1">
        <v>501701238088</v>
      </c>
      <c r="E596" t="s">
        <v>846</v>
      </c>
      <c r="F596" t="s">
        <v>847</v>
      </c>
      <c r="G596">
        <v>20170122</v>
      </c>
      <c r="H596">
        <v>20170222</v>
      </c>
      <c r="I596" t="s">
        <v>53</v>
      </c>
      <c r="L596" t="s">
        <v>34</v>
      </c>
      <c r="M596" t="s">
        <v>35</v>
      </c>
      <c r="N596" t="s">
        <v>35</v>
      </c>
      <c r="O596" t="s">
        <v>35</v>
      </c>
      <c r="P596" t="s">
        <v>35</v>
      </c>
      <c r="Q596" t="s">
        <v>35</v>
      </c>
      <c r="R596" t="s">
        <v>34</v>
      </c>
      <c r="S596" t="s">
        <v>34</v>
      </c>
      <c r="AD596">
        <v>20170124</v>
      </c>
      <c r="AF596" t="str">
        <f>IFERROR(VLOOKUP(RIGHT(TblFeedFile1[[#This Row],[Leave Type ]],6),LkupPayType[],2,FALSE),"TBD")</f>
        <v>TBD</v>
      </c>
      <c r="AG596" t="str">
        <f>IFERROR(VLOOKUP(TblFeedFile1[[#This Row],[ Report Number ]],LkupPayrollCycle[],2,FALSE),"TBD")</f>
        <v>Bi-Weekly</v>
      </c>
      <c r="AH596" t="str">
        <f>IF(TblFeedFile1[[#This Row],[Return to Work Date ]]="","","Y")</f>
        <v/>
      </c>
    </row>
    <row r="597" spans="1:34" x14ac:dyDescent="0.25">
      <c r="A597" t="s">
        <v>29</v>
      </c>
      <c r="B597">
        <v>314304</v>
      </c>
      <c r="C597">
        <v>23901218</v>
      </c>
      <c r="D597" s="1" t="s">
        <v>848</v>
      </c>
      <c r="E597" t="s">
        <v>849</v>
      </c>
      <c r="F597" t="s">
        <v>850</v>
      </c>
      <c r="G597">
        <v>20161105</v>
      </c>
      <c r="H597">
        <v>20161105</v>
      </c>
      <c r="I597" t="s">
        <v>33</v>
      </c>
      <c r="L597" t="s">
        <v>34</v>
      </c>
      <c r="M597" t="s">
        <v>34</v>
      </c>
      <c r="N597" t="s">
        <v>35</v>
      </c>
      <c r="O597" t="s">
        <v>35</v>
      </c>
      <c r="P597" t="s">
        <v>35</v>
      </c>
      <c r="Q597" t="s">
        <v>35</v>
      </c>
      <c r="R597" t="s">
        <v>35</v>
      </c>
      <c r="S597" t="s">
        <v>34</v>
      </c>
      <c r="AC597" t="s">
        <v>35</v>
      </c>
      <c r="AD597">
        <v>20170124</v>
      </c>
      <c r="AF597" t="str">
        <f>IFERROR(VLOOKUP(RIGHT(TblFeedFile1[[#This Row],[Leave Type ]],6),LkupPayType[],2,FALSE),"TBD")</f>
        <v>TBD</v>
      </c>
      <c r="AG597" t="str">
        <f>IFERROR(VLOOKUP(TblFeedFile1[[#This Row],[ Report Number ]],LkupPayrollCycle[],2,FALSE),"TBD")</f>
        <v>Bi-Weekly</v>
      </c>
      <c r="AH597" t="str">
        <f>IF(TblFeedFile1[[#This Row],[Return to Work Date ]]="","","Y")</f>
        <v/>
      </c>
    </row>
    <row r="598" spans="1:34" x14ac:dyDescent="0.25">
      <c r="A598" t="s">
        <v>29</v>
      </c>
      <c r="B598">
        <v>314304</v>
      </c>
      <c r="C598">
        <v>23901218</v>
      </c>
      <c r="D598" s="1" t="s">
        <v>848</v>
      </c>
      <c r="E598" t="s">
        <v>849</v>
      </c>
      <c r="F598" t="s">
        <v>850</v>
      </c>
      <c r="G598">
        <v>20161028</v>
      </c>
      <c r="H598">
        <v>20161104</v>
      </c>
      <c r="I598" t="s">
        <v>49</v>
      </c>
      <c r="L598" t="s">
        <v>34</v>
      </c>
      <c r="M598" t="s">
        <v>34</v>
      </c>
      <c r="N598" t="s">
        <v>35</v>
      </c>
      <c r="O598" t="s">
        <v>35</v>
      </c>
      <c r="P598" t="s">
        <v>35</v>
      </c>
      <c r="Q598" t="s">
        <v>35</v>
      </c>
      <c r="R598" t="s">
        <v>35</v>
      </c>
      <c r="S598" t="s">
        <v>34</v>
      </c>
      <c r="AC598" t="s">
        <v>35</v>
      </c>
      <c r="AD598">
        <v>20170124</v>
      </c>
      <c r="AF598" t="str">
        <f>IFERROR(VLOOKUP(RIGHT(TblFeedFile1[[#This Row],[Leave Type ]],6),LkupPayType[],2,FALSE),"TBD")</f>
        <v>TBD</v>
      </c>
      <c r="AG598" t="str">
        <f>IFERROR(VLOOKUP(TblFeedFile1[[#This Row],[ Report Number ]],LkupPayrollCycle[],2,FALSE),"TBD")</f>
        <v>Bi-Weekly</v>
      </c>
      <c r="AH598" t="str">
        <f>IF(TblFeedFile1[[#This Row],[Return to Work Date ]]="","","Y")</f>
        <v/>
      </c>
    </row>
    <row r="599" spans="1:34" x14ac:dyDescent="0.25">
      <c r="A599" t="s">
        <v>37</v>
      </c>
      <c r="B599">
        <v>314304</v>
      </c>
      <c r="C599">
        <v>23901218</v>
      </c>
      <c r="D599" s="1" t="s">
        <v>848</v>
      </c>
      <c r="E599" t="s">
        <v>849</v>
      </c>
      <c r="F599" t="s">
        <v>850</v>
      </c>
      <c r="G599">
        <v>20161028</v>
      </c>
      <c r="H599">
        <v>20170123</v>
      </c>
      <c r="I599" t="s">
        <v>49</v>
      </c>
      <c r="L599" t="s">
        <v>34</v>
      </c>
      <c r="M599" t="s">
        <v>34</v>
      </c>
      <c r="N599" t="s">
        <v>35</v>
      </c>
      <c r="O599" t="s">
        <v>35</v>
      </c>
      <c r="P599" t="s">
        <v>35</v>
      </c>
      <c r="Q599" t="s">
        <v>35</v>
      </c>
      <c r="R599" t="s">
        <v>35</v>
      </c>
      <c r="S599" t="s">
        <v>34</v>
      </c>
      <c r="AC599" t="s">
        <v>35</v>
      </c>
      <c r="AD599">
        <v>20170124</v>
      </c>
      <c r="AF599" t="str">
        <f>IFERROR(VLOOKUP(RIGHT(TblFeedFile1[[#This Row],[Leave Type ]],6),LkupPayType[],2,FALSE),"TBD")</f>
        <v>TBD</v>
      </c>
      <c r="AG599" t="str">
        <f>IFERROR(VLOOKUP(TblFeedFile1[[#This Row],[ Report Number ]],LkupPayrollCycle[],2,FALSE),"TBD")</f>
        <v>Bi-Weekly</v>
      </c>
      <c r="AH599" t="str">
        <f>IF(TblFeedFile1[[#This Row],[Return to Work Date ]]="","","Y")</f>
        <v/>
      </c>
    </row>
    <row r="600" spans="1:34" x14ac:dyDescent="0.25">
      <c r="A600" t="s">
        <v>37</v>
      </c>
      <c r="B600">
        <v>314304</v>
      </c>
      <c r="C600">
        <v>23901218</v>
      </c>
      <c r="D600" s="1" t="s">
        <v>848</v>
      </c>
      <c r="E600" t="s">
        <v>849</v>
      </c>
      <c r="F600" t="s">
        <v>850</v>
      </c>
      <c r="G600">
        <v>20170124</v>
      </c>
      <c r="H600">
        <v>20170124</v>
      </c>
      <c r="I600" t="s">
        <v>33</v>
      </c>
      <c r="L600" t="s">
        <v>34</v>
      </c>
      <c r="M600" t="s">
        <v>34</v>
      </c>
      <c r="N600" t="s">
        <v>35</v>
      </c>
      <c r="O600" t="s">
        <v>35</v>
      </c>
      <c r="P600" t="s">
        <v>35</v>
      </c>
      <c r="Q600" t="s">
        <v>35</v>
      </c>
      <c r="R600" t="s">
        <v>35</v>
      </c>
      <c r="S600" t="s">
        <v>34</v>
      </c>
      <c r="AC600" t="s">
        <v>35</v>
      </c>
      <c r="AD600">
        <v>20170124</v>
      </c>
      <c r="AF600" t="str">
        <f>IFERROR(VLOOKUP(RIGHT(TblFeedFile1[[#This Row],[Leave Type ]],6),LkupPayType[],2,FALSE),"TBD")</f>
        <v>TBD</v>
      </c>
      <c r="AG600" t="str">
        <f>IFERROR(VLOOKUP(TblFeedFile1[[#This Row],[ Report Number ]],LkupPayrollCycle[],2,FALSE),"TBD")</f>
        <v>Bi-Weekly</v>
      </c>
      <c r="AH600" t="str">
        <f>IF(TblFeedFile1[[#This Row],[Return to Work Date ]]="","","Y")</f>
        <v/>
      </c>
    </row>
    <row r="601" spans="1:34" x14ac:dyDescent="0.25">
      <c r="A601" t="s">
        <v>29</v>
      </c>
      <c r="B601">
        <v>314304</v>
      </c>
      <c r="C601">
        <v>23928153</v>
      </c>
      <c r="D601" s="1" t="s">
        <v>851</v>
      </c>
      <c r="E601" t="s">
        <v>544</v>
      </c>
      <c r="F601" t="s">
        <v>852</v>
      </c>
      <c r="G601">
        <v>20170112</v>
      </c>
      <c r="H601">
        <v>20170112</v>
      </c>
      <c r="I601" t="s">
        <v>33</v>
      </c>
      <c r="L601" t="s">
        <v>34</v>
      </c>
      <c r="M601" t="s">
        <v>34</v>
      </c>
      <c r="N601" t="s">
        <v>35</v>
      </c>
      <c r="O601" t="s">
        <v>35</v>
      </c>
      <c r="P601" t="s">
        <v>35</v>
      </c>
      <c r="Q601" t="s">
        <v>35</v>
      </c>
      <c r="R601" t="s">
        <v>35</v>
      </c>
      <c r="S601" t="s">
        <v>34</v>
      </c>
      <c r="AC601" t="s">
        <v>35</v>
      </c>
      <c r="AD601">
        <v>20170124</v>
      </c>
      <c r="AF601" t="str">
        <f>IFERROR(VLOOKUP(RIGHT(TblFeedFile1[[#This Row],[Leave Type ]],6),LkupPayType[],2,FALSE),"TBD")</f>
        <v>TBD</v>
      </c>
      <c r="AG601" t="str">
        <f>IFERROR(VLOOKUP(TblFeedFile1[[#This Row],[ Report Number ]],LkupPayrollCycle[],2,FALSE),"TBD")</f>
        <v>Bi-Weekly</v>
      </c>
      <c r="AH601" t="str">
        <f>IF(TblFeedFile1[[#This Row],[Return to Work Date ]]="","","Y")</f>
        <v/>
      </c>
    </row>
    <row r="602" spans="1:34" x14ac:dyDescent="0.25">
      <c r="A602" t="s">
        <v>29</v>
      </c>
      <c r="B602">
        <v>314304</v>
      </c>
      <c r="C602">
        <v>23928153</v>
      </c>
      <c r="D602" s="1" t="s">
        <v>851</v>
      </c>
      <c r="E602" t="s">
        <v>544</v>
      </c>
      <c r="F602" t="s">
        <v>852</v>
      </c>
      <c r="G602">
        <v>20110418</v>
      </c>
      <c r="H602">
        <v>20170111</v>
      </c>
      <c r="I602" t="s">
        <v>201</v>
      </c>
      <c r="L602" t="s">
        <v>34</v>
      </c>
      <c r="M602" t="s">
        <v>34</v>
      </c>
      <c r="N602" t="s">
        <v>35</v>
      </c>
      <c r="O602" t="s">
        <v>35</v>
      </c>
      <c r="P602" t="s">
        <v>35</v>
      </c>
      <c r="Q602" t="s">
        <v>35</v>
      </c>
      <c r="R602" t="s">
        <v>35</v>
      </c>
      <c r="S602" t="s">
        <v>34</v>
      </c>
      <c r="AC602" t="s">
        <v>35</v>
      </c>
      <c r="AD602">
        <v>20170124</v>
      </c>
      <c r="AF602" t="str">
        <f>IFERROR(VLOOKUP(RIGHT(TblFeedFile1[[#This Row],[Leave Type ]],6),LkupPayType[],2,FALSE),"TBD")</f>
        <v>TBD</v>
      </c>
      <c r="AG602" t="str">
        <f>IFERROR(VLOOKUP(TblFeedFile1[[#This Row],[ Report Number ]],LkupPayrollCycle[],2,FALSE),"TBD")</f>
        <v>Bi-Weekly</v>
      </c>
      <c r="AH602" t="str">
        <f>IF(TblFeedFile1[[#This Row],[Return to Work Date ]]="","","Y")</f>
        <v/>
      </c>
    </row>
    <row r="603" spans="1:34" x14ac:dyDescent="0.25">
      <c r="A603" t="s">
        <v>37</v>
      </c>
      <c r="B603">
        <v>314304</v>
      </c>
      <c r="C603">
        <v>23928153</v>
      </c>
      <c r="D603" s="1" t="s">
        <v>851</v>
      </c>
      <c r="E603" t="s">
        <v>544</v>
      </c>
      <c r="F603" t="s">
        <v>852</v>
      </c>
      <c r="G603">
        <v>20110418</v>
      </c>
      <c r="H603">
        <v>20180119</v>
      </c>
      <c r="I603" t="s">
        <v>201</v>
      </c>
      <c r="L603" t="s">
        <v>34</v>
      </c>
      <c r="M603" t="s">
        <v>34</v>
      </c>
      <c r="N603" t="s">
        <v>35</v>
      </c>
      <c r="O603" t="s">
        <v>35</v>
      </c>
      <c r="P603" t="s">
        <v>35</v>
      </c>
      <c r="Q603" t="s">
        <v>35</v>
      </c>
      <c r="R603" t="s">
        <v>35</v>
      </c>
      <c r="S603" t="s">
        <v>34</v>
      </c>
      <c r="AC603" t="s">
        <v>35</v>
      </c>
      <c r="AD603">
        <v>20170124</v>
      </c>
      <c r="AF603" t="str">
        <f>IFERROR(VLOOKUP(RIGHT(TblFeedFile1[[#This Row],[Leave Type ]],6),LkupPayType[],2,FALSE),"TBD")</f>
        <v>TBD</v>
      </c>
      <c r="AG603" t="str">
        <f>IFERROR(VLOOKUP(TblFeedFile1[[#This Row],[ Report Number ]],LkupPayrollCycle[],2,FALSE),"TBD")</f>
        <v>Bi-Weekly</v>
      </c>
      <c r="AH603" t="str">
        <f>IF(TblFeedFile1[[#This Row],[Return to Work Date ]]="","","Y")</f>
        <v/>
      </c>
    </row>
    <row r="604" spans="1:34" x14ac:dyDescent="0.25">
      <c r="A604" t="s">
        <v>29</v>
      </c>
      <c r="B604">
        <v>314301</v>
      </c>
      <c r="C604">
        <v>23929653</v>
      </c>
      <c r="D604" s="1">
        <v>541701178034</v>
      </c>
      <c r="E604" t="s">
        <v>853</v>
      </c>
      <c r="F604" t="s">
        <v>854</v>
      </c>
      <c r="G604">
        <v>20170112</v>
      </c>
      <c r="H604">
        <v>20170504</v>
      </c>
      <c r="I604" t="s">
        <v>53</v>
      </c>
      <c r="L604" t="s">
        <v>34</v>
      </c>
      <c r="M604" t="s">
        <v>34</v>
      </c>
      <c r="N604" t="s">
        <v>35</v>
      </c>
      <c r="O604" t="s">
        <v>35</v>
      </c>
      <c r="P604" t="s">
        <v>35</v>
      </c>
      <c r="Q604" t="s">
        <v>35</v>
      </c>
      <c r="R604" t="s">
        <v>35</v>
      </c>
      <c r="S604" t="s">
        <v>34</v>
      </c>
      <c r="AD604">
        <v>20170124</v>
      </c>
      <c r="AF604" t="str">
        <f>IFERROR(VLOOKUP(RIGHT(TblFeedFile1[[#This Row],[Leave Type ]],6),LkupPayType[],2,FALSE),"TBD")</f>
        <v>TBD</v>
      </c>
      <c r="AG604" t="str">
        <f>IFERROR(VLOOKUP(TblFeedFile1[[#This Row],[ Report Number ]],LkupPayrollCycle[],2,FALSE),"TBD")</f>
        <v>Semi-Monthly</v>
      </c>
      <c r="AH604" t="str">
        <f>IF(TblFeedFile1[[#This Row],[Return to Work Date ]]="","","Y")</f>
        <v/>
      </c>
    </row>
    <row r="605" spans="1:34" x14ac:dyDescent="0.25">
      <c r="A605" t="s">
        <v>37</v>
      </c>
      <c r="B605">
        <v>314301</v>
      </c>
      <c r="C605">
        <v>23929653</v>
      </c>
      <c r="D605" s="1">
        <v>541701178034</v>
      </c>
      <c r="E605" t="s">
        <v>853</v>
      </c>
      <c r="F605" t="s">
        <v>854</v>
      </c>
      <c r="G605">
        <v>20170112</v>
      </c>
      <c r="H605">
        <v>20170222</v>
      </c>
      <c r="I605" t="s">
        <v>155</v>
      </c>
      <c r="L605" t="s">
        <v>34</v>
      </c>
      <c r="M605" t="s">
        <v>34</v>
      </c>
      <c r="N605" t="s">
        <v>35</v>
      </c>
      <c r="O605" t="s">
        <v>35</v>
      </c>
      <c r="P605" t="s">
        <v>35</v>
      </c>
      <c r="Q605" t="s">
        <v>35</v>
      </c>
      <c r="R605" t="s">
        <v>35</v>
      </c>
      <c r="S605" t="s">
        <v>34</v>
      </c>
      <c r="AD605">
        <v>20170124</v>
      </c>
      <c r="AF605" t="str">
        <f>IFERROR(VLOOKUP(RIGHT(TblFeedFile1[[#This Row],[Leave Type ]],6),LkupPayType[],2,FALSE),"TBD")</f>
        <v>TBD</v>
      </c>
      <c r="AG605" t="str">
        <f>IFERROR(VLOOKUP(TblFeedFile1[[#This Row],[ Report Number ]],LkupPayrollCycle[],2,FALSE),"TBD")</f>
        <v>Semi-Monthly</v>
      </c>
      <c r="AH605" t="str">
        <f>IF(TblFeedFile1[[#This Row],[Return to Work Date ]]="","","Y")</f>
        <v/>
      </c>
    </row>
    <row r="606" spans="1:34" x14ac:dyDescent="0.25">
      <c r="A606" t="s">
        <v>37</v>
      </c>
      <c r="B606">
        <v>314301</v>
      </c>
      <c r="C606">
        <v>23929653</v>
      </c>
      <c r="D606" s="1">
        <v>541701178034</v>
      </c>
      <c r="E606" t="s">
        <v>853</v>
      </c>
      <c r="F606" t="s">
        <v>854</v>
      </c>
      <c r="G606">
        <v>20170119</v>
      </c>
      <c r="H606">
        <v>20170222</v>
      </c>
      <c r="I606" t="s">
        <v>459</v>
      </c>
      <c r="L606" t="s">
        <v>34</v>
      </c>
      <c r="M606" t="s">
        <v>34</v>
      </c>
      <c r="N606" t="s">
        <v>35</v>
      </c>
      <c r="O606" t="s">
        <v>35</v>
      </c>
      <c r="P606" t="s">
        <v>35</v>
      </c>
      <c r="Q606" t="s">
        <v>35</v>
      </c>
      <c r="R606" t="s">
        <v>35</v>
      </c>
      <c r="S606" t="s">
        <v>34</v>
      </c>
      <c r="Y606">
        <v>170</v>
      </c>
      <c r="Z606" t="s">
        <v>341</v>
      </c>
      <c r="AA606">
        <v>20170119</v>
      </c>
      <c r="AB606">
        <v>20170712</v>
      </c>
      <c r="AD606">
        <v>20170124</v>
      </c>
      <c r="AF606" t="str">
        <f>IFERROR(VLOOKUP(RIGHT(TblFeedFile1[[#This Row],[Leave Type ]],6),LkupPayType[],2,FALSE),"TBD")</f>
        <v>TBD</v>
      </c>
      <c r="AG606" t="str">
        <f>IFERROR(VLOOKUP(TblFeedFile1[[#This Row],[ Report Number ]],LkupPayrollCycle[],2,FALSE),"TBD")</f>
        <v>Semi-Monthly</v>
      </c>
      <c r="AH606" t="str">
        <f>IF(TblFeedFile1[[#This Row],[Return to Work Date ]]="","","Y")</f>
        <v/>
      </c>
    </row>
    <row r="607" spans="1:34" x14ac:dyDescent="0.25">
      <c r="A607" t="s">
        <v>29</v>
      </c>
      <c r="B607">
        <v>314304</v>
      </c>
      <c r="C607">
        <v>23933999</v>
      </c>
      <c r="D607" s="1">
        <v>561701208986</v>
      </c>
      <c r="E607" t="s">
        <v>82</v>
      </c>
      <c r="F607" t="s">
        <v>209</v>
      </c>
      <c r="G607">
        <v>20170120</v>
      </c>
      <c r="I607" t="s">
        <v>53</v>
      </c>
      <c r="L607" t="s">
        <v>34</v>
      </c>
      <c r="M607" t="s">
        <v>34</v>
      </c>
      <c r="N607" t="s">
        <v>35</v>
      </c>
      <c r="O607" t="s">
        <v>35</v>
      </c>
      <c r="P607" t="s">
        <v>35</v>
      </c>
      <c r="Q607" t="s">
        <v>35</v>
      </c>
      <c r="R607" t="s">
        <v>35</v>
      </c>
      <c r="S607" t="s">
        <v>34</v>
      </c>
      <c r="AD607">
        <v>20170124</v>
      </c>
      <c r="AF607" t="str">
        <f>IFERROR(VLOOKUP(RIGHT(TblFeedFile1[[#This Row],[Leave Type ]],6),LkupPayType[],2,FALSE),"TBD")</f>
        <v>TBD</v>
      </c>
      <c r="AG607" t="str">
        <f>IFERROR(VLOOKUP(TblFeedFile1[[#This Row],[ Report Number ]],LkupPayrollCycle[],2,FALSE),"TBD")</f>
        <v>Bi-Weekly</v>
      </c>
      <c r="AH607" t="str">
        <f>IF(TblFeedFile1[[#This Row],[Return to Work Date ]]="","","Y")</f>
        <v/>
      </c>
    </row>
    <row r="608" spans="1:34" x14ac:dyDescent="0.25">
      <c r="A608" t="s">
        <v>37</v>
      </c>
      <c r="B608">
        <v>314304</v>
      </c>
      <c r="C608">
        <v>23933999</v>
      </c>
      <c r="D608" s="1">
        <v>561701208986</v>
      </c>
      <c r="E608" t="s">
        <v>82</v>
      </c>
      <c r="F608" t="s">
        <v>209</v>
      </c>
      <c r="G608">
        <v>20170120</v>
      </c>
      <c r="H608">
        <v>20170210</v>
      </c>
      <c r="I608" t="s">
        <v>53</v>
      </c>
      <c r="L608" t="s">
        <v>34</v>
      </c>
      <c r="M608" t="s">
        <v>34</v>
      </c>
      <c r="N608" t="s">
        <v>35</v>
      </c>
      <c r="O608" t="s">
        <v>35</v>
      </c>
      <c r="P608" t="s">
        <v>35</v>
      </c>
      <c r="Q608" t="s">
        <v>35</v>
      </c>
      <c r="R608" t="s">
        <v>35</v>
      </c>
      <c r="S608" t="s">
        <v>34</v>
      </c>
      <c r="AD608">
        <v>20170124</v>
      </c>
      <c r="AF608" t="str">
        <f>IFERROR(VLOOKUP(RIGHT(TblFeedFile1[[#This Row],[Leave Type ]],6),LkupPayType[],2,FALSE),"TBD")</f>
        <v>TBD</v>
      </c>
      <c r="AG608" t="str">
        <f>IFERROR(VLOOKUP(TblFeedFile1[[#This Row],[ Report Number ]],LkupPayrollCycle[],2,FALSE),"TBD")</f>
        <v>Bi-Weekly</v>
      </c>
      <c r="AH608" t="str">
        <f>IF(TblFeedFile1[[#This Row],[Return to Work Date ]]="","","Y")</f>
        <v/>
      </c>
    </row>
    <row r="609" spans="1:34" x14ac:dyDescent="0.25">
      <c r="A609" t="s">
        <v>37</v>
      </c>
      <c r="B609">
        <v>314304</v>
      </c>
      <c r="C609">
        <v>23958752</v>
      </c>
      <c r="D609" s="1">
        <v>511701248509</v>
      </c>
      <c r="E609" t="s">
        <v>855</v>
      </c>
      <c r="F609" t="s">
        <v>526</v>
      </c>
      <c r="G609">
        <v>20170112</v>
      </c>
      <c r="I609" t="s">
        <v>53</v>
      </c>
      <c r="L609" t="s">
        <v>34</v>
      </c>
      <c r="M609" t="s">
        <v>34</v>
      </c>
      <c r="N609" t="s">
        <v>35</v>
      </c>
      <c r="O609" t="s">
        <v>35</v>
      </c>
      <c r="P609" t="s">
        <v>35</v>
      </c>
      <c r="Q609" t="s">
        <v>35</v>
      </c>
      <c r="R609" t="s">
        <v>35</v>
      </c>
      <c r="S609" t="s">
        <v>34</v>
      </c>
      <c r="AD609">
        <v>20170124</v>
      </c>
      <c r="AF609" t="str">
        <f>IFERROR(VLOOKUP(RIGHT(TblFeedFile1[[#This Row],[Leave Type ]],6),LkupPayType[],2,FALSE),"TBD")</f>
        <v>TBD</v>
      </c>
      <c r="AG609" t="str">
        <f>IFERROR(VLOOKUP(TblFeedFile1[[#This Row],[ Report Number ]],LkupPayrollCycle[],2,FALSE),"TBD")</f>
        <v>Bi-Weekly</v>
      </c>
      <c r="AH609" t="str">
        <f>IF(TblFeedFile1[[#This Row],[Return to Work Date ]]="","","Y")</f>
        <v/>
      </c>
    </row>
    <row r="610" spans="1:34" x14ac:dyDescent="0.25">
      <c r="A610" t="s">
        <v>37</v>
      </c>
      <c r="B610">
        <v>314301</v>
      </c>
      <c r="C610">
        <v>23973072</v>
      </c>
      <c r="D610" s="1" t="s">
        <v>856</v>
      </c>
      <c r="E610" t="s">
        <v>550</v>
      </c>
      <c r="F610" t="s">
        <v>857</v>
      </c>
      <c r="G610">
        <v>20170117</v>
      </c>
      <c r="H610">
        <v>20170317</v>
      </c>
      <c r="I610" t="s">
        <v>49</v>
      </c>
      <c r="L610" t="s">
        <v>34</v>
      </c>
      <c r="M610" t="s">
        <v>34</v>
      </c>
      <c r="N610" t="s">
        <v>35</v>
      </c>
      <c r="O610" t="s">
        <v>35</v>
      </c>
      <c r="P610" t="s">
        <v>35</v>
      </c>
      <c r="Q610" t="s">
        <v>35</v>
      </c>
      <c r="R610" t="s">
        <v>35</v>
      </c>
      <c r="S610" t="s">
        <v>34</v>
      </c>
      <c r="AD610">
        <v>20170124</v>
      </c>
      <c r="AF610" t="str">
        <f>IFERROR(VLOOKUP(RIGHT(TblFeedFile1[[#This Row],[Leave Type ]],6),LkupPayType[],2,FALSE),"TBD")</f>
        <v>TBD</v>
      </c>
      <c r="AG610" t="str">
        <f>IFERROR(VLOOKUP(TblFeedFile1[[#This Row],[ Report Number ]],LkupPayrollCycle[],2,FALSE),"TBD")</f>
        <v>Semi-Monthly</v>
      </c>
      <c r="AH610" t="str">
        <f>IF(TblFeedFile1[[#This Row],[Return to Work Date ]]="","","Y")</f>
        <v/>
      </c>
    </row>
    <row r="611" spans="1:34" x14ac:dyDescent="0.25">
      <c r="A611" t="s">
        <v>29</v>
      </c>
      <c r="B611">
        <v>314304</v>
      </c>
      <c r="C611">
        <v>23977123</v>
      </c>
      <c r="D611" s="1">
        <v>541612288134</v>
      </c>
      <c r="E611" t="s">
        <v>858</v>
      </c>
      <c r="F611" t="s">
        <v>859</v>
      </c>
      <c r="G611">
        <v>20170116</v>
      </c>
      <c r="H611">
        <v>20170123</v>
      </c>
      <c r="I611" t="s">
        <v>40</v>
      </c>
      <c r="L611" t="s">
        <v>34</v>
      </c>
      <c r="M611" t="s">
        <v>34</v>
      </c>
      <c r="N611" t="s">
        <v>35</v>
      </c>
      <c r="O611" t="s">
        <v>35</v>
      </c>
      <c r="P611" t="s">
        <v>35</v>
      </c>
      <c r="Q611" t="s">
        <v>35</v>
      </c>
      <c r="R611" t="s">
        <v>35</v>
      </c>
      <c r="S611" t="s">
        <v>35</v>
      </c>
      <c r="T611">
        <v>20170124</v>
      </c>
      <c r="AD611">
        <v>20170124</v>
      </c>
      <c r="AF611" t="str">
        <f>IFERROR(VLOOKUP(RIGHT(TblFeedFile1[[#This Row],[Leave Type ]],6),LkupPayType[],2,FALSE),"TBD")</f>
        <v>TBD</v>
      </c>
      <c r="AG611" t="str">
        <f>IFERROR(VLOOKUP(TblFeedFile1[[#This Row],[ Report Number ]],LkupPayrollCycle[],2,FALSE),"TBD")</f>
        <v>Bi-Weekly</v>
      </c>
      <c r="AH611" t="str">
        <f>IF(TblFeedFile1[[#This Row],[Return to Work Date ]]="","","Y")</f>
        <v>Y</v>
      </c>
    </row>
    <row r="612" spans="1:34" x14ac:dyDescent="0.25">
      <c r="A612" t="s">
        <v>37</v>
      </c>
      <c r="B612">
        <v>314304</v>
      </c>
      <c r="C612">
        <v>23977123</v>
      </c>
      <c r="D612" s="1">
        <v>541612288134</v>
      </c>
      <c r="E612" t="s">
        <v>858</v>
      </c>
      <c r="F612" t="s">
        <v>859</v>
      </c>
      <c r="G612">
        <v>20170116</v>
      </c>
      <c r="H612">
        <v>20170123</v>
      </c>
      <c r="I612" t="s">
        <v>40</v>
      </c>
      <c r="L612" t="s">
        <v>34</v>
      </c>
      <c r="M612" t="s">
        <v>34</v>
      </c>
      <c r="N612" t="s">
        <v>35</v>
      </c>
      <c r="O612" t="s">
        <v>35</v>
      </c>
      <c r="P612" t="s">
        <v>35</v>
      </c>
      <c r="Q612" t="s">
        <v>35</v>
      </c>
      <c r="R612" t="s">
        <v>35</v>
      </c>
      <c r="S612" t="s">
        <v>34</v>
      </c>
      <c r="T612">
        <v>20170124</v>
      </c>
      <c r="AD612">
        <v>20170124</v>
      </c>
      <c r="AF612" t="str">
        <f>IFERROR(VLOOKUP(RIGHT(TblFeedFile1[[#This Row],[Leave Type ]],6),LkupPayType[],2,FALSE),"TBD")</f>
        <v>TBD</v>
      </c>
      <c r="AG612" t="str">
        <f>IFERROR(VLOOKUP(TblFeedFile1[[#This Row],[ Report Number ]],LkupPayrollCycle[],2,FALSE),"TBD")</f>
        <v>Bi-Weekly</v>
      </c>
      <c r="AH612" t="str">
        <f>IF(TblFeedFile1[[#This Row],[Return to Work Date ]]="","","Y")</f>
        <v>Y</v>
      </c>
    </row>
    <row r="613" spans="1:34" x14ac:dyDescent="0.25">
      <c r="A613" t="s">
        <v>37</v>
      </c>
      <c r="B613">
        <v>314304</v>
      </c>
      <c r="C613">
        <v>24025486</v>
      </c>
      <c r="D613" s="1" t="s">
        <v>860</v>
      </c>
      <c r="E613" t="s">
        <v>861</v>
      </c>
      <c r="F613" t="s">
        <v>862</v>
      </c>
      <c r="G613">
        <v>20170123</v>
      </c>
      <c r="H613">
        <v>20170123</v>
      </c>
      <c r="I613" t="s">
        <v>33</v>
      </c>
      <c r="L613" t="s">
        <v>34</v>
      </c>
      <c r="M613" t="s">
        <v>34</v>
      </c>
      <c r="N613" t="s">
        <v>35</v>
      </c>
      <c r="O613" t="s">
        <v>35</v>
      </c>
      <c r="P613" t="s">
        <v>35</v>
      </c>
      <c r="Q613" t="s">
        <v>35</v>
      </c>
      <c r="R613" t="s">
        <v>35</v>
      </c>
      <c r="S613" t="s">
        <v>34</v>
      </c>
      <c r="AD613">
        <v>20170124</v>
      </c>
      <c r="AF613" t="str">
        <f>IFERROR(VLOOKUP(RIGHT(TblFeedFile1[[#This Row],[Leave Type ]],6),LkupPayType[],2,FALSE),"TBD")</f>
        <v>TBD</v>
      </c>
      <c r="AG613" t="str">
        <f>IFERROR(VLOOKUP(TblFeedFile1[[#This Row],[ Report Number ]],LkupPayrollCycle[],2,FALSE),"TBD")</f>
        <v>Bi-Weekly</v>
      </c>
      <c r="AH613" t="str">
        <f>IF(TblFeedFile1[[#This Row],[Return to Work Date ]]="","","Y")</f>
        <v/>
      </c>
    </row>
    <row r="614" spans="1:34" x14ac:dyDescent="0.25">
      <c r="A614" t="s">
        <v>37</v>
      </c>
      <c r="B614">
        <v>314304</v>
      </c>
      <c r="C614">
        <v>24025486</v>
      </c>
      <c r="D614" s="1" t="s">
        <v>863</v>
      </c>
      <c r="E614" t="s">
        <v>861</v>
      </c>
      <c r="F614" t="s">
        <v>862</v>
      </c>
      <c r="G614">
        <v>20170123</v>
      </c>
      <c r="H614">
        <v>20170123</v>
      </c>
      <c r="I614" t="s">
        <v>33</v>
      </c>
      <c r="L614" t="s">
        <v>34</v>
      </c>
      <c r="M614" t="s">
        <v>34</v>
      </c>
      <c r="N614" t="s">
        <v>35</v>
      </c>
      <c r="O614" t="s">
        <v>35</v>
      </c>
      <c r="P614" t="s">
        <v>35</v>
      </c>
      <c r="Q614" t="s">
        <v>35</v>
      </c>
      <c r="R614" t="s">
        <v>35</v>
      </c>
      <c r="S614" t="s">
        <v>34</v>
      </c>
      <c r="AD614">
        <v>20170124</v>
      </c>
      <c r="AF614" t="str">
        <f>IFERROR(VLOOKUP(RIGHT(TblFeedFile1[[#This Row],[Leave Type ]],6),LkupPayType[],2,FALSE),"TBD")</f>
        <v>TBD</v>
      </c>
      <c r="AG614" t="str">
        <f>IFERROR(VLOOKUP(TblFeedFile1[[#This Row],[ Report Number ]],LkupPayrollCycle[],2,FALSE),"TBD")</f>
        <v>Bi-Weekly</v>
      </c>
      <c r="AH614" t="str">
        <f>IF(TblFeedFile1[[#This Row],[Return to Work Date ]]="","","Y")</f>
        <v/>
      </c>
    </row>
    <row r="615" spans="1:34" x14ac:dyDescent="0.25">
      <c r="A615" t="s">
        <v>37</v>
      </c>
      <c r="B615">
        <v>314304</v>
      </c>
      <c r="C615">
        <v>24035914</v>
      </c>
      <c r="D615" s="1">
        <v>531701108083</v>
      </c>
      <c r="E615" t="s">
        <v>364</v>
      </c>
      <c r="F615" t="s">
        <v>864</v>
      </c>
      <c r="G615">
        <v>20170104</v>
      </c>
      <c r="H615">
        <v>20170104</v>
      </c>
      <c r="I615" t="s">
        <v>43</v>
      </c>
      <c r="L615" t="s">
        <v>34</v>
      </c>
      <c r="M615" t="s">
        <v>34</v>
      </c>
      <c r="N615" t="s">
        <v>35</v>
      </c>
      <c r="O615" t="s">
        <v>35</v>
      </c>
      <c r="P615" t="s">
        <v>35</v>
      </c>
      <c r="Q615" t="s">
        <v>34</v>
      </c>
      <c r="R615" t="s">
        <v>35</v>
      </c>
      <c r="S615" t="s">
        <v>35</v>
      </c>
      <c r="AD615">
        <v>20170124</v>
      </c>
      <c r="AF615" t="str">
        <f>IFERROR(VLOOKUP(RIGHT(TblFeedFile1[[#This Row],[Leave Type ]],6),LkupPayType[],2,FALSE),"TBD")</f>
        <v>TBD</v>
      </c>
      <c r="AG615" t="str">
        <f>IFERROR(VLOOKUP(TblFeedFile1[[#This Row],[ Report Number ]],LkupPayrollCycle[],2,FALSE),"TBD")</f>
        <v>Bi-Weekly</v>
      </c>
      <c r="AH615" t="str">
        <f>IF(TblFeedFile1[[#This Row],[Return to Work Date ]]="","","Y")</f>
        <v/>
      </c>
    </row>
    <row r="616" spans="1:34" x14ac:dyDescent="0.25">
      <c r="A616" t="s">
        <v>37</v>
      </c>
      <c r="B616">
        <v>314304</v>
      </c>
      <c r="C616">
        <v>24058386</v>
      </c>
      <c r="D616" s="1">
        <v>541701208054</v>
      </c>
      <c r="E616" t="s">
        <v>865</v>
      </c>
      <c r="F616" t="s">
        <v>866</v>
      </c>
      <c r="G616">
        <v>20170123</v>
      </c>
      <c r="H616">
        <v>20170224</v>
      </c>
      <c r="I616" t="s">
        <v>53</v>
      </c>
      <c r="L616" t="s">
        <v>34</v>
      </c>
      <c r="M616" t="s">
        <v>34</v>
      </c>
      <c r="N616" t="s">
        <v>35</v>
      </c>
      <c r="O616" t="s">
        <v>35</v>
      </c>
      <c r="P616" t="s">
        <v>35</v>
      </c>
      <c r="Q616" t="s">
        <v>35</v>
      </c>
      <c r="R616" t="s">
        <v>35</v>
      </c>
      <c r="S616" t="s">
        <v>34</v>
      </c>
      <c r="AD616">
        <v>20170124</v>
      </c>
      <c r="AF616" t="str">
        <f>IFERROR(VLOOKUP(RIGHT(TblFeedFile1[[#This Row],[Leave Type ]],6),LkupPayType[],2,FALSE),"TBD")</f>
        <v>TBD</v>
      </c>
      <c r="AG616" t="str">
        <f>IFERROR(VLOOKUP(TblFeedFile1[[#This Row],[ Report Number ]],LkupPayrollCycle[],2,FALSE),"TBD")</f>
        <v>Bi-Weekly</v>
      </c>
      <c r="AH616" t="str">
        <f>IF(TblFeedFile1[[#This Row],[Return to Work Date ]]="","","Y")</f>
        <v/>
      </c>
    </row>
    <row r="617" spans="1:34" x14ac:dyDescent="0.25">
      <c r="A617" t="s">
        <v>37</v>
      </c>
      <c r="B617">
        <v>314304</v>
      </c>
      <c r="C617">
        <v>24062204</v>
      </c>
      <c r="D617" s="1" t="s">
        <v>867</v>
      </c>
      <c r="E617" t="s">
        <v>868</v>
      </c>
      <c r="F617" t="s">
        <v>869</v>
      </c>
      <c r="G617">
        <v>20170121</v>
      </c>
      <c r="H617">
        <v>20170121</v>
      </c>
      <c r="I617" t="s">
        <v>33</v>
      </c>
      <c r="L617" t="s">
        <v>34</v>
      </c>
      <c r="M617" t="s">
        <v>34</v>
      </c>
      <c r="N617" t="s">
        <v>35</v>
      </c>
      <c r="O617" t="s">
        <v>35</v>
      </c>
      <c r="P617" t="s">
        <v>35</v>
      </c>
      <c r="Q617" t="s">
        <v>35</v>
      </c>
      <c r="R617" t="s">
        <v>35</v>
      </c>
      <c r="S617" t="s">
        <v>34</v>
      </c>
      <c r="AC617" t="s">
        <v>35</v>
      </c>
      <c r="AD617">
        <v>20170124</v>
      </c>
      <c r="AF617" t="str">
        <f>IFERROR(VLOOKUP(RIGHT(TblFeedFile1[[#This Row],[Leave Type ]],6),LkupPayType[],2,FALSE),"TBD")</f>
        <v>TBD</v>
      </c>
      <c r="AG617" t="str">
        <f>IFERROR(VLOOKUP(TblFeedFile1[[#This Row],[ Report Number ]],LkupPayrollCycle[],2,FALSE),"TBD")</f>
        <v>Bi-Weekly</v>
      </c>
      <c r="AH617" t="str">
        <f>IF(TblFeedFile1[[#This Row],[Return to Work Date ]]="","","Y")</f>
        <v/>
      </c>
    </row>
    <row r="618" spans="1:34" x14ac:dyDescent="0.25">
      <c r="A618" t="s">
        <v>37</v>
      </c>
      <c r="B618">
        <v>314301</v>
      </c>
      <c r="C618">
        <v>24062544</v>
      </c>
      <c r="D618" s="1">
        <v>561701248426</v>
      </c>
      <c r="E618" t="s">
        <v>870</v>
      </c>
      <c r="F618" t="s">
        <v>593</v>
      </c>
      <c r="G618">
        <v>20170117</v>
      </c>
      <c r="H618">
        <v>20170205</v>
      </c>
      <c r="I618" t="s">
        <v>53</v>
      </c>
      <c r="L618" t="s">
        <v>34</v>
      </c>
      <c r="M618" t="s">
        <v>34</v>
      </c>
      <c r="N618" t="s">
        <v>35</v>
      </c>
      <c r="O618" t="s">
        <v>35</v>
      </c>
      <c r="P618" t="s">
        <v>35</v>
      </c>
      <c r="Q618" t="s">
        <v>35</v>
      </c>
      <c r="R618" t="s">
        <v>35</v>
      </c>
      <c r="S618" t="s">
        <v>34</v>
      </c>
      <c r="AD618">
        <v>20170124</v>
      </c>
      <c r="AF618" t="str">
        <f>IFERROR(VLOOKUP(RIGHT(TblFeedFile1[[#This Row],[Leave Type ]],6),LkupPayType[],2,FALSE),"TBD")</f>
        <v>TBD</v>
      </c>
      <c r="AG618" t="str">
        <f>IFERROR(VLOOKUP(TblFeedFile1[[#This Row],[ Report Number ]],LkupPayrollCycle[],2,FALSE),"TBD")</f>
        <v>Semi-Monthly</v>
      </c>
      <c r="AH618" t="str">
        <f>IF(TblFeedFile1[[#This Row],[Return to Work Date ]]="","","Y")</f>
        <v/>
      </c>
    </row>
    <row r="619" spans="1:34" x14ac:dyDescent="0.25">
      <c r="A619" t="s">
        <v>37</v>
      </c>
      <c r="B619">
        <v>314301</v>
      </c>
      <c r="C619">
        <v>24062544</v>
      </c>
      <c r="D619" s="1">
        <v>561701248426</v>
      </c>
      <c r="E619" t="s">
        <v>870</v>
      </c>
      <c r="F619" t="s">
        <v>593</v>
      </c>
      <c r="G619">
        <v>20170124</v>
      </c>
      <c r="H619">
        <v>20170205</v>
      </c>
      <c r="I619" t="s">
        <v>40</v>
      </c>
      <c r="L619" t="s">
        <v>34</v>
      </c>
      <c r="M619" t="s">
        <v>34</v>
      </c>
      <c r="N619" t="s">
        <v>35</v>
      </c>
      <c r="O619" t="s">
        <v>35</v>
      </c>
      <c r="P619" t="s">
        <v>35</v>
      </c>
      <c r="Q619" t="s">
        <v>35</v>
      </c>
      <c r="R619" t="s">
        <v>35</v>
      </c>
      <c r="S619" t="s">
        <v>34</v>
      </c>
      <c r="AD619">
        <v>20170124</v>
      </c>
      <c r="AF619" t="str">
        <f>IFERROR(VLOOKUP(RIGHT(TblFeedFile1[[#This Row],[Leave Type ]],6),LkupPayType[],2,FALSE),"TBD")</f>
        <v>TBD</v>
      </c>
      <c r="AG619" t="str">
        <f>IFERROR(VLOOKUP(TblFeedFile1[[#This Row],[ Report Number ]],LkupPayrollCycle[],2,FALSE),"TBD")</f>
        <v>Semi-Monthly</v>
      </c>
      <c r="AH619" t="str">
        <f>IF(TblFeedFile1[[#This Row],[Return to Work Date ]]="","","Y")</f>
        <v/>
      </c>
    </row>
    <row r="620" spans="1:34" x14ac:dyDescent="0.25">
      <c r="A620" t="s">
        <v>29</v>
      </c>
      <c r="B620">
        <v>314304</v>
      </c>
      <c r="C620">
        <v>24072277</v>
      </c>
      <c r="D620" s="1" t="s">
        <v>871</v>
      </c>
      <c r="E620" t="s">
        <v>872</v>
      </c>
      <c r="F620" t="s">
        <v>873</v>
      </c>
      <c r="G620">
        <v>20170103</v>
      </c>
      <c r="H620">
        <v>20170131</v>
      </c>
      <c r="I620" t="s">
        <v>78</v>
      </c>
      <c r="K620" t="s">
        <v>79</v>
      </c>
      <c r="L620" t="s">
        <v>34</v>
      </c>
      <c r="M620" t="s">
        <v>34</v>
      </c>
      <c r="N620" t="s">
        <v>35</v>
      </c>
      <c r="O620" t="s">
        <v>35</v>
      </c>
      <c r="P620" t="s">
        <v>35</v>
      </c>
      <c r="Q620" t="s">
        <v>35</v>
      </c>
      <c r="R620" t="s">
        <v>35</v>
      </c>
      <c r="S620" t="s">
        <v>34</v>
      </c>
      <c r="AD620">
        <v>20170124</v>
      </c>
      <c r="AF620" t="str">
        <f>IFERROR(VLOOKUP(RIGHT(TblFeedFile1[[#This Row],[Leave Type ]],6),LkupPayType[],2,FALSE),"TBD")</f>
        <v>TBD</v>
      </c>
      <c r="AG620" t="str">
        <f>IFERROR(VLOOKUP(TblFeedFile1[[#This Row],[ Report Number ]],LkupPayrollCycle[],2,FALSE),"TBD")</f>
        <v>Bi-Weekly</v>
      </c>
      <c r="AH620" t="str">
        <f>IF(TblFeedFile1[[#This Row],[Return to Work Date ]]="","","Y")</f>
        <v/>
      </c>
    </row>
    <row r="621" spans="1:34" x14ac:dyDescent="0.25">
      <c r="A621" t="s">
        <v>37</v>
      </c>
      <c r="B621">
        <v>314304</v>
      </c>
      <c r="C621">
        <v>24072277</v>
      </c>
      <c r="D621" s="1" t="s">
        <v>871</v>
      </c>
      <c r="E621" t="s">
        <v>872</v>
      </c>
      <c r="F621" t="s">
        <v>873</v>
      </c>
      <c r="G621">
        <v>20170123</v>
      </c>
      <c r="H621">
        <v>20170123</v>
      </c>
      <c r="I621" t="s">
        <v>33</v>
      </c>
      <c r="L621" t="s">
        <v>34</v>
      </c>
      <c r="M621" t="s">
        <v>34</v>
      </c>
      <c r="N621" t="s">
        <v>35</v>
      </c>
      <c r="O621" t="s">
        <v>35</v>
      </c>
      <c r="P621" t="s">
        <v>35</v>
      </c>
      <c r="Q621" t="s">
        <v>35</v>
      </c>
      <c r="R621" t="s">
        <v>35</v>
      </c>
      <c r="S621" t="s">
        <v>34</v>
      </c>
      <c r="AD621">
        <v>20170124</v>
      </c>
      <c r="AF621" t="str">
        <f>IFERROR(VLOOKUP(RIGHT(TblFeedFile1[[#This Row],[Leave Type ]],6),LkupPayType[],2,FALSE),"TBD")</f>
        <v>TBD</v>
      </c>
      <c r="AG621" t="str">
        <f>IFERROR(VLOOKUP(TblFeedFile1[[#This Row],[ Report Number ]],LkupPayrollCycle[],2,FALSE),"TBD")</f>
        <v>Bi-Weekly</v>
      </c>
      <c r="AH621" t="str">
        <f>IF(TblFeedFile1[[#This Row],[Return to Work Date ]]="","","Y")</f>
        <v/>
      </c>
    </row>
    <row r="622" spans="1:34" x14ac:dyDescent="0.25">
      <c r="A622" t="s">
        <v>29</v>
      </c>
      <c r="B622">
        <v>314304</v>
      </c>
      <c r="C622">
        <v>24078106</v>
      </c>
      <c r="D622" s="1">
        <v>561701208976</v>
      </c>
      <c r="E622" t="s">
        <v>874</v>
      </c>
      <c r="F622" t="s">
        <v>875</v>
      </c>
      <c r="G622">
        <v>20170113</v>
      </c>
      <c r="I622" t="s">
        <v>53</v>
      </c>
      <c r="L622" t="s">
        <v>34</v>
      </c>
      <c r="M622" t="s">
        <v>34</v>
      </c>
      <c r="N622" t="s">
        <v>35</v>
      </c>
      <c r="O622" t="s">
        <v>35</v>
      </c>
      <c r="P622" t="s">
        <v>35</v>
      </c>
      <c r="Q622" t="s">
        <v>35</v>
      </c>
      <c r="R622" t="s">
        <v>35</v>
      </c>
      <c r="S622" t="s">
        <v>34</v>
      </c>
      <c r="X622" t="s">
        <v>35</v>
      </c>
      <c r="AD622">
        <v>20170124</v>
      </c>
      <c r="AF622" t="str">
        <f>IFERROR(VLOOKUP(RIGHT(TblFeedFile1[[#This Row],[Leave Type ]],6),LkupPayType[],2,FALSE),"TBD")</f>
        <v>TBD</v>
      </c>
      <c r="AG622" t="str">
        <f>IFERROR(VLOOKUP(TblFeedFile1[[#This Row],[ Report Number ]],LkupPayrollCycle[],2,FALSE),"TBD")</f>
        <v>Bi-Weekly</v>
      </c>
      <c r="AH622" t="str">
        <f>IF(TblFeedFile1[[#This Row],[Return to Work Date ]]="","","Y")</f>
        <v/>
      </c>
    </row>
    <row r="623" spans="1:34" x14ac:dyDescent="0.25">
      <c r="A623" t="s">
        <v>37</v>
      </c>
      <c r="B623">
        <v>314304</v>
      </c>
      <c r="C623">
        <v>24078106</v>
      </c>
      <c r="D623" s="1">
        <v>561701208976</v>
      </c>
      <c r="E623" t="s">
        <v>874</v>
      </c>
      <c r="F623" t="s">
        <v>875</v>
      </c>
      <c r="G623">
        <v>20170113</v>
      </c>
      <c r="H623">
        <v>20170228</v>
      </c>
      <c r="I623" t="s">
        <v>53</v>
      </c>
      <c r="L623" t="s">
        <v>34</v>
      </c>
      <c r="M623" t="s">
        <v>34</v>
      </c>
      <c r="N623" t="s">
        <v>35</v>
      </c>
      <c r="O623" t="s">
        <v>35</v>
      </c>
      <c r="P623" t="s">
        <v>35</v>
      </c>
      <c r="Q623" t="s">
        <v>35</v>
      </c>
      <c r="R623" t="s">
        <v>35</v>
      </c>
      <c r="S623" t="s">
        <v>34</v>
      </c>
      <c r="X623" t="s">
        <v>35</v>
      </c>
      <c r="AD623">
        <v>20170124</v>
      </c>
      <c r="AF623" t="str">
        <f>IFERROR(VLOOKUP(RIGHT(TblFeedFile1[[#This Row],[Leave Type ]],6),LkupPayType[],2,FALSE),"TBD")</f>
        <v>TBD</v>
      </c>
      <c r="AG623" t="str">
        <f>IFERROR(VLOOKUP(TblFeedFile1[[#This Row],[ Report Number ]],LkupPayrollCycle[],2,FALSE),"TBD")</f>
        <v>Bi-Weekly</v>
      </c>
      <c r="AH623" t="str">
        <f>IF(TblFeedFile1[[#This Row],[Return to Work Date ]]="","","Y")</f>
        <v/>
      </c>
    </row>
    <row r="624" spans="1:34" x14ac:dyDescent="0.25">
      <c r="A624" t="s">
        <v>37</v>
      </c>
      <c r="B624">
        <v>314304</v>
      </c>
      <c r="C624">
        <v>24078106</v>
      </c>
      <c r="D624" s="1">
        <v>561701208976</v>
      </c>
      <c r="E624" t="s">
        <v>874</v>
      </c>
      <c r="F624" t="s">
        <v>875</v>
      </c>
      <c r="G624">
        <v>20170120</v>
      </c>
      <c r="H624">
        <v>20170228</v>
      </c>
      <c r="I624" t="s">
        <v>40</v>
      </c>
      <c r="L624" t="s">
        <v>34</v>
      </c>
      <c r="M624" t="s">
        <v>34</v>
      </c>
      <c r="N624" t="s">
        <v>35</v>
      </c>
      <c r="O624" t="s">
        <v>35</v>
      </c>
      <c r="P624" t="s">
        <v>35</v>
      </c>
      <c r="Q624" t="s">
        <v>35</v>
      </c>
      <c r="R624" t="s">
        <v>35</v>
      </c>
      <c r="S624" t="s">
        <v>34</v>
      </c>
      <c r="X624" t="s">
        <v>35</v>
      </c>
      <c r="AD624">
        <v>20170124</v>
      </c>
      <c r="AF624" t="str">
        <f>IFERROR(VLOOKUP(RIGHT(TblFeedFile1[[#This Row],[Leave Type ]],6),LkupPayType[],2,FALSE),"TBD")</f>
        <v>TBD</v>
      </c>
      <c r="AG624" t="str">
        <f>IFERROR(VLOOKUP(TblFeedFile1[[#This Row],[ Report Number ]],LkupPayrollCycle[],2,FALSE),"TBD")</f>
        <v>Bi-Weekly</v>
      </c>
      <c r="AH624" t="str">
        <f>IF(TblFeedFile1[[#This Row],[Return to Work Date ]]="","","Y")</f>
        <v/>
      </c>
    </row>
    <row r="625" spans="1:34" x14ac:dyDescent="0.25">
      <c r="A625" t="s">
        <v>37</v>
      </c>
      <c r="B625">
        <v>314304</v>
      </c>
      <c r="C625">
        <v>24079382</v>
      </c>
      <c r="D625" s="1" t="s">
        <v>876</v>
      </c>
      <c r="E625" t="s">
        <v>556</v>
      </c>
      <c r="F625" t="s">
        <v>877</v>
      </c>
      <c r="G625">
        <v>20170121</v>
      </c>
      <c r="H625">
        <v>20170121</v>
      </c>
      <c r="I625" t="s">
        <v>33</v>
      </c>
      <c r="L625" t="s">
        <v>35</v>
      </c>
      <c r="AD625">
        <v>20170124</v>
      </c>
      <c r="AF625" t="str">
        <f>IFERROR(VLOOKUP(RIGHT(TblFeedFile1[[#This Row],[Leave Type ]],6),LkupPayType[],2,FALSE),"TBD")</f>
        <v>TBD</v>
      </c>
      <c r="AG625" t="str">
        <f>IFERROR(VLOOKUP(TblFeedFile1[[#This Row],[ Report Number ]],LkupPayrollCycle[],2,FALSE),"TBD")</f>
        <v>Bi-Weekly</v>
      </c>
      <c r="AH625" t="str">
        <f>IF(TblFeedFile1[[#This Row],[Return to Work Date ]]="","","Y")</f>
        <v/>
      </c>
    </row>
    <row r="626" spans="1:34" x14ac:dyDescent="0.25">
      <c r="A626" t="s">
        <v>37</v>
      </c>
      <c r="B626">
        <v>314301</v>
      </c>
      <c r="C626">
        <v>24079730</v>
      </c>
      <c r="D626" s="1" t="s">
        <v>878</v>
      </c>
      <c r="E626" t="s">
        <v>879</v>
      </c>
      <c r="F626" t="s">
        <v>880</v>
      </c>
      <c r="G626">
        <v>20170127</v>
      </c>
      <c r="H626">
        <v>20170129</v>
      </c>
      <c r="I626" t="s">
        <v>78</v>
      </c>
      <c r="K626" t="s">
        <v>79</v>
      </c>
      <c r="L626" t="s">
        <v>34</v>
      </c>
      <c r="M626" t="s">
        <v>34</v>
      </c>
      <c r="N626" t="s">
        <v>35</v>
      </c>
      <c r="O626" t="s">
        <v>35</v>
      </c>
      <c r="P626" t="s">
        <v>35</v>
      </c>
      <c r="Q626" t="s">
        <v>35</v>
      </c>
      <c r="R626" t="s">
        <v>35</v>
      </c>
      <c r="S626" t="s">
        <v>34</v>
      </c>
      <c r="AD626">
        <v>20170124</v>
      </c>
      <c r="AF626" t="str">
        <f>IFERROR(VLOOKUP(RIGHT(TblFeedFile1[[#This Row],[Leave Type ]],6),LkupPayType[],2,FALSE),"TBD")</f>
        <v>TBD</v>
      </c>
      <c r="AG626" t="str">
        <f>IFERROR(VLOOKUP(TblFeedFile1[[#This Row],[ Report Number ]],LkupPayrollCycle[],2,FALSE),"TBD")</f>
        <v>Semi-Monthly</v>
      </c>
      <c r="AH626" t="str">
        <f>IF(TblFeedFile1[[#This Row],[Return to Work Date ]]="","","Y")</f>
        <v/>
      </c>
    </row>
    <row r="627" spans="1:34" x14ac:dyDescent="0.25">
      <c r="A627" t="s">
        <v>37</v>
      </c>
      <c r="B627">
        <v>314304</v>
      </c>
      <c r="C627">
        <v>24080176</v>
      </c>
      <c r="D627" s="1">
        <v>521701188402</v>
      </c>
      <c r="E627" t="s">
        <v>881</v>
      </c>
      <c r="F627" t="s">
        <v>39</v>
      </c>
      <c r="G627">
        <v>20170123</v>
      </c>
      <c r="H627">
        <v>20170515</v>
      </c>
      <c r="I627" t="s">
        <v>40</v>
      </c>
      <c r="L627" t="s">
        <v>34</v>
      </c>
      <c r="M627" t="s">
        <v>34</v>
      </c>
      <c r="N627" t="s">
        <v>35</v>
      </c>
      <c r="O627" t="s">
        <v>35</v>
      </c>
      <c r="P627" t="s">
        <v>35</v>
      </c>
      <c r="Q627" t="s">
        <v>35</v>
      </c>
      <c r="R627" t="s">
        <v>35</v>
      </c>
      <c r="S627" t="s">
        <v>34</v>
      </c>
      <c r="AD627">
        <v>20170124</v>
      </c>
      <c r="AF627" t="str">
        <f>IFERROR(VLOOKUP(RIGHT(TblFeedFile1[[#This Row],[Leave Type ]],6),LkupPayType[],2,FALSE),"TBD")</f>
        <v>TBD</v>
      </c>
      <c r="AG627" t="str">
        <f>IFERROR(VLOOKUP(TblFeedFile1[[#This Row],[ Report Number ]],LkupPayrollCycle[],2,FALSE),"TBD")</f>
        <v>Bi-Weekly</v>
      </c>
      <c r="AH627" t="str">
        <f>IF(TblFeedFile1[[#This Row],[Return to Work Date ]]="","","Y")</f>
        <v/>
      </c>
    </row>
    <row r="628" spans="1:34" x14ac:dyDescent="0.25">
      <c r="A628" t="s">
        <v>37</v>
      </c>
      <c r="B628">
        <v>314304</v>
      </c>
      <c r="C628">
        <v>24102223</v>
      </c>
      <c r="D628" s="1" t="s">
        <v>882</v>
      </c>
      <c r="E628" t="s">
        <v>883</v>
      </c>
      <c r="F628" t="s">
        <v>613</v>
      </c>
      <c r="G628">
        <v>20170122</v>
      </c>
      <c r="H628">
        <v>20170122</v>
      </c>
      <c r="I628" t="s">
        <v>33</v>
      </c>
      <c r="L628" t="s">
        <v>34</v>
      </c>
      <c r="M628" t="s">
        <v>34</v>
      </c>
      <c r="N628" t="s">
        <v>35</v>
      </c>
      <c r="O628" t="s">
        <v>35</v>
      </c>
      <c r="P628" t="s">
        <v>35</v>
      </c>
      <c r="Q628" t="s">
        <v>35</v>
      </c>
      <c r="R628" t="s">
        <v>35</v>
      </c>
      <c r="S628" t="s">
        <v>34</v>
      </c>
      <c r="AD628">
        <v>20170124</v>
      </c>
      <c r="AF628" t="str">
        <f>IFERROR(VLOOKUP(RIGHT(TblFeedFile1[[#This Row],[Leave Type ]],6),LkupPayType[],2,FALSE),"TBD")</f>
        <v>TBD</v>
      </c>
      <c r="AG628" t="str">
        <f>IFERROR(VLOOKUP(TblFeedFile1[[#This Row],[ Report Number ]],LkupPayrollCycle[],2,FALSE),"TBD")</f>
        <v>Bi-Weekly</v>
      </c>
      <c r="AH628" t="str">
        <f>IF(TblFeedFile1[[#This Row],[Return to Work Date ]]="","","Y")</f>
        <v/>
      </c>
    </row>
    <row r="629" spans="1:34" x14ac:dyDescent="0.25">
      <c r="A629" t="s">
        <v>29</v>
      </c>
      <c r="B629">
        <v>314301</v>
      </c>
      <c r="C629">
        <v>24141274</v>
      </c>
      <c r="D629" s="1" t="s">
        <v>884</v>
      </c>
      <c r="E629" t="s">
        <v>586</v>
      </c>
      <c r="F629" t="s">
        <v>885</v>
      </c>
      <c r="G629">
        <v>20170107</v>
      </c>
      <c r="H629">
        <v>20170107</v>
      </c>
      <c r="I629" t="s">
        <v>33</v>
      </c>
      <c r="L629" t="s">
        <v>34</v>
      </c>
      <c r="M629" t="s">
        <v>34</v>
      </c>
      <c r="N629" t="s">
        <v>35</v>
      </c>
      <c r="O629" t="s">
        <v>35</v>
      </c>
      <c r="P629" t="s">
        <v>35</v>
      </c>
      <c r="Q629" t="s">
        <v>35</v>
      </c>
      <c r="R629" t="s">
        <v>35</v>
      </c>
      <c r="S629" t="s">
        <v>34</v>
      </c>
      <c r="AC629" t="s">
        <v>35</v>
      </c>
      <c r="AD629">
        <v>20170124</v>
      </c>
      <c r="AF629" t="str">
        <f>IFERROR(VLOOKUP(RIGHT(TblFeedFile1[[#This Row],[Leave Type ]],6),LkupPayType[],2,FALSE),"TBD")</f>
        <v>TBD</v>
      </c>
      <c r="AG629" t="str">
        <f>IFERROR(VLOOKUP(TblFeedFile1[[#This Row],[ Report Number ]],LkupPayrollCycle[],2,FALSE),"TBD")</f>
        <v>Semi-Monthly</v>
      </c>
      <c r="AH629" t="str">
        <f>IF(TblFeedFile1[[#This Row],[Return to Work Date ]]="","","Y")</f>
        <v/>
      </c>
    </row>
    <row r="630" spans="1:34" x14ac:dyDescent="0.25">
      <c r="A630" t="s">
        <v>29</v>
      </c>
      <c r="B630">
        <v>314301</v>
      </c>
      <c r="C630">
        <v>24141274</v>
      </c>
      <c r="D630" s="1" t="s">
        <v>884</v>
      </c>
      <c r="E630" t="s">
        <v>586</v>
      </c>
      <c r="F630" t="s">
        <v>885</v>
      </c>
      <c r="G630">
        <v>20161231</v>
      </c>
      <c r="H630">
        <v>20170106</v>
      </c>
      <c r="I630" t="s">
        <v>185</v>
      </c>
      <c r="L630" t="s">
        <v>34</v>
      </c>
      <c r="M630" t="s">
        <v>34</v>
      </c>
      <c r="N630" t="s">
        <v>35</v>
      </c>
      <c r="O630" t="s">
        <v>35</v>
      </c>
      <c r="P630" t="s">
        <v>35</v>
      </c>
      <c r="Q630" t="s">
        <v>35</v>
      </c>
      <c r="R630" t="s">
        <v>35</v>
      </c>
      <c r="S630" t="s">
        <v>34</v>
      </c>
      <c r="AC630" t="s">
        <v>35</v>
      </c>
      <c r="AD630">
        <v>20170124</v>
      </c>
      <c r="AF630" t="str">
        <f>IFERROR(VLOOKUP(RIGHT(TblFeedFile1[[#This Row],[Leave Type ]],6),LkupPayType[],2,FALSE),"TBD")</f>
        <v>TBD</v>
      </c>
      <c r="AG630" t="str">
        <f>IFERROR(VLOOKUP(TblFeedFile1[[#This Row],[ Report Number ]],LkupPayrollCycle[],2,FALSE),"TBD")</f>
        <v>Semi-Monthly</v>
      </c>
      <c r="AH630" t="str">
        <f>IF(TblFeedFile1[[#This Row],[Return to Work Date ]]="","","Y")</f>
        <v/>
      </c>
    </row>
    <row r="631" spans="1:34" x14ac:dyDescent="0.25">
      <c r="A631" t="s">
        <v>37</v>
      </c>
      <c r="B631">
        <v>314301</v>
      </c>
      <c r="C631">
        <v>24141274</v>
      </c>
      <c r="D631" s="1" t="s">
        <v>884</v>
      </c>
      <c r="E631" t="s">
        <v>586</v>
      </c>
      <c r="F631" t="s">
        <v>885</v>
      </c>
      <c r="G631">
        <v>20161231</v>
      </c>
      <c r="H631">
        <v>20170106</v>
      </c>
      <c r="I631" t="s">
        <v>223</v>
      </c>
      <c r="L631" t="s">
        <v>34</v>
      </c>
      <c r="M631" t="s">
        <v>34</v>
      </c>
      <c r="N631" t="s">
        <v>35</v>
      </c>
      <c r="O631" t="s">
        <v>35</v>
      </c>
      <c r="P631" t="s">
        <v>35</v>
      </c>
      <c r="Q631" t="s">
        <v>35</v>
      </c>
      <c r="R631" t="s">
        <v>35</v>
      </c>
      <c r="S631" t="s">
        <v>34</v>
      </c>
      <c r="T631">
        <v>20170109</v>
      </c>
      <c r="AC631" t="s">
        <v>35</v>
      </c>
      <c r="AD631">
        <v>20170124</v>
      </c>
      <c r="AF631" t="str">
        <f>IFERROR(VLOOKUP(RIGHT(TblFeedFile1[[#This Row],[Leave Type ]],6),LkupPayType[],2,FALSE),"TBD")</f>
        <v>TBD</v>
      </c>
      <c r="AG631" t="str">
        <f>IFERROR(VLOOKUP(TblFeedFile1[[#This Row],[ Report Number ]],LkupPayrollCycle[],2,FALSE),"TBD")</f>
        <v>Semi-Monthly</v>
      </c>
      <c r="AH631" t="str">
        <f>IF(TblFeedFile1[[#This Row],[Return to Work Date ]]="","","Y")</f>
        <v>Y</v>
      </c>
    </row>
    <row r="632" spans="1:34" x14ac:dyDescent="0.25">
      <c r="A632" t="s">
        <v>37</v>
      </c>
      <c r="B632">
        <v>314304</v>
      </c>
      <c r="C632">
        <v>24146066</v>
      </c>
      <c r="D632" s="1" t="s">
        <v>886</v>
      </c>
      <c r="E632" t="s">
        <v>887</v>
      </c>
      <c r="F632" t="s">
        <v>888</v>
      </c>
      <c r="G632">
        <v>20170123</v>
      </c>
      <c r="H632">
        <v>20170310</v>
      </c>
      <c r="I632" t="s">
        <v>223</v>
      </c>
      <c r="L632" t="s">
        <v>34</v>
      </c>
      <c r="M632" t="s">
        <v>34</v>
      </c>
      <c r="N632" t="s">
        <v>35</v>
      </c>
      <c r="O632" t="s">
        <v>35</v>
      </c>
      <c r="P632" t="s">
        <v>35</v>
      </c>
      <c r="Q632" t="s">
        <v>35</v>
      </c>
      <c r="R632" t="s">
        <v>35</v>
      </c>
      <c r="S632" t="s">
        <v>34</v>
      </c>
      <c r="AD632">
        <v>20170124</v>
      </c>
      <c r="AF632" t="str">
        <f>IFERROR(VLOOKUP(RIGHT(TblFeedFile1[[#This Row],[Leave Type ]],6),LkupPayType[],2,FALSE),"TBD")</f>
        <v>TBD</v>
      </c>
      <c r="AG632" t="str">
        <f>IFERROR(VLOOKUP(TblFeedFile1[[#This Row],[ Report Number ]],LkupPayrollCycle[],2,FALSE),"TBD")</f>
        <v>Bi-Weekly</v>
      </c>
      <c r="AH632" t="str">
        <f>IF(TblFeedFile1[[#This Row],[Return to Work Date ]]="","","Y")</f>
        <v/>
      </c>
    </row>
    <row r="633" spans="1:34" x14ac:dyDescent="0.25">
      <c r="A633" t="s">
        <v>37</v>
      </c>
      <c r="B633">
        <v>314301</v>
      </c>
      <c r="C633">
        <v>24163061</v>
      </c>
      <c r="D633" s="1" t="s">
        <v>889</v>
      </c>
      <c r="E633" t="s">
        <v>684</v>
      </c>
      <c r="F633" t="s">
        <v>890</v>
      </c>
      <c r="G633">
        <v>20170123</v>
      </c>
      <c r="H633">
        <v>20170514</v>
      </c>
      <c r="I633" t="s">
        <v>223</v>
      </c>
      <c r="L633" t="s">
        <v>34</v>
      </c>
      <c r="M633" t="s">
        <v>34</v>
      </c>
      <c r="N633" t="s">
        <v>35</v>
      </c>
      <c r="O633" t="s">
        <v>35</v>
      </c>
      <c r="P633" t="s">
        <v>35</v>
      </c>
      <c r="Q633" t="s">
        <v>35</v>
      </c>
      <c r="R633" t="s">
        <v>35</v>
      </c>
      <c r="S633" t="s">
        <v>34</v>
      </c>
      <c r="AD633">
        <v>20170124</v>
      </c>
      <c r="AF633" t="str">
        <f>IFERROR(VLOOKUP(RIGHT(TblFeedFile1[[#This Row],[Leave Type ]],6),LkupPayType[],2,FALSE),"TBD")</f>
        <v>TBD</v>
      </c>
      <c r="AG633" t="str">
        <f>IFERROR(VLOOKUP(TblFeedFile1[[#This Row],[ Report Number ]],LkupPayrollCycle[],2,FALSE),"TBD")</f>
        <v>Semi-Monthly</v>
      </c>
      <c r="AH633" t="str">
        <f>IF(TblFeedFile1[[#This Row],[Return to Work Date ]]="","","Y")</f>
        <v/>
      </c>
    </row>
    <row r="634" spans="1:34" x14ac:dyDescent="0.25">
      <c r="A634" t="s">
        <v>37</v>
      </c>
      <c r="B634">
        <v>314304</v>
      </c>
      <c r="C634">
        <v>24164723</v>
      </c>
      <c r="D634" s="1" t="s">
        <v>891</v>
      </c>
      <c r="E634" t="s">
        <v>892</v>
      </c>
      <c r="F634" t="s">
        <v>893</v>
      </c>
      <c r="G634">
        <v>20170118</v>
      </c>
      <c r="H634">
        <v>20170221</v>
      </c>
      <c r="I634" t="s">
        <v>78</v>
      </c>
      <c r="K634" t="s">
        <v>79</v>
      </c>
      <c r="L634" t="s">
        <v>34</v>
      </c>
      <c r="M634" t="s">
        <v>34</v>
      </c>
      <c r="N634" t="s">
        <v>35</v>
      </c>
      <c r="O634" t="s">
        <v>35</v>
      </c>
      <c r="P634" t="s">
        <v>35</v>
      </c>
      <c r="Q634" t="s">
        <v>35</v>
      </c>
      <c r="R634" t="s">
        <v>35</v>
      </c>
      <c r="S634" t="s">
        <v>34</v>
      </c>
      <c r="AD634">
        <v>20170124</v>
      </c>
      <c r="AF634" t="str">
        <f>IFERROR(VLOOKUP(RIGHT(TblFeedFile1[[#This Row],[Leave Type ]],6),LkupPayType[],2,FALSE),"TBD")</f>
        <v>TBD</v>
      </c>
      <c r="AG634" t="str">
        <f>IFERROR(VLOOKUP(TblFeedFile1[[#This Row],[ Report Number ]],LkupPayrollCycle[],2,FALSE),"TBD")</f>
        <v>Bi-Weekly</v>
      </c>
      <c r="AH634" t="str">
        <f>IF(TblFeedFile1[[#This Row],[Return to Work Date ]]="","","Y")</f>
        <v/>
      </c>
    </row>
    <row r="635" spans="1:34" x14ac:dyDescent="0.25">
      <c r="A635" t="s">
        <v>37</v>
      </c>
      <c r="B635">
        <v>314304</v>
      </c>
      <c r="C635">
        <v>24164723</v>
      </c>
      <c r="D635" s="1">
        <v>501701248570</v>
      </c>
      <c r="E635" t="s">
        <v>892</v>
      </c>
      <c r="F635" t="s">
        <v>893</v>
      </c>
      <c r="G635">
        <v>20170118</v>
      </c>
      <c r="I635" t="s">
        <v>53</v>
      </c>
      <c r="L635" t="s">
        <v>34</v>
      </c>
      <c r="M635" t="s">
        <v>34</v>
      </c>
      <c r="N635" t="s">
        <v>35</v>
      </c>
      <c r="O635" t="s">
        <v>35</v>
      </c>
      <c r="P635" t="s">
        <v>35</v>
      </c>
      <c r="Q635" t="s">
        <v>35</v>
      </c>
      <c r="R635" t="s">
        <v>35</v>
      </c>
      <c r="S635" t="s">
        <v>34</v>
      </c>
      <c r="AD635">
        <v>20170124</v>
      </c>
      <c r="AF635" t="str">
        <f>IFERROR(VLOOKUP(RIGHT(TblFeedFile1[[#This Row],[Leave Type ]],6),LkupPayType[],2,FALSE),"TBD")</f>
        <v>TBD</v>
      </c>
      <c r="AG635" t="str">
        <f>IFERROR(VLOOKUP(TblFeedFile1[[#This Row],[ Report Number ]],LkupPayrollCycle[],2,FALSE),"TBD")</f>
        <v>Bi-Weekly</v>
      </c>
      <c r="AH635" t="str">
        <f>IF(TblFeedFile1[[#This Row],[Return to Work Date ]]="","","Y")</f>
        <v/>
      </c>
    </row>
    <row r="636" spans="1:34" x14ac:dyDescent="0.25">
      <c r="A636" t="s">
        <v>29</v>
      </c>
      <c r="B636">
        <v>314301</v>
      </c>
      <c r="C636">
        <v>24215207</v>
      </c>
      <c r="D636" s="1" t="s">
        <v>894</v>
      </c>
      <c r="E636" t="s">
        <v>895</v>
      </c>
      <c r="F636" t="s">
        <v>896</v>
      </c>
      <c r="G636">
        <v>20170112</v>
      </c>
      <c r="H636">
        <v>20170112</v>
      </c>
      <c r="I636" t="s">
        <v>33</v>
      </c>
      <c r="L636" t="s">
        <v>34</v>
      </c>
      <c r="M636" t="s">
        <v>34</v>
      </c>
      <c r="N636" t="s">
        <v>35</v>
      </c>
      <c r="O636" t="s">
        <v>35</v>
      </c>
      <c r="P636" t="s">
        <v>35</v>
      </c>
      <c r="Q636" t="s">
        <v>35</v>
      </c>
      <c r="R636" t="s">
        <v>35</v>
      </c>
      <c r="S636" t="s">
        <v>34</v>
      </c>
      <c r="AC636" t="s">
        <v>35</v>
      </c>
      <c r="AD636">
        <v>20170124</v>
      </c>
      <c r="AF636" t="str">
        <f>IFERROR(VLOOKUP(RIGHT(TblFeedFile1[[#This Row],[Leave Type ]],6),LkupPayType[],2,FALSE),"TBD")</f>
        <v>TBD</v>
      </c>
      <c r="AG636" t="str">
        <f>IFERROR(VLOOKUP(TblFeedFile1[[#This Row],[ Report Number ]],LkupPayrollCycle[],2,FALSE),"TBD")</f>
        <v>Semi-Monthly</v>
      </c>
      <c r="AH636" t="str">
        <f>IF(TblFeedFile1[[#This Row],[Return to Work Date ]]="","","Y")</f>
        <v/>
      </c>
    </row>
    <row r="637" spans="1:34" x14ac:dyDescent="0.25">
      <c r="A637" t="s">
        <v>29</v>
      </c>
      <c r="B637">
        <v>314301</v>
      </c>
      <c r="C637">
        <v>24215207</v>
      </c>
      <c r="D637" s="1" t="s">
        <v>894</v>
      </c>
      <c r="E637" t="s">
        <v>895</v>
      </c>
      <c r="F637" t="s">
        <v>896</v>
      </c>
      <c r="G637">
        <v>20140415</v>
      </c>
      <c r="H637">
        <v>20170111</v>
      </c>
      <c r="I637" t="s">
        <v>201</v>
      </c>
      <c r="L637" t="s">
        <v>34</v>
      </c>
      <c r="M637" t="s">
        <v>34</v>
      </c>
      <c r="N637" t="s">
        <v>35</v>
      </c>
      <c r="O637" t="s">
        <v>35</v>
      </c>
      <c r="P637" t="s">
        <v>35</v>
      </c>
      <c r="Q637" t="s">
        <v>35</v>
      </c>
      <c r="R637" t="s">
        <v>35</v>
      </c>
      <c r="S637" t="s">
        <v>34</v>
      </c>
      <c r="AC637" t="s">
        <v>35</v>
      </c>
      <c r="AD637">
        <v>20170124</v>
      </c>
      <c r="AF637" t="str">
        <f>IFERROR(VLOOKUP(RIGHT(TblFeedFile1[[#This Row],[Leave Type ]],6),LkupPayType[],2,FALSE),"TBD")</f>
        <v>TBD</v>
      </c>
      <c r="AG637" t="str">
        <f>IFERROR(VLOOKUP(TblFeedFile1[[#This Row],[ Report Number ]],LkupPayrollCycle[],2,FALSE),"TBD")</f>
        <v>Semi-Monthly</v>
      </c>
      <c r="AH637" t="str">
        <f>IF(TblFeedFile1[[#This Row],[Return to Work Date ]]="","","Y")</f>
        <v/>
      </c>
    </row>
    <row r="638" spans="1:34" x14ac:dyDescent="0.25">
      <c r="A638" t="s">
        <v>29</v>
      </c>
      <c r="B638">
        <v>314301</v>
      </c>
      <c r="C638">
        <v>24215207</v>
      </c>
      <c r="D638" s="1" t="s">
        <v>894</v>
      </c>
      <c r="E638" t="s">
        <v>895</v>
      </c>
      <c r="F638" t="s">
        <v>896</v>
      </c>
      <c r="G638">
        <v>20131007</v>
      </c>
      <c r="H638">
        <v>20170111</v>
      </c>
      <c r="I638" t="s">
        <v>537</v>
      </c>
      <c r="L638" t="s">
        <v>34</v>
      </c>
      <c r="M638" t="s">
        <v>34</v>
      </c>
      <c r="N638" t="s">
        <v>35</v>
      </c>
      <c r="O638" t="s">
        <v>35</v>
      </c>
      <c r="P638" t="s">
        <v>35</v>
      </c>
      <c r="Q638" t="s">
        <v>35</v>
      </c>
      <c r="R638" t="s">
        <v>35</v>
      </c>
      <c r="S638" t="s">
        <v>34</v>
      </c>
      <c r="AC638" t="s">
        <v>35</v>
      </c>
      <c r="AD638">
        <v>20170124</v>
      </c>
      <c r="AF638" t="str">
        <f>IFERROR(VLOOKUP(RIGHT(TblFeedFile1[[#This Row],[Leave Type ]],6),LkupPayType[],2,FALSE),"TBD")</f>
        <v>TBD</v>
      </c>
      <c r="AG638" t="str">
        <f>IFERROR(VLOOKUP(TblFeedFile1[[#This Row],[ Report Number ]],LkupPayrollCycle[],2,FALSE),"TBD")</f>
        <v>Semi-Monthly</v>
      </c>
      <c r="AH638" t="str">
        <f>IF(TblFeedFile1[[#This Row],[Return to Work Date ]]="","","Y")</f>
        <v/>
      </c>
    </row>
    <row r="639" spans="1:34" x14ac:dyDescent="0.25">
      <c r="A639" t="s">
        <v>37</v>
      </c>
      <c r="B639">
        <v>314301</v>
      </c>
      <c r="C639">
        <v>24215207</v>
      </c>
      <c r="D639" s="1" t="s">
        <v>894</v>
      </c>
      <c r="E639" t="s">
        <v>895</v>
      </c>
      <c r="F639" t="s">
        <v>896</v>
      </c>
      <c r="G639">
        <v>20131007</v>
      </c>
      <c r="H639">
        <v>20170708</v>
      </c>
      <c r="I639" t="s">
        <v>537</v>
      </c>
      <c r="L639" t="s">
        <v>34</v>
      </c>
      <c r="M639" t="s">
        <v>34</v>
      </c>
      <c r="N639" t="s">
        <v>35</v>
      </c>
      <c r="O639" t="s">
        <v>35</v>
      </c>
      <c r="P639" t="s">
        <v>35</v>
      </c>
      <c r="Q639" t="s">
        <v>35</v>
      </c>
      <c r="R639" t="s">
        <v>35</v>
      </c>
      <c r="S639" t="s">
        <v>34</v>
      </c>
      <c r="AC639" t="s">
        <v>35</v>
      </c>
      <c r="AD639">
        <v>20170124</v>
      </c>
      <c r="AF639" t="str">
        <f>IFERROR(VLOOKUP(RIGHT(TblFeedFile1[[#This Row],[Leave Type ]],6),LkupPayType[],2,FALSE),"TBD")</f>
        <v>TBD</v>
      </c>
      <c r="AG639" t="str">
        <f>IFERROR(VLOOKUP(TblFeedFile1[[#This Row],[ Report Number ]],LkupPayrollCycle[],2,FALSE),"TBD")</f>
        <v>Semi-Monthly</v>
      </c>
      <c r="AH639" t="str">
        <f>IF(TblFeedFile1[[#This Row],[Return to Work Date ]]="","","Y")</f>
        <v/>
      </c>
    </row>
    <row r="640" spans="1:34" x14ac:dyDescent="0.25">
      <c r="A640" t="s">
        <v>37</v>
      </c>
      <c r="B640">
        <v>314301</v>
      </c>
      <c r="C640">
        <v>24215207</v>
      </c>
      <c r="D640" s="1" t="s">
        <v>894</v>
      </c>
      <c r="E640" t="s">
        <v>895</v>
      </c>
      <c r="F640" t="s">
        <v>896</v>
      </c>
      <c r="G640">
        <v>20150415</v>
      </c>
      <c r="H640">
        <v>20170708</v>
      </c>
      <c r="I640" t="s">
        <v>201</v>
      </c>
      <c r="L640" t="s">
        <v>34</v>
      </c>
      <c r="M640" t="s">
        <v>34</v>
      </c>
      <c r="N640" t="s">
        <v>35</v>
      </c>
      <c r="O640" t="s">
        <v>35</v>
      </c>
      <c r="P640" t="s">
        <v>35</v>
      </c>
      <c r="Q640" t="s">
        <v>35</v>
      </c>
      <c r="R640" t="s">
        <v>35</v>
      </c>
      <c r="S640" t="s">
        <v>34</v>
      </c>
      <c r="AC640" t="s">
        <v>35</v>
      </c>
      <c r="AD640">
        <v>20170124</v>
      </c>
      <c r="AF640" t="str">
        <f>IFERROR(VLOOKUP(RIGHT(TblFeedFile1[[#This Row],[Leave Type ]],6),LkupPayType[],2,FALSE),"TBD")</f>
        <v>TBD</v>
      </c>
      <c r="AG640" t="str">
        <f>IFERROR(VLOOKUP(TblFeedFile1[[#This Row],[ Report Number ]],LkupPayrollCycle[],2,FALSE),"TBD")</f>
        <v>Semi-Monthly</v>
      </c>
      <c r="AH640" t="str">
        <f>IF(TblFeedFile1[[#This Row],[Return to Work Date ]]="","","Y")</f>
        <v/>
      </c>
    </row>
    <row r="641" spans="1:34" x14ac:dyDescent="0.25">
      <c r="A641" t="s">
        <v>37</v>
      </c>
      <c r="B641">
        <v>314304</v>
      </c>
      <c r="C641">
        <v>24226145</v>
      </c>
      <c r="D641" s="1" t="s">
        <v>897</v>
      </c>
      <c r="E641" t="s">
        <v>51</v>
      </c>
      <c r="F641" t="s">
        <v>898</v>
      </c>
      <c r="G641">
        <v>20170124</v>
      </c>
      <c r="H641">
        <v>20170307</v>
      </c>
      <c r="I641" t="s">
        <v>36</v>
      </c>
      <c r="L641" t="s">
        <v>34</v>
      </c>
      <c r="M641" t="s">
        <v>34</v>
      </c>
      <c r="N641" t="s">
        <v>35</v>
      </c>
      <c r="O641" t="s">
        <v>35</v>
      </c>
      <c r="P641" t="s">
        <v>35</v>
      </c>
      <c r="Q641" t="s">
        <v>35</v>
      </c>
      <c r="R641" t="s">
        <v>35</v>
      </c>
      <c r="S641" t="s">
        <v>34</v>
      </c>
      <c r="AD641">
        <v>20170124</v>
      </c>
      <c r="AF641" t="str">
        <f>IFERROR(VLOOKUP(RIGHT(TblFeedFile1[[#This Row],[Leave Type ]],6),LkupPayType[],2,FALSE),"TBD")</f>
        <v>TBD</v>
      </c>
      <c r="AG641" t="str">
        <f>IFERROR(VLOOKUP(TblFeedFile1[[#This Row],[ Report Number ]],LkupPayrollCycle[],2,FALSE),"TBD")</f>
        <v>Bi-Weekly</v>
      </c>
      <c r="AH641" t="str">
        <f>IF(TblFeedFile1[[#This Row],[Return to Work Date ]]="","","Y")</f>
        <v/>
      </c>
    </row>
    <row r="642" spans="1:34" x14ac:dyDescent="0.25">
      <c r="A642" t="s">
        <v>37</v>
      </c>
      <c r="B642">
        <v>314304</v>
      </c>
      <c r="C642">
        <v>24231465</v>
      </c>
      <c r="D642" s="1">
        <v>571701238367</v>
      </c>
      <c r="E642" t="s">
        <v>899</v>
      </c>
      <c r="F642" t="s">
        <v>39</v>
      </c>
      <c r="G642">
        <v>20170123</v>
      </c>
      <c r="H642">
        <v>20170223</v>
      </c>
      <c r="I642" t="s">
        <v>53</v>
      </c>
      <c r="L642" t="s">
        <v>34</v>
      </c>
      <c r="M642" t="s">
        <v>34</v>
      </c>
      <c r="N642" t="s">
        <v>35</v>
      </c>
      <c r="O642" t="s">
        <v>35</v>
      </c>
      <c r="P642" t="s">
        <v>35</v>
      </c>
      <c r="Q642" t="s">
        <v>35</v>
      </c>
      <c r="R642" t="s">
        <v>35</v>
      </c>
      <c r="S642" t="s">
        <v>34</v>
      </c>
      <c r="AD642">
        <v>20170124</v>
      </c>
      <c r="AF642" t="str">
        <f>IFERROR(VLOOKUP(RIGHT(TblFeedFile1[[#This Row],[Leave Type ]],6),LkupPayType[],2,FALSE),"TBD")</f>
        <v>TBD</v>
      </c>
      <c r="AG642" t="str">
        <f>IFERROR(VLOOKUP(TblFeedFile1[[#This Row],[ Report Number ]],LkupPayrollCycle[],2,FALSE),"TBD")</f>
        <v>Bi-Weekly</v>
      </c>
      <c r="AH642" t="str">
        <f>IF(TblFeedFile1[[#This Row],[Return to Work Date ]]="","","Y")</f>
        <v/>
      </c>
    </row>
    <row r="643" spans="1:34" x14ac:dyDescent="0.25">
      <c r="A643" t="s">
        <v>37</v>
      </c>
      <c r="B643">
        <v>314304</v>
      </c>
      <c r="C643">
        <v>24240686</v>
      </c>
      <c r="D643" s="1" t="s">
        <v>900</v>
      </c>
      <c r="E643" t="s">
        <v>430</v>
      </c>
      <c r="F643" t="s">
        <v>178</v>
      </c>
      <c r="G643">
        <v>20170123</v>
      </c>
      <c r="H643">
        <v>20170219</v>
      </c>
      <c r="I643" t="s">
        <v>273</v>
      </c>
      <c r="L643" t="s">
        <v>34</v>
      </c>
      <c r="M643" t="s">
        <v>34</v>
      </c>
      <c r="N643" t="s">
        <v>35</v>
      </c>
      <c r="O643" t="s">
        <v>35</v>
      </c>
      <c r="P643" t="s">
        <v>35</v>
      </c>
      <c r="Q643" t="s">
        <v>35</v>
      </c>
      <c r="R643" t="s">
        <v>35</v>
      </c>
      <c r="S643" t="s">
        <v>34</v>
      </c>
      <c r="AD643">
        <v>20170124</v>
      </c>
      <c r="AF643" t="str">
        <f>IFERROR(VLOOKUP(RIGHT(TblFeedFile1[[#This Row],[Leave Type ]],6),LkupPayType[],2,FALSE),"TBD")</f>
        <v>TBD</v>
      </c>
      <c r="AG643" t="str">
        <f>IFERROR(VLOOKUP(TblFeedFile1[[#This Row],[ Report Number ]],LkupPayrollCycle[],2,FALSE),"TBD")</f>
        <v>Bi-Weekly</v>
      </c>
      <c r="AH643" t="str">
        <f>IF(TblFeedFile1[[#This Row],[Return to Work Date ]]="","","Y")</f>
        <v/>
      </c>
    </row>
    <row r="644" spans="1:34" x14ac:dyDescent="0.25">
      <c r="A644" t="s">
        <v>29</v>
      </c>
      <c r="B644">
        <v>314304</v>
      </c>
      <c r="C644">
        <v>24252777</v>
      </c>
      <c r="D644" s="1">
        <v>521701098852</v>
      </c>
      <c r="E644" t="s">
        <v>901</v>
      </c>
      <c r="F644" t="s">
        <v>902</v>
      </c>
      <c r="G644">
        <v>20170109</v>
      </c>
      <c r="H644">
        <v>20170125</v>
      </c>
      <c r="I644" t="s">
        <v>40</v>
      </c>
      <c r="L644" t="s">
        <v>34</v>
      </c>
      <c r="M644" t="s">
        <v>34</v>
      </c>
      <c r="N644" t="s">
        <v>35</v>
      </c>
      <c r="O644" t="s">
        <v>35</v>
      </c>
      <c r="P644" t="s">
        <v>35</v>
      </c>
      <c r="Q644" t="s">
        <v>35</v>
      </c>
      <c r="R644" t="s">
        <v>35</v>
      </c>
      <c r="S644" t="s">
        <v>34</v>
      </c>
      <c r="AD644">
        <v>20170124</v>
      </c>
      <c r="AF644" t="str">
        <f>IFERROR(VLOOKUP(RIGHT(TblFeedFile1[[#This Row],[Leave Type ]],6),LkupPayType[],2,FALSE),"TBD")</f>
        <v>TBD</v>
      </c>
      <c r="AG644" t="str">
        <f>IFERROR(VLOOKUP(TblFeedFile1[[#This Row],[ Report Number ]],LkupPayrollCycle[],2,FALSE),"TBD")</f>
        <v>Bi-Weekly</v>
      </c>
      <c r="AH644" t="str">
        <f>IF(TblFeedFile1[[#This Row],[Return to Work Date ]]="","","Y")</f>
        <v/>
      </c>
    </row>
    <row r="645" spans="1:34" x14ac:dyDescent="0.25">
      <c r="A645" t="s">
        <v>37</v>
      </c>
      <c r="B645">
        <v>314304</v>
      </c>
      <c r="C645">
        <v>24252777</v>
      </c>
      <c r="D645" s="1">
        <v>521701098852</v>
      </c>
      <c r="E645" t="s">
        <v>901</v>
      </c>
      <c r="F645" t="s">
        <v>902</v>
      </c>
      <c r="G645">
        <v>20170109</v>
      </c>
      <c r="H645">
        <v>20170217</v>
      </c>
      <c r="I645" t="s">
        <v>40</v>
      </c>
      <c r="L645" t="s">
        <v>34</v>
      </c>
      <c r="M645" t="s">
        <v>34</v>
      </c>
      <c r="N645" t="s">
        <v>35</v>
      </c>
      <c r="O645" t="s">
        <v>35</v>
      </c>
      <c r="P645" t="s">
        <v>35</v>
      </c>
      <c r="Q645" t="s">
        <v>35</v>
      </c>
      <c r="R645" t="s">
        <v>35</v>
      </c>
      <c r="S645" t="s">
        <v>34</v>
      </c>
      <c r="AD645">
        <v>20170124</v>
      </c>
      <c r="AF645" t="str">
        <f>IFERROR(VLOOKUP(RIGHT(TblFeedFile1[[#This Row],[Leave Type ]],6),LkupPayType[],2,FALSE),"TBD")</f>
        <v>TBD</v>
      </c>
      <c r="AG645" t="str">
        <f>IFERROR(VLOOKUP(TblFeedFile1[[#This Row],[ Report Number ]],LkupPayrollCycle[],2,FALSE),"TBD")</f>
        <v>Bi-Weekly</v>
      </c>
      <c r="AH645" t="str">
        <f>IF(TblFeedFile1[[#This Row],[Return to Work Date ]]="","","Y")</f>
        <v/>
      </c>
    </row>
    <row r="646" spans="1:34" x14ac:dyDescent="0.25">
      <c r="A646" t="s">
        <v>37</v>
      </c>
      <c r="B646">
        <v>314304</v>
      </c>
      <c r="C646">
        <v>24262542</v>
      </c>
      <c r="D646" s="1" t="s">
        <v>903</v>
      </c>
      <c r="E646" t="s">
        <v>904</v>
      </c>
      <c r="F646" t="s">
        <v>905</v>
      </c>
      <c r="G646">
        <v>20170124</v>
      </c>
      <c r="H646">
        <v>20170516</v>
      </c>
      <c r="I646" t="s">
        <v>223</v>
      </c>
      <c r="L646" t="s">
        <v>34</v>
      </c>
      <c r="M646" t="s">
        <v>34</v>
      </c>
      <c r="N646" t="s">
        <v>35</v>
      </c>
      <c r="O646" t="s">
        <v>35</v>
      </c>
      <c r="P646" t="s">
        <v>35</v>
      </c>
      <c r="Q646" t="s">
        <v>35</v>
      </c>
      <c r="R646" t="s">
        <v>35</v>
      </c>
      <c r="S646" t="s">
        <v>34</v>
      </c>
      <c r="AD646">
        <v>20170124</v>
      </c>
      <c r="AF646" t="str">
        <f>IFERROR(VLOOKUP(RIGHT(TblFeedFile1[[#This Row],[Leave Type ]],6),LkupPayType[],2,FALSE),"TBD")</f>
        <v>TBD</v>
      </c>
      <c r="AG646" t="str">
        <f>IFERROR(VLOOKUP(TblFeedFile1[[#This Row],[ Report Number ]],LkupPayrollCycle[],2,FALSE),"TBD")</f>
        <v>Bi-Weekly</v>
      </c>
      <c r="AH646" t="str">
        <f>IF(TblFeedFile1[[#This Row],[Return to Work Date ]]="","","Y")</f>
        <v/>
      </c>
    </row>
    <row r="647" spans="1:34" x14ac:dyDescent="0.25">
      <c r="A647" t="s">
        <v>37</v>
      </c>
      <c r="B647">
        <v>314301</v>
      </c>
      <c r="C647">
        <v>24292854</v>
      </c>
      <c r="D647" s="1" t="s">
        <v>906</v>
      </c>
      <c r="E647" t="s">
        <v>289</v>
      </c>
      <c r="F647" t="s">
        <v>907</v>
      </c>
      <c r="G647">
        <v>20170122</v>
      </c>
      <c r="H647">
        <v>20170414</v>
      </c>
      <c r="I647" t="s">
        <v>78</v>
      </c>
      <c r="K647" t="s">
        <v>79</v>
      </c>
      <c r="L647" t="s">
        <v>34</v>
      </c>
      <c r="M647" t="s">
        <v>34</v>
      </c>
      <c r="N647" t="s">
        <v>35</v>
      </c>
      <c r="O647" t="s">
        <v>35</v>
      </c>
      <c r="P647" t="s">
        <v>35</v>
      </c>
      <c r="Q647" t="s">
        <v>35</v>
      </c>
      <c r="R647" t="s">
        <v>35</v>
      </c>
      <c r="S647" t="s">
        <v>34</v>
      </c>
      <c r="AD647">
        <v>20170124</v>
      </c>
      <c r="AF647" t="str">
        <f>IFERROR(VLOOKUP(RIGHT(TblFeedFile1[[#This Row],[Leave Type ]],6),LkupPayType[],2,FALSE),"TBD")</f>
        <v>TBD</v>
      </c>
      <c r="AG647" t="str">
        <f>IFERROR(VLOOKUP(TblFeedFile1[[#This Row],[ Report Number ]],LkupPayrollCycle[],2,FALSE),"TBD")</f>
        <v>Semi-Monthly</v>
      </c>
      <c r="AH647" t="str">
        <f>IF(TblFeedFile1[[#This Row],[Return to Work Date ]]="","","Y")</f>
        <v/>
      </c>
    </row>
    <row r="648" spans="1:34" x14ac:dyDescent="0.25">
      <c r="A648" t="s">
        <v>37</v>
      </c>
      <c r="B648">
        <v>314301</v>
      </c>
      <c r="C648">
        <v>24292854</v>
      </c>
      <c r="D648" s="1">
        <v>511701238119</v>
      </c>
      <c r="E648" t="s">
        <v>289</v>
      </c>
      <c r="F648" t="s">
        <v>907</v>
      </c>
      <c r="G648">
        <v>20170123</v>
      </c>
      <c r="H648">
        <v>20170414</v>
      </c>
      <c r="I648" t="s">
        <v>53</v>
      </c>
      <c r="L648" t="s">
        <v>34</v>
      </c>
      <c r="M648" t="s">
        <v>34</v>
      </c>
      <c r="N648" t="s">
        <v>35</v>
      </c>
      <c r="O648" t="s">
        <v>35</v>
      </c>
      <c r="P648" t="s">
        <v>35</v>
      </c>
      <c r="Q648" t="s">
        <v>35</v>
      </c>
      <c r="R648" t="s">
        <v>35</v>
      </c>
      <c r="S648" t="s">
        <v>34</v>
      </c>
      <c r="AD648">
        <v>20170124</v>
      </c>
      <c r="AF648" t="str">
        <f>IFERROR(VLOOKUP(RIGHT(TblFeedFile1[[#This Row],[Leave Type ]],6),LkupPayType[],2,FALSE),"TBD")</f>
        <v>TBD</v>
      </c>
      <c r="AG648" t="str">
        <f>IFERROR(VLOOKUP(TblFeedFile1[[#This Row],[ Report Number ]],LkupPayrollCycle[],2,FALSE),"TBD")</f>
        <v>Semi-Monthly</v>
      </c>
      <c r="AH648" t="str">
        <f>IF(TblFeedFile1[[#This Row],[Return to Work Date ]]="","","Y")</f>
        <v/>
      </c>
    </row>
    <row r="649" spans="1:34" x14ac:dyDescent="0.25">
      <c r="A649" t="s">
        <v>37</v>
      </c>
      <c r="B649">
        <v>314301</v>
      </c>
      <c r="C649">
        <v>24292854</v>
      </c>
      <c r="D649" s="1">
        <v>511701238119</v>
      </c>
      <c r="E649" t="s">
        <v>289</v>
      </c>
      <c r="F649" t="s">
        <v>907</v>
      </c>
      <c r="G649">
        <v>20170130</v>
      </c>
      <c r="H649">
        <v>20170414</v>
      </c>
      <c r="I649" t="s">
        <v>40</v>
      </c>
      <c r="L649" t="s">
        <v>34</v>
      </c>
      <c r="M649" t="s">
        <v>34</v>
      </c>
      <c r="N649" t="s">
        <v>35</v>
      </c>
      <c r="O649" t="s">
        <v>35</v>
      </c>
      <c r="P649" t="s">
        <v>35</v>
      </c>
      <c r="Q649" t="s">
        <v>35</v>
      </c>
      <c r="R649" t="s">
        <v>35</v>
      </c>
      <c r="S649" t="s">
        <v>34</v>
      </c>
      <c r="AD649">
        <v>20170124</v>
      </c>
      <c r="AF649" t="str">
        <f>IFERROR(VLOOKUP(RIGHT(TblFeedFile1[[#This Row],[Leave Type ]],6),LkupPayType[],2,FALSE),"TBD")</f>
        <v>TBD</v>
      </c>
      <c r="AG649" t="str">
        <f>IFERROR(VLOOKUP(TblFeedFile1[[#This Row],[ Report Number ]],LkupPayrollCycle[],2,FALSE),"TBD")</f>
        <v>Semi-Monthly</v>
      </c>
      <c r="AH649" t="str">
        <f>IF(TblFeedFile1[[#This Row],[Return to Work Date ]]="","","Y")</f>
        <v/>
      </c>
    </row>
    <row r="650" spans="1:34" x14ac:dyDescent="0.25">
      <c r="A650" t="s">
        <v>29</v>
      </c>
      <c r="B650">
        <v>314304</v>
      </c>
      <c r="C650">
        <v>24306832</v>
      </c>
      <c r="D650" s="1" t="s">
        <v>908</v>
      </c>
      <c r="E650" t="s">
        <v>909</v>
      </c>
      <c r="F650" t="s">
        <v>910</v>
      </c>
      <c r="G650">
        <v>20170110</v>
      </c>
      <c r="H650">
        <v>20170120</v>
      </c>
      <c r="I650" t="s">
        <v>36</v>
      </c>
      <c r="L650" t="s">
        <v>34</v>
      </c>
      <c r="M650" t="s">
        <v>34</v>
      </c>
      <c r="N650" t="s">
        <v>35</v>
      </c>
      <c r="O650" t="s">
        <v>35</v>
      </c>
      <c r="P650" t="s">
        <v>35</v>
      </c>
      <c r="Q650" t="s">
        <v>35</v>
      </c>
      <c r="R650" t="s">
        <v>35</v>
      </c>
      <c r="S650" t="s">
        <v>34</v>
      </c>
      <c r="AD650">
        <v>20170124</v>
      </c>
      <c r="AF650" t="str">
        <f>IFERROR(VLOOKUP(RIGHT(TblFeedFile1[[#This Row],[Leave Type ]],6),LkupPayType[],2,FALSE),"TBD")</f>
        <v>TBD</v>
      </c>
      <c r="AG650" t="str">
        <f>IFERROR(VLOOKUP(TblFeedFile1[[#This Row],[ Report Number ]],LkupPayrollCycle[],2,FALSE),"TBD")</f>
        <v>Bi-Weekly</v>
      </c>
      <c r="AH650" t="str">
        <f>IF(TblFeedFile1[[#This Row],[Return to Work Date ]]="","","Y")</f>
        <v/>
      </c>
    </row>
    <row r="651" spans="1:34" x14ac:dyDescent="0.25">
      <c r="A651" t="s">
        <v>37</v>
      </c>
      <c r="B651">
        <v>314304</v>
      </c>
      <c r="C651">
        <v>24306832</v>
      </c>
      <c r="D651" s="1" t="s">
        <v>908</v>
      </c>
      <c r="E651" t="s">
        <v>909</v>
      </c>
      <c r="F651" t="s">
        <v>910</v>
      </c>
      <c r="G651">
        <v>20170110</v>
      </c>
      <c r="H651">
        <v>20170206</v>
      </c>
      <c r="I651" t="s">
        <v>36</v>
      </c>
      <c r="L651" t="s">
        <v>34</v>
      </c>
      <c r="M651" t="s">
        <v>34</v>
      </c>
      <c r="N651" t="s">
        <v>35</v>
      </c>
      <c r="O651" t="s">
        <v>35</v>
      </c>
      <c r="P651" t="s">
        <v>35</v>
      </c>
      <c r="Q651" t="s">
        <v>35</v>
      </c>
      <c r="R651" t="s">
        <v>35</v>
      </c>
      <c r="S651" t="s">
        <v>34</v>
      </c>
      <c r="AD651">
        <v>20170124</v>
      </c>
      <c r="AF651" t="str">
        <f>IFERROR(VLOOKUP(RIGHT(TblFeedFile1[[#This Row],[Leave Type ]],6),LkupPayType[],2,FALSE),"TBD")</f>
        <v>TBD</v>
      </c>
      <c r="AG651" t="str">
        <f>IFERROR(VLOOKUP(TblFeedFile1[[#This Row],[ Report Number ]],LkupPayrollCycle[],2,FALSE),"TBD")</f>
        <v>Bi-Weekly</v>
      </c>
      <c r="AH651" t="str">
        <f>IF(TblFeedFile1[[#This Row],[Return to Work Date ]]="","","Y")</f>
        <v/>
      </c>
    </row>
    <row r="652" spans="1:34" x14ac:dyDescent="0.25">
      <c r="A652" t="s">
        <v>37</v>
      </c>
      <c r="B652">
        <v>314304</v>
      </c>
      <c r="C652">
        <v>24310455</v>
      </c>
      <c r="D652" s="1">
        <v>531701188393</v>
      </c>
      <c r="E652" t="s">
        <v>911</v>
      </c>
      <c r="F652" t="s">
        <v>912</v>
      </c>
      <c r="G652">
        <v>20170122</v>
      </c>
      <c r="H652">
        <v>20170215</v>
      </c>
      <c r="I652" t="s">
        <v>40</v>
      </c>
      <c r="L652" t="s">
        <v>34</v>
      </c>
      <c r="M652" t="s">
        <v>34</v>
      </c>
      <c r="N652" t="s">
        <v>35</v>
      </c>
      <c r="O652" t="s">
        <v>35</v>
      </c>
      <c r="P652" t="s">
        <v>35</v>
      </c>
      <c r="Q652" t="s">
        <v>35</v>
      </c>
      <c r="R652" t="s">
        <v>35</v>
      </c>
      <c r="S652" t="s">
        <v>34</v>
      </c>
      <c r="AD652">
        <v>20170124</v>
      </c>
      <c r="AF652" t="str">
        <f>IFERROR(VLOOKUP(RIGHT(TblFeedFile1[[#This Row],[Leave Type ]],6),LkupPayType[],2,FALSE),"TBD")</f>
        <v>TBD</v>
      </c>
      <c r="AG652" t="str">
        <f>IFERROR(VLOOKUP(TblFeedFile1[[#This Row],[ Report Number ]],LkupPayrollCycle[],2,FALSE),"TBD")</f>
        <v>Bi-Weekly</v>
      </c>
      <c r="AH652" t="str">
        <f>IF(TblFeedFile1[[#This Row],[Return to Work Date ]]="","","Y")</f>
        <v/>
      </c>
    </row>
    <row r="653" spans="1:34" x14ac:dyDescent="0.25">
      <c r="A653" t="s">
        <v>29</v>
      </c>
      <c r="B653">
        <v>314304</v>
      </c>
      <c r="C653">
        <v>24336950</v>
      </c>
      <c r="D653" s="1">
        <v>521701188562</v>
      </c>
      <c r="E653" t="s">
        <v>356</v>
      </c>
      <c r="F653" t="s">
        <v>913</v>
      </c>
      <c r="G653">
        <v>20170119</v>
      </c>
      <c r="H653">
        <v>20170215</v>
      </c>
      <c r="I653" t="s">
        <v>53</v>
      </c>
      <c r="L653" t="s">
        <v>34</v>
      </c>
      <c r="M653" t="s">
        <v>34</v>
      </c>
      <c r="N653" t="s">
        <v>35</v>
      </c>
      <c r="O653" t="s">
        <v>35</v>
      </c>
      <c r="P653" t="s">
        <v>35</v>
      </c>
      <c r="Q653" t="s">
        <v>35</v>
      </c>
      <c r="R653" t="s">
        <v>35</v>
      </c>
      <c r="S653" t="s">
        <v>35</v>
      </c>
      <c r="AD653">
        <v>20170124</v>
      </c>
      <c r="AF653" t="str">
        <f>IFERROR(VLOOKUP(RIGHT(TblFeedFile1[[#This Row],[Leave Type ]],6),LkupPayType[],2,FALSE),"TBD")</f>
        <v>TBD</v>
      </c>
      <c r="AG653" t="str">
        <f>IFERROR(VLOOKUP(TblFeedFile1[[#This Row],[ Report Number ]],LkupPayrollCycle[],2,FALSE),"TBD")</f>
        <v>Bi-Weekly</v>
      </c>
      <c r="AH653" t="str">
        <f>IF(TblFeedFile1[[#This Row],[Return to Work Date ]]="","","Y")</f>
        <v/>
      </c>
    </row>
    <row r="654" spans="1:34" x14ac:dyDescent="0.25">
      <c r="A654" t="s">
        <v>37</v>
      </c>
      <c r="B654">
        <v>314304</v>
      </c>
      <c r="C654">
        <v>24336950</v>
      </c>
      <c r="D654" s="1">
        <v>521701188562</v>
      </c>
      <c r="E654" t="s">
        <v>356</v>
      </c>
      <c r="F654" t="s">
        <v>913</v>
      </c>
      <c r="G654">
        <v>20170119</v>
      </c>
      <c r="H654">
        <v>20170206</v>
      </c>
      <c r="I654" t="s">
        <v>53</v>
      </c>
      <c r="L654" t="s">
        <v>34</v>
      </c>
      <c r="M654" t="s">
        <v>34</v>
      </c>
      <c r="N654" t="s">
        <v>35</v>
      </c>
      <c r="O654" t="s">
        <v>35</v>
      </c>
      <c r="P654" t="s">
        <v>35</v>
      </c>
      <c r="Q654" t="s">
        <v>35</v>
      </c>
      <c r="R654" t="s">
        <v>35</v>
      </c>
      <c r="S654" t="s">
        <v>34</v>
      </c>
      <c r="AD654">
        <v>20170124</v>
      </c>
      <c r="AF654" t="str">
        <f>IFERROR(VLOOKUP(RIGHT(TblFeedFile1[[#This Row],[Leave Type ]],6),LkupPayType[],2,FALSE),"TBD")</f>
        <v>TBD</v>
      </c>
      <c r="AG654" t="str">
        <f>IFERROR(VLOOKUP(TblFeedFile1[[#This Row],[ Report Number ]],LkupPayrollCycle[],2,FALSE),"TBD")</f>
        <v>Bi-Weekly</v>
      </c>
      <c r="AH654" t="str">
        <f>IF(TblFeedFile1[[#This Row],[Return to Work Date ]]="","","Y")</f>
        <v/>
      </c>
    </row>
    <row r="655" spans="1:34" x14ac:dyDescent="0.25">
      <c r="A655" t="s">
        <v>37</v>
      </c>
      <c r="B655">
        <v>314301</v>
      </c>
      <c r="C655">
        <v>24347134</v>
      </c>
      <c r="D655" s="1">
        <v>511701248471</v>
      </c>
      <c r="E655" t="s">
        <v>914</v>
      </c>
      <c r="F655" t="s">
        <v>233</v>
      </c>
      <c r="G655">
        <v>20170113</v>
      </c>
      <c r="I655" t="s">
        <v>53</v>
      </c>
      <c r="L655" t="s">
        <v>34</v>
      </c>
      <c r="M655" t="s">
        <v>34</v>
      </c>
      <c r="N655" t="s">
        <v>35</v>
      </c>
      <c r="O655" t="s">
        <v>35</v>
      </c>
      <c r="P655" t="s">
        <v>35</v>
      </c>
      <c r="Q655" t="s">
        <v>35</v>
      </c>
      <c r="R655" t="s">
        <v>35</v>
      </c>
      <c r="S655" t="s">
        <v>34</v>
      </c>
      <c r="AD655">
        <v>20170124</v>
      </c>
      <c r="AF655" t="str">
        <f>IFERROR(VLOOKUP(RIGHT(TblFeedFile1[[#This Row],[Leave Type ]],6),LkupPayType[],2,FALSE),"TBD")</f>
        <v>TBD</v>
      </c>
      <c r="AG655" t="str">
        <f>IFERROR(VLOOKUP(TblFeedFile1[[#This Row],[ Report Number ]],LkupPayrollCycle[],2,FALSE),"TBD")</f>
        <v>Semi-Monthly</v>
      </c>
      <c r="AH655" t="str">
        <f>IF(TblFeedFile1[[#This Row],[Return to Work Date ]]="","","Y")</f>
        <v/>
      </c>
    </row>
    <row r="656" spans="1:34" x14ac:dyDescent="0.25">
      <c r="A656" t="s">
        <v>37</v>
      </c>
      <c r="B656">
        <v>314301</v>
      </c>
      <c r="C656">
        <v>24347134</v>
      </c>
      <c r="D656" s="1" t="s">
        <v>915</v>
      </c>
      <c r="E656" t="s">
        <v>914</v>
      </c>
      <c r="F656" t="s">
        <v>233</v>
      </c>
      <c r="G656">
        <v>20170120</v>
      </c>
      <c r="H656">
        <v>20170511</v>
      </c>
      <c r="I656" t="s">
        <v>78</v>
      </c>
      <c r="K656" t="s">
        <v>79</v>
      </c>
      <c r="L656" t="s">
        <v>34</v>
      </c>
      <c r="M656" t="s">
        <v>34</v>
      </c>
      <c r="N656" t="s">
        <v>35</v>
      </c>
      <c r="O656" t="s">
        <v>35</v>
      </c>
      <c r="P656" t="s">
        <v>35</v>
      </c>
      <c r="Q656" t="s">
        <v>35</v>
      </c>
      <c r="R656" t="s">
        <v>35</v>
      </c>
      <c r="S656" t="s">
        <v>34</v>
      </c>
      <c r="AD656">
        <v>20170124</v>
      </c>
      <c r="AF656" t="str">
        <f>IFERROR(VLOOKUP(RIGHT(TblFeedFile1[[#This Row],[Leave Type ]],6),LkupPayType[],2,FALSE),"TBD")</f>
        <v>TBD</v>
      </c>
      <c r="AG656" t="str">
        <f>IFERROR(VLOOKUP(TblFeedFile1[[#This Row],[ Report Number ]],LkupPayrollCycle[],2,FALSE),"TBD")</f>
        <v>Semi-Monthly</v>
      </c>
      <c r="AH656" t="str">
        <f>IF(TblFeedFile1[[#This Row],[Return to Work Date ]]="","","Y")</f>
        <v/>
      </c>
    </row>
    <row r="657" spans="1:34" x14ac:dyDescent="0.25">
      <c r="A657" t="s">
        <v>37</v>
      </c>
      <c r="B657">
        <v>314305</v>
      </c>
      <c r="C657">
        <v>24380885</v>
      </c>
      <c r="D657" s="1" t="s">
        <v>916</v>
      </c>
      <c r="E657" t="s">
        <v>917</v>
      </c>
      <c r="F657" t="s">
        <v>918</v>
      </c>
      <c r="G657">
        <v>20170123</v>
      </c>
      <c r="H657">
        <v>20170126</v>
      </c>
      <c r="I657" t="s">
        <v>78</v>
      </c>
      <c r="K657" t="s">
        <v>79</v>
      </c>
      <c r="L657" t="s">
        <v>34</v>
      </c>
      <c r="M657" t="s">
        <v>34</v>
      </c>
      <c r="N657" t="s">
        <v>35</v>
      </c>
      <c r="O657" t="s">
        <v>35</v>
      </c>
      <c r="P657" t="s">
        <v>35</v>
      </c>
      <c r="Q657" t="s">
        <v>35</v>
      </c>
      <c r="R657" t="s">
        <v>35</v>
      </c>
      <c r="S657" t="s">
        <v>34</v>
      </c>
      <c r="AD657">
        <v>20170124</v>
      </c>
      <c r="AF657" t="str">
        <f>IFERROR(VLOOKUP(RIGHT(TblFeedFile1[[#This Row],[Leave Type ]],6),LkupPayType[],2,FALSE),"TBD")</f>
        <v>TBD</v>
      </c>
      <c r="AG657" t="str">
        <f>IFERROR(VLOOKUP(TblFeedFile1[[#This Row],[ Report Number ]],LkupPayrollCycle[],2,FALSE),"TBD")</f>
        <v>Bi-Weekly</v>
      </c>
      <c r="AH657" t="str">
        <f>IF(TblFeedFile1[[#This Row],[Return to Work Date ]]="","","Y")</f>
        <v/>
      </c>
    </row>
    <row r="658" spans="1:34" x14ac:dyDescent="0.25">
      <c r="A658" t="s">
        <v>37</v>
      </c>
      <c r="B658">
        <v>314304</v>
      </c>
      <c r="C658">
        <v>24386601</v>
      </c>
      <c r="D658" s="1" t="s">
        <v>919</v>
      </c>
      <c r="E658" t="s">
        <v>920</v>
      </c>
      <c r="F658" t="s">
        <v>921</v>
      </c>
      <c r="G658">
        <v>20140127</v>
      </c>
      <c r="H658">
        <v>20170121</v>
      </c>
      <c r="I658" t="s">
        <v>36</v>
      </c>
      <c r="L658" t="s">
        <v>34</v>
      </c>
      <c r="M658" t="s">
        <v>34</v>
      </c>
      <c r="N658" t="s">
        <v>35</v>
      </c>
      <c r="O658" t="s">
        <v>35</v>
      </c>
      <c r="P658" t="s">
        <v>35</v>
      </c>
      <c r="Q658" t="s">
        <v>35</v>
      </c>
      <c r="R658" t="s">
        <v>35</v>
      </c>
      <c r="S658" t="s">
        <v>34</v>
      </c>
      <c r="T658">
        <v>20170122</v>
      </c>
      <c r="AC658" t="s">
        <v>35</v>
      </c>
      <c r="AD658">
        <v>20170124</v>
      </c>
      <c r="AF658" t="str">
        <f>IFERROR(VLOOKUP(RIGHT(TblFeedFile1[[#This Row],[Leave Type ]],6),LkupPayType[],2,FALSE),"TBD")</f>
        <v>TBD</v>
      </c>
      <c r="AG658" t="str">
        <f>IFERROR(VLOOKUP(TblFeedFile1[[#This Row],[ Report Number ]],LkupPayrollCycle[],2,FALSE),"TBD")</f>
        <v>Bi-Weekly</v>
      </c>
      <c r="AH658" t="str">
        <f>IF(TblFeedFile1[[#This Row],[Return to Work Date ]]="","","Y")</f>
        <v>Y</v>
      </c>
    </row>
    <row r="659" spans="1:34" x14ac:dyDescent="0.25">
      <c r="A659" t="s">
        <v>37</v>
      </c>
      <c r="B659">
        <v>314304</v>
      </c>
      <c r="C659">
        <v>24409386</v>
      </c>
      <c r="D659" s="1" t="s">
        <v>922</v>
      </c>
      <c r="E659" t="s">
        <v>923</v>
      </c>
      <c r="F659" t="s">
        <v>924</v>
      </c>
      <c r="G659">
        <v>20170114</v>
      </c>
      <c r="H659">
        <v>20170114</v>
      </c>
      <c r="I659" t="s">
        <v>43</v>
      </c>
      <c r="L659" t="s">
        <v>35</v>
      </c>
      <c r="AD659">
        <v>20170124</v>
      </c>
      <c r="AF659" t="str">
        <f>IFERROR(VLOOKUP(RIGHT(TblFeedFile1[[#This Row],[Leave Type ]],6),LkupPayType[],2,FALSE),"TBD")</f>
        <v>TBD</v>
      </c>
      <c r="AG659" t="str">
        <f>IFERROR(VLOOKUP(TblFeedFile1[[#This Row],[ Report Number ]],LkupPayrollCycle[],2,FALSE),"TBD")</f>
        <v>Bi-Weekly</v>
      </c>
      <c r="AH659" t="str">
        <f>IF(TblFeedFile1[[#This Row],[Return to Work Date ]]="","","Y")</f>
        <v/>
      </c>
    </row>
    <row r="660" spans="1:34" x14ac:dyDescent="0.25">
      <c r="A660" t="s">
        <v>37</v>
      </c>
      <c r="B660">
        <v>314304</v>
      </c>
      <c r="C660">
        <v>24412738</v>
      </c>
      <c r="D660" s="1">
        <v>571701188357</v>
      </c>
      <c r="E660" t="s">
        <v>925</v>
      </c>
      <c r="F660" t="s">
        <v>926</v>
      </c>
      <c r="G660">
        <v>20170120</v>
      </c>
      <c r="H660">
        <v>20170523</v>
      </c>
      <c r="I660" t="s">
        <v>53</v>
      </c>
      <c r="L660" t="s">
        <v>34</v>
      </c>
      <c r="M660" t="s">
        <v>34</v>
      </c>
      <c r="N660" t="s">
        <v>35</v>
      </c>
      <c r="O660" t="s">
        <v>35</v>
      </c>
      <c r="P660" t="s">
        <v>35</v>
      </c>
      <c r="Q660" t="s">
        <v>35</v>
      </c>
      <c r="R660" t="s">
        <v>35</v>
      </c>
      <c r="S660" t="s">
        <v>34</v>
      </c>
      <c r="AD660">
        <v>20170124</v>
      </c>
      <c r="AF660" t="str">
        <f>IFERROR(VLOOKUP(RIGHT(TblFeedFile1[[#This Row],[Leave Type ]],6),LkupPayType[],2,FALSE),"TBD")</f>
        <v>TBD</v>
      </c>
      <c r="AG660" t="str">
        <f>IFERROR(VLOOKUP(TblFeedFile1[[#This Row],[ Report Number ]],LkupPayrollCycle[],2,FALSE),"TBD")</f>
        <v>Bi-Weekly</v>
      </c>
      <c r="AH660" t="str">
        <f>IF(TblFeedFile1[[#This Row],[Return to Work Date ]]="","","Y")</f>
        <v/>
      </c>
    </row>
    <row r="661" spans="1:34" x14ac:dyDescent="0.25">
      <c r="A661" t="s">
        <v>29</v>
      </c>
      <c r="B661">
        <v>314304</v>
      </c>
      <c r="C661">
        <v>24418659</v>
      </c>
      <c r="D661" s="1" t="s">
        <v>927</v>
      </c>
      <c r="E661" t="s">
        <v>928</v>
      </c>
      <c r="F661" t="s">
        <v>929</v>
      </c>
      <c r="G661">
        <v>20170110</v>
      </c>
      <c r="H661">
        <v>20170110</v>
      </c>
      <c r="I661" t="s">
        <v>43</v>
      </c>
      <c r="L661" t="s">
        <v>34</v>
      </c>
      <c r="M661" t="s">
        <v>34</v>
      </c>
      <c r="N661" t="s">
        <v>35</v>
      </c>
      <c r="O661" t="s">
        <v>35</v>
      </c>
      <c r="P661" t="s">
        <v>34</v>
      </c>
      <c r="Q661" t="s">
        <v>35</v>
      </c>
      <c r="R661" t="s">
        <v>35</v>
      </c>
      <c r="S661" t="s">
        <v>35</v>
      </c>
      <c r="AD661">
        <v>20170124</v>
      </c>
      <c r="AF661" t="str">
        <f>IFERROR(VLOOKUP(RIGHT(TblFeedFile1[[#This Row],[Leave Type ]],6),LkupPayType[],2,FALSE),"TBD")</f>
        <v>TBD</v>
      </c>
      <c r="AG661" t="str">
        <f>IFERROR(VLOOKUP(TblFeedFile1[[#This Row],[ Report Number ]],LkupPayrollCycle[],2,FALSE),"TBD")</f>
        <v>Bi-Weekly</v>
      </c>
      <c r="AH661" t="str">
        <f>IF(TblFeedFile1[[#This Row],[Return to Work Date ]]="","","Y")</f>
        <v/>
      </c>
    </row>
    <row r="662" spans="1:34" x14ac:dyDescent="0.25">
      <c r="A662" t="s">
        <v>37</v>
      </c>
      <c r="B662">
        <v>314304</v>
      </c>
      <c r="C662">
        <v>24418659</v>
      </c>
      <c r="D662" s="1" t="s">
        <v>927</v>
      </c>
      <c r="E662" t="s">
        <v>928</v>
      </c>
      <c r="F662" t="s">
        <v>929</v>
      </c>
      <c r="G662">
        <v>20170110</v>
      </c>
      <c r="H662">
        <v>20170110</v>
      </c>
      <c r="I662" t="s">
        <v>43</v>
      </c>
      <c r="L662" t="s">
        <v>34</v>
      </c>
      <c r="M662" t="s">
        <v>34</v>
      </c>
      <c r="N662" t="s">
        <v>35</v>
      </c>
      <c r="O662" t="s">
        <v>35</v>
      </c>
      <c r="P662" t="s">
        <v>35</v>
      </c>
      <c r="Q662" t="s">
        <v>35</v>
      </c>
      <c r="R662" t="s">
        <v>35</v>
      </c>
      <c r="S662" t="s">
        <v>34</v>
      </c>
      <c r="AD662">
        <v>20170124</v>
      </c>
      <c r="AF662" t="str">
        <f>IFERROR(VLOOKUP(RIGHT(TblFeedFile1[[#This Row],[Leave Type ]],6),LkupPayType[],2,FALSE),"TBD")</f>
        <v>TBD</v>
      </c>
      <c r="AG662" t="str">
        <f>IFERROR(VLOOKUP(TblFeedFile1[[#This Row],[ Report Number ]],LkupPayrollCycle[],2,FALSE),"TBD")</f>
        <v>Bi-Weekly</v>
      </c>
      <c r="AH662" t="str">
        <f>IF(TblFeedFile1[[#This Row],[Return to Work Date ]]="","","Y")</f>
        <v/>
      </c>
    </row>
    <row r="663" spans="1:34" x14ac:dyDescent="0.25">
      <c r="A663" t="s">
        <v>37</v>
      </c>
      <c r="B663">
        <v>314304</v>
      </c>
      <c r="C663">
        <v>24440077</v>
      </c>
      <c r="D663" s="1" t="s">
        <v>930</v>
      </c>
      <c r="E663" t="s">
        <v>556</v>
      </c>
      <c r="F663" t="s">
        <v>931</v>
      </c>
      <c r="G663">
        <v>20170120</v>
      </c>
      <c r="H663">
        <v>20170320</v>
      </c>
      <c r="I663" t="s">
        <v>223</v>
      </c>
      <c r="L663" t="s">
        <v>34</v>
      </c>
      <c r="M663" t="s">
        <v>34</v>
      </c>
      <c r="N663" t="s">
        <v>35</v>
      </c>
      <c r="O663" t="s">
        <v>35</v>
      </c>
      <c r="P663" t="s">
        <v>35</v>
      </c>
      <c r="Q663" t="s">
        <v>35</v>
      </c>
      <c r="R663" t="s">
        <v>35</v>
      </c>
      <c r="S663" t="s">
        <v>34</v>
      </c>
      <c r="AD663">
        <v>20170124</v>
      </c>
      <c r="AF663" t="str">
        <f>IFERROR(VLOOKUP(RIGHT(TblFeedFile1[[#This Row],[Leave Type ]],6),LkupPayType[],2,FALSE),"TBD")</f>
        <v>TBD</v>
      </c>
      <c r="AG663" t="str">
        <f>IFERROR(VLOOKUP(TblFeedFile1[[#This Row],[ Report Number ]],LkupPayrollCycle[],2,FALSE),"TBD")</f>
        <v>Bi-Weekly</v>
      </c>
      <c r="AH663" t="str">
        <f>IF(TblFeedFile1[[#This Row],[Return to Work Date ]]="","","Y")</f>
        <v/>
      </c>
    </row>
    <row r="664" spans="1:34" x14ac:dyDescent="0.25">
      <c r="A664" t="s">
        <v>37</v>
      </c>
      <c r="B664">
        <v>314304</v>
      </c>
      <c r="C664">
        <v>24440077</v>
      </c>
      <c r="D664" s="1" t="s">
        <v>932</v>
      </c>
      <c r="E664" t="s">
        <v>556</v>
      </c>
      <c r="F664" t="s">
        <v>931</v>
      </c>
      <c r="G664">
        <v>20170120</v>
      </c>
      <c r="H664">
        <v>20170120</v>
      </c>
      <c r="I664" t="s">
        <v>43</v>
      </c>
      <c r="L664" t="s">
        <v>34</v>
      </c>
      <c r="M664" t="s">
        <v>34</v>
      </c>
      <c r="N664" t="s">
        <v>35</v>
      </c>
      <c r="O664" t="s">
        <v>35</v>
      </c>
      <c r="P664" t="s">
        <v>35</v>
      </c>
      <c r="Q664" t="s">
        <v>35</v>
      </c>
      <c r="R664" t="s">
        <v>35</v>
      </c>
      <c r="S664" t="s">
        <v>34</v>
      </c>
      <c r="AD664">
        <v>20170124</v>
      </c>
      <c r="AF664" t="str">
        <f>IFERROR(VLOOKUP(RIGHT(TblFeedFile1[[#This Row],[Leave Type ]],6),LkupPayType[],2,FALSE),"TBD")</f>
        <v>TBD</v>
      </c>
      <c r="AG664" t="str">
        <f>IFERROR(VLOOKUP(TblFeedFile1[[#This Row],[ Report Number ]],LkupPayrollCycle[],2,FALSE),"TBD")</f>
        <v>Bi-Weekly</v>
      </c>
      <c r="AH664" t="str">
        <f>IF(TblFeedFile1[[#This Row],[Return to Work Date ]]="","","Y")</f>
        <v/>
      </c>
    </row>
    <row r="665" spans="1:34" x14ac:dyDescent="0.25">
      <c r="A665" t="s">
        <v>29</v>
      </c>
      <c r="B665">
        <v>314304</v>
      </c>
      <c r="C665">
        <v>24443769</v>
      </c>
      <c r="D665" s="1" t="s">
        <v>933</v>
      </c>
      <c r="E665" t="s">
        <v>356</v>
      </c>
      <c r="F665" t="s">
        <v>715</v>
      </c>
      <c r="G665">
        <v>20170114</v>
      </c>
      <c r="H665">
        <v>20170114</v>
      </c>
      <c r="I665" t="s">
        <v>33</v>
      </c>
      <c r="L665" t="s">
        <v>34</v>
      </c>
      <c r="M665" t="s">
        <v>34</v>
      </c>
      <c r="N665" t="s">
        <v>35</v>
      </c>
      <c r="O665" t="s">
        <v>35</v>
      </c>
      <c r="P665" t="s">
        <v>35</v>
      </c>
      <c r="Q665" t="s">
        <v>35</v>
      </c>
      <c r="R665" t="s">
        <v>35</v>
      </c>
      <c r="S665" t="s">
        <v>34</v>
      </c>
      <c r="AC665" t="s">
        <v>35</v>
      </c>
      <c r="AD665">
        <v>20170124</v>
      </c>
      <c r="AF665" t="str">
        <f>IFERROR(VLOOKUP(RIGHT(TblFeedFile1[[#This Row],[Leave Type ]],6),LkupPayType[],2,FALSE),"TBD")</f>
        <v>TBD</v>
      </c>
      <c r="AG665" t="str">
        <f>IFERROR(VLOOKUP(TblFeedFile1[[#This Row],[ Report Number ]],LkupPayrollCycle[],2,FALSE),"TBD")</f>
        <v>Bi-Weekly</v>
      </c>
      <c r="AH665" t="str">
        <f>IF(TblFeedFile1[[#This Row],[Return to Work Date ]]="","","Y")</f>
        <v/>
      </c>
    </row>
    <row r="666" spans="1:34" x14ac:dyDescent="0.25">
      <c r="A666" t="s">
        <v>29</v>
      </c>
      <c r="B666">
        <v>314304</v>
      </c>
      <c r="C666">
        <v>24443769</v>
      </c>
      <c r="D666" s="1" t="s">
        <v>933</v>
      </c>
      <c r="E666" t="s">
        <v>356</v>
      </c>
      <c r="F666" t="s">
        <v>715</v>
      </c>
      <c r="G666">
        <v>20091004</v>
      </c>
      <c r="H666">
        <v>20170113</v>
      </c>
      <c r="I666" t="s">
        <v>423</v>
      </c>
      <c r="L666" t="s">
        <v>34</v>
      </c>
      <c r="M666" t="s">
        <v>34</v>
      </c>
      <c r="N666" t="s">
        <v>35</v>
      </c>
      <c r="O666" t="s">
        <v>35</v>
      </c>
      <c r="P666" t="s">
        <v>35</v>
      </c>
      <c r="Q666" t="s">
        <v>35</v>
      </c>
      <c r="R666" t="s">
        <v>35</v>
      </c>
      <c r="S666" t="s">
        <v>34</v>
      </c>
      <c r="AC666" t="s">
        <v>35</v>
      </c>
      <c r="AD666">
        <v>20170124</v>
      </c>
      <c r="AF666" t="str">
        <f>IFERROR(VLOOKUP(RIGHT(TblFeedFile1[[#This Row],[Leave Type ]],6),LkupPayType[],2,FALSE),"TBD")</f>
        <v>TBD</v>
      </c>
      <c r="AG666" t="str">
        <f>IFERROR(VLOOKUP(TblFeedFile1[[#This Row],[ Report Number ]],LkupPayrollCycle[],2,FALSE),"TBD")</f>
        <v>Bi-Weekly</v>
      </c>
      <c r="AH666" t="str">
        <f>IF(TblFeedFile1[[#This Row],[Return to Work Date ]]="","","Y")</f>
        <v/>
      </c>
    </row>
    <row r="667" spans="1:34" x14ac:dyDescent="0.25">
      <c r="A667" t="s">
        <v>29</v>
      </c>
      <c r="B667">
        <v>314304</v>
      </c>
      <c r="C667">
        <v>24443769</v>
      </c>
      <c r="D667" s="1" t="s">
        <v>933</v>
      </c>
      <c r="E667" t="s">
        <v>356</v>
      </c>
      <c r="F667" t="s">
        <v>715</v>
      </c>
      <c r="G667">
        <v>20091004</v>
      </c>
      <c r="H667">
        <v>20170113</v>
      </c>
      <c r="I667" t="s">
        <v>537</v>
      </c>
      <c r="L667" t="s">
        <v>34</v>
      </c>
      <c r="M667" t="s">
        <v>34</v>
      </c>
      <c r="N667" t="s">
        <v>35</v>
      </c>
      <c r="O667" t="s">
        <v>35</v>
      </c>
      <c r="P667" t="s">
        <v>35</v>
      </c>
      <c r="Q667" t="s">
        <v>35</v>
      </c>
      <c r="R667" t="s">
        <v>35</v>
      </c>
      <c r="S667" t="s">
        <v>34</v>
      </c>
      <c r="AC667" t="s">
        <v>35</v>
      </c>
      <c r="AD667">
        <v>20170124</v>
      </c>
      <c r="AF667" t="str">
        <f>IFERROR(VLOOKUP(RIGHT(TblFeedFile1[[#This Row],[Leave Type ]],6),LkupPayType[],2,FALSE),"TBD")</f>
        <v>TBD</v>
      </c>
      <c r="AG667" t="str">
        <f>IFERROR(VLOOKUP(TblFeedFile1[[#This Row],[ Report Number ]],LkupPayrollCycle[],2,FALSE),"TBD")</f>
        <v>Bi-Weekly</v>
      </c>
      <c r="AH667" t="str">
        <f>IF(TblFeedFile1[[#This Row],[Return to Work Date ]]="","","Y")</f>
        <v/>
      </c>
    </row>
    <row r="668" spans="1:34" x14ac:dyDescent="0.25">
      <c r="A668" t="s">
        <v>29</v>
      </c>
      <c r="B668">
        <v>314304</v>
      </c>
      <c r="C668">
        <v>24443769</v>
      </c>
      <c r="D668" s="1" t="s">
        <v>933</v>
      </c>
      <c r="E668" t="s">
        <v>356</v>
      </c>
      <c r="F668" t="s">
        <v>715</v>
      </c>
      <c r="G668">
        <v>20091004</v>
      </c>
      <c r="H668">
        <v>20170113</v>
      </c>
      <c r="I668" t="s">
        <v>303</v>
      </c>
      <c r="L668" t="s">
        <v>34</v>
      </c>
      <c r="M668" t="s">
        <v>34</v>
      </c>
      <c r="N668" t="s">
        <v>35</v>
      </c>
      <c r="O668" t="s">
        <v>35</v>
      </c>
      <c r="P668" t="s">
        <v>35</v>
      </c>
      <c r="Q668" t="s">
        <v>35</v>
      </c>
      <c r="R668" t="s">
        <v>35</v>
      </c>
      <c r="S668" t="s">
        <v>34</v>
      </c>
      <c r="AC668" t="s">
        <v>35</v>
      </c>
      <c r="AD668">
        <v>20170124</v>
      </c>
      <c r="AF668" t="str">
        <f>IFERROR(VLOOKUP(RIGHT(TblFeedFile1[[#This Row],[Leave Type ]],6),LkupPayType[],2,FALSE),"TBD")</f>
        <v>TBD</v>
      </c>
      <c r="AG668" t="str">
        <f>IFERROR(VLOOKUP(TblFeedFile1[[#This Row],[ Report Number ]],LkupPayrollCycle[],2,FALSE),"TBD")</f>
        <v>Bi-Weekly</v>
      </c>
      <c r="AH668" t="str">
        <f>IF(TblFeedFile1[[#This Row],[Return to Work Date ]]="","","Y")</f>
        <v/>
      </c>
    </row>
    <row r="669" spans="1:34" x14ac:dyDescent="0.25">
      <c r="A669" t="s">
        <v>29</v>
      </c>
      <c r="B669">
        <v>314304</v>
      </c>
      <c r="C669">
        <v>24443769</v>
      </c>
      <c r="D669" s="1" t="s">
        <v>933</v>
      </c>
      <c r="E669" t="s">
        <v>356</v>
      </c>
      <c r="F669" t="s">
        <v>715</v>
      </c>
      <c r="G669">
        <v>20091004</v>
      </c>
      <c r="H669">
        <v>20170113</v>
      </c>
      <c r="I669" t="s">
        <v>201</v>
      </c>
      <c r="L669" t="s">
        <v>34</v>
      </c>
      <c r="M669" t="s">
        <v>34</v>
      </c>
      <c r="N669" t="s">
        <v>35</v>
      </c>
      <c r="O669" t="s">
        <v>35</v>
      </c>
      <c r="P669" t="s">
        <v>35</v>
      </c>
      <c r="Q669" t="s">
        <v>35</v>
      </c>
      <c r="R669" t="s">
        <v>35</v>
      </c>
      <c r="S669" t="s">
        <v>34</v>
      </c>
      <c r="AC669" t="s">
        <v>35</v>
      </c>
      <c r="AD669">
        <v>20170124</v>
      </c>
      <c r="AF669" t="str">
        <f>IFERROR(VLOOKUP(RIGHT(TblFeedFile1[[#This Row],[Leave Type ]],6),LkupPayType[],2,FALSE),"TBD")</f>
        <v>TBD</v>
      </c>
      <c r="AG669" t="str">
        <f>IFERROR(VLOOKUP(TblFeedFile1[[#This Row],[ Report Number ]],LkupPayrollCycle[],2,FALSE),"TBD")</f>
        <v>Bi-Weekly</v>
      </c>
      <c r="AH669" t="str">
        <f>IF(TblFeedFile1[[#This Row],[Return to Work Date ]]="","","Y")</f>
        <v/>
      </c>
    </row>
    <row r="670" spans="1:34" x14ac:dyDescent="0.25">
      <c r="A670" t="s">
        <v>37</v>
      </c>
      <c r="B670">
        <v>314304</v>
      </c>
      <c r="C670">
        <v>24443769</v>
      </c>
      <c r="D670" s="1" t="s">
        <v>933</v>
      </c>
      <c r="E670" t="s">
        <v>356</v>
      </c>
      <c r="F670" t="s">
        <v>715</v>
      </c>
      <c r="G670">
        <v>20091004</v>
      </c>
      <c r="H670">
        <v>20171003</v>
      </c>
      <c r="I670" t="s">
        <v>423</v>
      </c>
      <c r="L670" t="s">
        <v>34</v>
      </c>
      <c r="M670" t="s">
        <v>34</v>
      </c>
      <c r="N670" t="s">
        <v>35</v>
      </c>
      <c r="O670" t="s">
        <v>35</v>
      </c>
      <c r="P670" t="s">
        <v>35</v>
      </c>
      <c r="Q670" t="s">
        <v>35</v>
      </c>
      <c r="R670" t="s">
        <v>35</v>
      </c>
      <c r="S670" t="s">
        <v>34</v>
      </c>
      <c r="AC670" t="s">
        <v>35</v>
      </c>
      <c r="AD670">
        <v>20170124</v>
      </c>
      <c r="AF670" t="str">
        <f>IFERROR(VLOOKUP(RIGHT(TblFeedFile1[[#This Row],[Leave Type ]],6),LkupPayType[],2,FALSE),"TBD")</f>
        <v>TBD</v>
      </c>
      <c r="AG670" t="str">
        <f>IFERROR(VLOOKUP(TblFeedFile1[[#This Row],[ Report Number ]],LkupPayrollCycle[],2,FALSE),"TBD")</f>
        <v>Bi-Weekly</v>
      </c>
      <c r="AH670" t="str">
        <f>IF(TblFeedFile1[[#This Row],[Return to Work Date ]]="","","Y")</f>
        <v/>
      </c>
    </row>
    <row r="671" spans="1:34" x14ac:dyDescent="0.25">
      <c r="A671" t="s">
        <v>37</v>
      </c>
      <c r="B671">
        <v>314304</v>
      </c>
      <c r="C671">
        <v>24443769</v>
      </c>
      <c r="D671" s="1" t="s">
        <v>933</v>
      </c>
      <c r="E671" t="s">
        <v>356</v>
      </c>
      <c r="F671" t="s">
        <v>715</v>
      </c>
      <c r="G671">
        <v>20091103</v>
      </c>
      <c r="H671">
        <v>20171003</v>
      </c>
      <c r="I671" t="s">
        <v>303</v>
      </c>
      <c r="L671" t="s">
        <v>34</v>
      </c>
      <c r="M671" t="s">
        <v>34</v>
      </c>
      <c r="N671" t="s">
        <v>35</v>
      </c>
      <c r="O671" t="s">
        <v>35</v>
      </c>
      <c r="P671" t="s">
        <v>35</v>
      </c>
      <c r="Q671" t="s">
        <v>35</v>
      </c>
      <c r="R671" t="s">
        <v>35</v>
      </c>
      <c r="S671" t="s">
        <v>34</v>
      </c>
      <c r="AC671" t="s">
        <v>35</v>
      </c>
      <c r="AD671">
        <v>20170124</v>
      </c>
      <c r="AF671" t="str">
        <f>IFERROR(VLOOKUP(RIGHT(TblFeedFile1[[#This Row],[Leave Type ]],6),LkupPayType[],2,FALSE),"TBD")</f>
        <v>TBD</v>
      </c>
      <c r="AG671" t="str">
        <f>IFERROR(VLOOKUP(TblFeedFile1[[#This Row],[ Report Number ]],LkupPayrollCycle[],2,FALSE),"TBD")</f>
        <v>Bi-Weekly</v>
      </c>
      <c r="AH671" t="str">
        <f>IF(TblFeedFile1[[#This Row],[Return to Work Date ]]="","","Y")</f>
        <v/>
      </c>
    </row>
    <row r="672" spans="1:34" x14ac:dyDescent="0.25">
      <c r="A672" t="s">
        <v>37</v>
      </c>
      <c r="B672">
        <v>314304</v>
      </c>
      <c r="C672">
        <v>24443769</v>
      </c>
      <c r="D672" s="1" t="s">
        <v>933</v>
      </c>
      <c r="E672" t="s">
        <v>356</v>
      </c>
      <c r="F672" t="s">
        <v>715</v>
      </c>
      <c r="G672">
        <v>20100102</v>
      </c>
      <c r="H672">
        <v>20171003</v>
      </c>
      <c r="I672" t="s">
        <v>537</v>
      </c>
      <c r="L672" t="s">
        <v>34</v>
      </c>
      <c r="M672" t="s">
        <v>34</v>
      </c>
      <c r="N672" t="s">
        <v>35</v>
      </c>
      <c r="O672" t="s">
        <v>35</v>
      </c>
      <c r="P672" t="s">
        <v>35</v>
      </c>
      <c r="Q672" t="s">
        <v>35</v>
      </c>
      <c r="R672" t="s">
        <v>35</v>
      </c>
      <c r="S672" t="s">
        <v>34</v>
      </c>
      <c r="AC672" t="s">
        <v>35</v>
      </c>
      <c r="AD672">
        <v>20170124</v>
      </c>
      <c r="AF672" t="str">
        <f>IFERROR(VLOOKUP(RIGHT(TblFeedFile1[[#This Row],[Leave Type ]],6),LkupPayType[],2,FALSE),"TBD")</f>
        <v>TBD</v>
      </c>
      <c r="AG672" t="str">
        <f>IFERROR(VLOOKUP(TblFeedFile1[[#This Row],[ Report Number ]],LkupPayrollCycle[],2,FALSE),"TBD")</f>
        <v>Bi-Weekly</v>
      </c>
      <c r="AH672" t="str">
        <f>IF(TblFeedFile1[[#This Row],[Return to Work Date ]]="","","Y")</f>
        <v/>
      </c>
    </row>
    <row r="673" spans="1:34" x14ac:dyDescent="0.25">
      <c r="A673" t="s">
        <v>37</v>
      </c>
      <c r="B673">
        <v>314304</v>
      </c>
      <c r="C673">
        <v>24443769</v>
      </c>
      <c r="D673" s="1" t="s">
        <v>933</v>
      </c>
      <c r="E673" t="s">
        <v>356</v>
      </c>
      <c r="F673" t="s">
        <v>715</v>
      </c>
      <c r="G673">
        <v>20101003</v>
      </c>
      <c r="H673">
        <v>20171003</v>
      </c>
      <c r="I673" t="s">
        <v>201</v>
      </c>
      <c r="L673" t="s">
        <v>34</v>
      </c>
      <c r="M673" t="s">
        <v>34</v>
      </c>
      <c r="N673" t="s">
        <v>35</v>
      </c>
      <c r="O673" t="s">
        <v>35</v>
      </c>
      <c r="P673" t="s">
        <v>35</v>
      </c>
      <c r="Q673" t="s">
        <v>35</v>
      </c>
      <c r="R673" t="s">
        <v>35</v>
      </c>
      <c r="S673" t="s">
        <v>34</v>
      </c>
      <c r="AC673" t="s">
        <v>35</v>
      </c>
      <c r="AD673">
        <v>20170124</v>
      </c>
      <c r="AF673" t="str">
        <f>IFERROR(VLOOKUP(RIGHT(TblFeedFile1[[#This Row],[Leave Type ]],6),LkupPayType[],2,FALSE),"TBD")</f>
        <v>TBD</v>
      </c>
      <c r="AG673" t="str">
        <f>IFERROR(VLOOKUP(TblFeedFile1[[#This Row],[ Report Number ]],LkupPayrollCycle[],2,FALSE),"TBD")</f>
        <v>Bi-Weekly</v>
      </c>
      <c r="AH673" t="str">
        <f>IF(TblFeedFile1[[#This Row],[Return to Work Date ]]="","","Y")</f>
        <v/>
      </c>
    </row>
    <row r="674" spans="1:34" x14ac:dyDescent="0.25">
      <c r="A674" t="s">
        <v>37</v>
      </c>
      <c r="B674">
        <v>314304</v>
      </c>
      <c r="C674">
        <v>24457884</v>
      </c>
      <c r="D674" s="1">
        <v>531701238233</v>
      </c>
      <c r="E674" t="s">
        <v>934</v>
      </c>
      <c r="F674" t="s">
        <v>929</v>
      </c>
      <c r="G674">
        <v>20170116</v>
      </c>
      <c r="H674">
        <v>20170213</v>
      </c>
      <c r="I674" t="s">
        <v>53</v>
      </c>
      <c r="L674" t="s">
        <v>34</v>
      </c>
      <c r="M674" t="s">
        <v>34</v>
      </c>
      <c r="N674" t="s">
        <v>35</v>
      </c>
      <c r="O674" t="s">
        <v>35</v>
      </c>
      <c r="P674" t="s">
        <v>35</v>
      </c>
      <c r="Q674" t="s">
        <v>35</v>
      </c>
      <c r="R674" t="s">
        <v>35</v>
      </c>
      <c r="S674" t="s">
        <v>34</v>
      </c>
      <c r="AD674">
        <v>20170124</v>
      </c>
      <c r="AF674" t="str">
        <f>IFERROR(VLOOKUP(RIGHT(TblFeedFile1[[#This Row],[Leave Type ]],6),LkupPayType[],2,FALSE),"TBD")</f>
        <v>TBD</v>
      </c>
      <c r="AG674" t="str">
        <f>IFERROR(VLOOKUP(TblFeedFile1[[#This Row],[ Report Number ]],LkupPayrollCycle[],2,FALSE),"TBD")</f>
        <v>Bi-Weekly</v>
      </c>
      <c r="AH674" t="str">
        <f>IF(TblFeedFile1[[#This Row],[Return to Work Date ]]="","","Y")</f>
        <v/>
      </c>
    </row>
    <row r="675" spans="1:34" x14ac:dyDescent="0.25">
      <c r="A675" t="s">
        <v>37</v>
      </c>
      <c r="B675">
        <v>314304</v>
      </c>
      <c r="C675">
        <v>24457884</v>
      </c>
      <c r="D675" s="1">
        <v>531701238233</v>
      </c>
      <c r="E675" t="s">
        <v>934</v>
      </c>
      <c r="F675" t="s">
        <v>929</v>
      </c>
      <c r="G675">
        <v>20170123</v>
      </c>
      <c r="H675">
        <v>20170213</v>
      </c>
      <c r="I675" t="s">
        <v>40</v>
      </c>
      <c r="L675" t="s">
        <v>34</v>
      </c>
      <c r="M675" t="s">
        <v>34</v>
      </c>
      <c r="N675" t="s">
        <v>35</v>
      </c>
      <c r="O675" t="s">
        <v>35</v>
      </c>
      <c r="P675" t="s">
        <v>35</v>
      </c>
      <c r="Q675" t="s">
        <v>35</v>
      </c>
      <c r="R675" t="s">
        <v>35</v>
      </c>
      <c r="S675" t="s">
        <v>34</v>
      </c>
      <c r="AD675">
        <v>20170124</v>
      </c>
      <c r="AF675" t="str">
        <f>IFERROR(VLOOKUP(RIGHT(TblFeedFile1[[#This Row],[Leave Type ]],6),LkupPayType[],2,FALSE),"TBD")</f>
        <v>TBD</v>
      </c>
      <c r="AG675" t="str">
        <f>IFERROR(VLOOKUP(TblFeedFile1[[#This Row],[ Report Number ]],LkupPayrollCycle[],2,FALSE),"TBD")</f>
        <v>Bi-Weekly</v>
      </c>
      <c r="AH675" t="str">
        <f>IF(TblFeedFile1[[#This Row],[Return to Work Date ]]="","","Y")</f>
        <v/>
      </c>
    </row>
    <row r="676" spans="1:34" x14ac:dyDescent="0.25">
      <c r="A676" t="s">
        <v>37</v>
      </c>
      <c r="B676">
        <v>314301</v>
      </c>
      <c r="C676">
        <v>24469512</v>
      </c>
      <c r="D676" s="1">
        <v>501701178200</v>
      </c>
      <c r="E676" t="s">
        <v>385</v>
      </c>
      <c r="F676" t="s">
        <v>935</v>
      </c>
      <c r="G676">
        <v>20170125</v>
      </c>
      <c r="H676">
        <v>20170313</v>
      </c>
      <c r="I676" t="s">
        <v>40</v>
      </c>
      <c r="L676" t="s">
        <v>34</v>
      </c>
      <c r="M676" t="s">
        <v>34</v>
      </c>
      <c r="N676" t="s">
        <v>35</v>
      </c>
      <c r="O676" t="s">
        <v>35</v>
      </c>
      <c r="P676" t="s">
        <v>35</v>
      </c>
      <c r="Q676" t="s">
        <v>35</v>
      </c>
      <c r="R676" t="s">
        <v>35</v>
      </c>
      <c r="S676" t="s">
        <v>34</v>
      </c>
      <c r="AD676">
        <v>20170124</v>
      </c>
      <c r="AF676" t="str">
        <f>IFERROR(VLOOKUP(RIGHT(TblFeedFile1[[#This Row],[Leave Type ]],6),LkupPayType[],2,FALSE),"TBD")</f>
        <v>TBD</v>
      </c>
      <c r="AG676" t="str">
        <f>IFERROR(VLOOKUP(TblFeedFile1[[#This Row],[ Report Number ]],LkupPayrollCycle[],2,FALSE),"TBD")</f>
        <v>Semi-Monthly</v>
      </c>
      <c r="AH676" t="str">
        <f>IF(TblFeedFile1[[#This Row],[Return to Work Date ]]="","","Y")</f>
        <v/>
      </c>
    </row>
    <row r="677" spans="1:34" x14ac:dyDescent="0.25">
      <c r="A677" t="s">
        <v>37</v>
      </c>
      <c r="B677">
        <v>314304</v>
      </c>
      <c r="C677">
        <v>24481791</v>
      </c>
      <c r="D677" s="1">
        <v>531701058243</v>
      </c>
      <c r="E677" t="s">
        <v>936</v>
      </c>
      <c r="F677" t="s">
        <v>937</v>
      </c>
      <c r="G677">
        <v>20170124</v>
      </c>
      <c r="H677">
        <v>20170203</v>
      </c>
      <c r="I677" t="s">
        <v>40</v>
      </c>
      <c r="L677" t="s">
        <v>34</v>
      </c>
      <c r="M677" t="s">
        <v>34</v>
      </c>
      <c r="N677" t="s">
        <v>35</v>
      </c>
      <c r="O677" t="s">
        <v>35</v>
      </c>
      <c r="P677" t="s">
        <v>35</v>
      </c>
      <c r="Q677" t="s">
        <v>35</v>
      </c>
      <c r="R677" t="s">
        <v>35</v>
      </c>
      <c r="S677" t="s">
        <v>34</v>
      </c>
      <c r="AD677">
        <v>20170124</v>
      </c>
      <c r="AF677" t="str">
        <f>IFERROR(VLOOKUP(RIGHT(TblFeedFile1[[#This Row],[Leave Type ]],6),LkupPayType[],2,FALSE),"TBD")</f>
        <v>TBD</v>
      </c>
      <c r="AG677" t="str">
        <f>IFERROR(VLOOKUP(TblFeedFile1[[#This Row],[ Report Number ]],LkupPayrollCycle[],2,FALSE),"TBD")</f>
        <v>Bi-Weekly</v>
      </c>
      <c r="AH677" t="str">
        <f>IF(TblFeedFile1[[#This Row],[Return to Work Date ]]="","","Y")</f>
        <v/>
      </c>
    </row>
    <row r="678" spans="1:34" x14ac:dyDescent="0.25">
      <c r="A678" t="s">
        <v>29</v>
      </c>
      <c r="B678">
        <v>314304</v>
      </c>
      <c r="C678">
        <v>24483713</v>
      </c>
      <c r="D678" s="1" t="s">
        <v>938</v>
      </c>
      <c r="E678" t="s">
        <v>939</v>
      </c>
      <c r="F678" t="s">
        <v>786</v>
      </c>
      <c r="G678">
        <v>20170118</v>
      </c>
      <c r="H678">
        <v>20170118</v>
      </c>
      <c r="I678" t="s">
        <v>33</v>
      </c>
      <c r="L678" t="s">
        <v>34</v>
      </c>
      <c r="M678" t="s">
        <v>34</v>
      </c>
      <c r="N678" t="s">
        <v>35</v>
      </c>
      <c r="O678" t="s">
        <v>35</v>
      </c>
      <c r="P678" t="s">
        <v>35</v>
      </c>
      <c r="Q678" t="s">
        <v>35</v>
      </c>
      <c r="R678" t="s">
        <v>35</v>
      </c>
      <c r="S678" t="s">
        <v>34</v>
      </c>
      <c r="AC678" t="s">
        <v>35</v>
      </c>
      <c r="AD678">
        <v>20170124</v>
      </c>
      <c r="AF678" t="str">
        <f>IFERROR(VLOOKUP(RIGHT(TblFeedFile1[[#This Row],[Leave Type ]],6),LkupPayType[],2,FALSE),"TBD")</f>
        <v>TBD</v>
      </c>
      <c r="AG678" t="str">
        <f>IFERROR(VLOOKUP(TblFeedFile1[[#This Row],[ Report Number ]],LkupPayrollCycle[],2,FALSE),"TBD")</f>
        <v>Bi-Weekly</v>
      </c>
      <c r="AH678" t="str">
        <f>IF(TblFeedFile1[[#This Row],[Return to Work Date ]]="","","Y")</f>
        <v/>
      </c>
    </row>
    <row r="679" spans="1:34" x14ac:dyDescent="0.25">
      <c r="A679" t="s">
        <v>29</v>
      </c>
      <c r="B679">
        <v>314304</v>
      </c>
      <c r="C679">
        <v>24483713</v>
      </c>
      <c r="D679" s="1" t="s">
        <v>938</v>
      </c>
      <c r="E679" t="s">
        <v>939</v>
      </c>
      <c r="F679" t="s">
        <v>786</v>
      </c>
      <c r="G679">
        <v>20161206</v>
      </c>
      <c r="H679">
        <v>20170117</v>
      </c>
      <c r="I679" t="s">
        <v>36</v>
      </c>
      <c r="L679" t="s">
        <v>34</v>
      </c>
      <c r="M679" t="s">
        <v>34</v>
      </c>
      <c r="N679" t="s">
        <v>35</v>
      </c>
      <c r="O679" t="s">
        <v>35</v>
      </c>
      <c r="P679" t="s">
        <v>35</v>
      </c>
      <c r="Q679" t="s">
        <v>35</v>
      </c>
      <c r="R679" t="s">
        <v>35</v>
      </c>
      <c r="S679" t="s">
        <v>34</v>
      </c>
      <c r="AC679" t="s">
        <v>35</v>
      </c>
      <c r="AD679">
        <v>20170124</v>
      </c>
      <c r="AF679" t="str">
        <f>IFERROR(VLOOKUP(RIGHT(TblFeedFile1[[#This Row],[Leave Type ]],6),LkupPayType[],2,FALSE),"TBD")</f>
        <v>TBD</v>
      </c>
      <c r="AG679" t="str">
        <f>IFERROR(VLOOKUP(TblFeedFile1[[#This Row],[ Report Number ]],LkupPayrollCycle[],2,FALSE),"TBD")</f>
        <v>Bi-Weekly</v>
      </c>
      <c r="AH679" t="str">
        <f>IF(TblFeedFile1[[#This Row],[Return to Work Date ]]="","","Y")</f>
        <v/>
      </c>
    </row>
    <row r="680" spans="1:34" x14ac:dyDescent="0.25">
      <c r="A680" t="s">
        <v>37</v>
      </c>
      <c r="B680">
        <v>314304</v>
      </c>
      <c r="C680">
        <v>24483713</v>
      </c>
      <c r="D680" s="1" t="s">
        <v>938</v>
      </c>
      <c r="E680" t="s">
        <v>939</v>
      </c>
      <c r="F680" t="s">
        <v>786</v>
      </c>
      <c r="G680">
        <v>20161206</v>
      </c>
      <c r="H680">
        <v>20170206</v>
      </c>
      <c r="I680" t="s">
        <v>36</v>
      </c>
      <c r="L680" t="s">
        <v>34</v>
      </c>
      <c r="M680" t="s">
        <v>34</v>
      </c>
      <c r="N680" t="s">
        <v>35</v>
      </c>
      <c r="O680" t="s">
        <v>35</v>
      </c>
      <c r="P680" t="s">
        <v>35</v>
      </c>
      <c r="Q680" t="s">
        <v>35</v>
      </c>
      <c r="R680" t="s">
        <v>35</v>
      </c>
      <c r="S680" t="s">
        <v>34</v>
      </c>
      <c r="AC680" t="s">
        <v>35</v>
      </c>
      <c r="AD680">
        <v>20170124</v>
      </c>
      <c r="AF680" t="str">
        <f>IFERROR(VLOOKUP(RIGHT(TblFeedFile1[[#This Row],[Leave Type ]],6),LkupPayType[],2,FALSE),"TBD")</f>
        <v>TBD</v>
      </c>
      <c r="AG680" t="str">
        <f>IFERROR(VLOOKUP(TblFeedFile1[[#This Row],[ Report Number ]],LkupPayrollCycle[],2,FALSE),"TBD")</f>
        <v>Bi-Weekly</v>
      </c>
      <c r="AH680" t="str">
        <f>IF(TblFeedFile1[[#This Row],[Return to Work Date ]]="","","Y")</f>
        <v/>
      </c>
    </row>
    <row r="681" spans="1:34" x14ac:dyDescent="0.25">
      <c r="A681" t="s">
        <v>37</v>
      </c>
      <c r="B681">
        <v>314305</v>
      </c>
      <c r="C681">
        <v>24503344</v>
      </c>
      <c r="D681" s="1" t="s">
        <v>940</v>
      </c>
      <c r="E681" t="s">
        <v>941</v>
      </c>
      <c r="F681" t="s">
        <v>907</v>
      </c>
      <c r="G681">
        <v>20170123</v>
      </c>
      <c r="H681">
        <v>20170526</v>
      </c>
      <c r="I681" t="s">
        <v>127</v>
      </c>
      <c r="L681" t="s">
        <v>34</v>
      </c>
      <c r="M681" t="s">
        <v>34</v>
      </c>
      <c r="N681" t="s">
        <v>35</v>
      </c>
      <c r="O681" t="s">
        <v>35</v>
      </c>
      <c r="P681" t="s">
        <v>35</v>
      </c>
      <c r="Q681" t="s">
        <v>35</v>
      </c>
      <c r="R681" t="s">
        <v>35</v>
      </c>
      <c r="S681" t="s">
        <v>34</v>
      </c>
      <c r="AD681">
        <v>20170124</v>
      </c>
      <c r="AF681" t="str">
        <f>IFERROR(VLOOKUP(RIGHT(TblFeedFile1[[#This Row],[Leave Type ]],6),LkupPayType[],2,FALSE),"TBD")</f>
        <v>TBD</v>
      </c>
      <c r="AG681" t="str">
        <f>IFERROR(VLOOKUP(TblFeedFile1[[#This Row],[ Report Number ]],LkupPayrollCycle[],2,FALSE),"TBD")</f>
        <v>Bi-Weekly</v>
      </c>
      <c r="AH681" t="str">
        <f>IF(TblFeedFile1[[#This Row],[Return to Work Date ]]="","","Y")</f>
        <v/>
      </c>
    </row>
    <row r="682" spans="1:34" x14ac:dyDescent="0.25">
      <c r="A682" t="s">
        <v>29</v>
      </c>
      <c r="B682">
        <v>314301</v>
      </c>
      <c r="C682">
        <v>24510311</v>
      </c>
      <c r="D682" s="1" t="s">
        <v>942</v>
      </c>
      <c r="E682" t="s">
        <v>943</v>
      </c>
      <c r="F682" t="s">
        <v>115</v>
      </c>
      <c r="G682">
        <v>20161205</v>
      </c>
      <c r="H682">
        <v>20170327</v>
      </c>
      <c r="I682" t="s">
        <v>223</v>
      </c>
      <c r="L682" t="s">
        <v>34</v>
      </c>
      <c r="M682" t="s">
        <v>34</v>
      </c>
      <c r="N682" t="s">
        <v>35</v>
      </c>
      <c r="O682" t="s">
        <v>35</v>
      </c>
      <c r="P682" t="s">
        <v>35</v>
      </c>
      <c r="Q682" t="s">
        <v>35</v>
      </c>
      <c r="R682" t="s">
        <v>35</v>
      </c>
      <c r="S682" t="s">
        <v>34</v>
      </c>
      <c r="AC682" t="s">
        <v>35</v>
      </c>
      <c r="AD682">
        <v>20170124</v>
      </c>
      <c r="AF682" t="str">
        <f>IFERROR(VLOOKUP(RIGHT(TblFeedFile1[[#This Row],[Leave Type ]],6),LkupPayType[],2,FALSE),"TBD")</f>
        <v>TBD</v>
      </c>
      <c r="AG682" t="str">
        <f>IFERROR(VLOOKUP(TblFeedFile1[[#This Row],[ Report Number ]],LkupPayrollCycle[],2,FALSE),"TBD")</f>
        <v>Semi-Monthly</v>
      </c>
      <c r="AH682" t="str">
        <f>IF(TblFeedFile1[[#This Row],[Return to Work Date ]]="","","Y")</f>
        <v/>
      </c>
    </row>
    <row r="683" spans="1:34" x14ac:dyDescent="0.25">
      <c r="A683" t="s">
        <v>37</v>
      </c>
      <c r="B683">
        <v>314301</v>
      </c>
      <c r="C683">
        <v>24510311</v>
      </c>
      <c r="D683" s="1" t="s">
        <v>942</v>
      </c>
      <c r="E683" t="s">
        <v>943</v>
      </c>
      <c r="F683" t="s">
        <v>115</v>
      </c>
      <c r="G683">
        <v>20161205</v>
      </c>
      <c r="H683">
        <v>20170327</v>
      </c>
      <c r="I683" t="s">
        <v>78</v>
      </c>
      <c r="K683" t="s">
        <v>219</v>
      </c>
      <c r="L683" t="s">
        <v>34</v>
      </c>
      <c r="M683" t="s">
        <v>34</v>
      </c>
      <c r="N683" t="s">
        <v>35</v>
      </c>
      <c r="O683" t="s">
        <v>35</v>
      </c>
      <c r="P683" t="s">
        <v>35</v>
      </c>
      <c r="Q683" t="s">
        <v>35</v>
      </c>
      <c r="R683" t="s">
        <v>35</v>
      </c>
      <c r="S683" t="s">
        <v>34</v>
      </c>
      <c r="AC683" t="s">
        <v>35</v>
      </c>
      <c r="AD683">
        <v>20170124</v>
      </c>
      <c r="AF683" t="str">
        <f>IFERROR(VLOOKUP(RIGHT(TblFeedFile1[[#This Row],[Leave Type ]],6),LkupPayType[],2,FALSE),"TBD")</f>
        <v>TBD</v>
      </c>
      <c r="AG683" t="str">
        <f>IFERROR(VLOOKUP(TblFeedFile1[[#This Row],[ Report Number ]],LkupPayrollCycle[],2,FALSE),"TBD")</f>
        <v>Semi-Monthly</v>
      </c>
      <c r="AH683" t="str">
        <f>IF(TblFeedFile1[[#This Row],[Return to Work Date ]]="","","Y")</f>
        <v/>
      </c>
    </row>
    <row r="684" spans="1:34" x14ac:dyDescent="0.25">
      <c r="A684" t="s">
        <v>29</v>
      </c>
      <c r="B684">
        <v>314304</v>
      </c>
      <c r="C684">
        <v>24517921</v>
      </c>
      <c r="D684" s="1" t="s">
        <v>944</v>
      </c>
      <c r="E684" t="s">
        <v>673</v>
      </c>
      <c r="F684" t="s">
        <v>945</v>
      </c>
      <c r="G684">
        <v>20160828</v>
      </c>
      <c r="H684">
        <v>20160927</v>
      </c>
      <c r="I684" t="s">
        <v>36</v>
      </c>
      <c r="L684" t="s">
        <v>34</v>
      </c>
      <c r="M684" t="s">
        <v>34</v>
      </c>
      <c r="N684" t="s">
        <v>35</v>
      </c>
      <c r="O684" t="s">
        <v>35</v>
      </c>
      <c r="P684" t="s">
        <v>35</v>
      </c>
      <c r="Q684" t="s">
        <v>35</v>
      </c>
      <c r="R684" t="s">
        <v>35</v>
      </c>
      <c r="S684" t="s">
        <v>34</v>
      </c>
      <c r="AC684" t="s">
        <v>35</v>
      </c>
      <c r="AD684">
        <v>20170124</v>
      </c>
      <c r="AF684" t="str">
        <f>IFERROR(VLOOKUP(RIGHT(TblFeedFile1[[#This Row],[Leave Type ]],6),LkupPayType[],2,FALSE),"TBD")</f>
        <v>TBD</v>
      </c>
      <c r="AG684" t="str">
        <f>IFERROR(VLOOKUP(TblFeedFile1[[#This Row],[ Report Number ]],LkupPayrollCycle[],2,FALSE),"TBD")</f>
        <v>Bi-Weekly</v>
      </c>
      <c r="AH684" t="str">
        <f>IF(TblFeedFile1[[#This Row],[Return to Work Date ]]="","","Y")</f>
        <v/>
      </c>
    </row>
    <row r="685" spans="1:34" x14ac:dyDescent="0.25">
      <c r="A685" t="s">
        <v>37</v>
      </c>
      <c r="B685">
        <v>314304</v>
      </c>
      <c r="C685">
        <v>24517921</v>
      </c>
      <c r="D685" s="1" t="s">
        <v>946</v>
      </c>
      <c r="E685" t="s">
        <v>673</v>
      </c>
      <c r="F685" t="s">
        <v>945</v>
      </c>
      <c r="G685">
        <v>20151029</v>
      </c>
      <c r="H685">
        <v>20151208</v>
      </c>
      <c r="I685" t="s">
        <v>36</v>
      </c>
      <c r="L685" t="s">
        <v>34</v>
      </c>
      <c r="M685" t="s">
        <v>34</v>
      </c>
      <c r="N685" t="s">
        <v>35</v>
      </c>
      <c r="O685" t="s">
        <v>35</v>
      </c>
      <c r="P685" t="s">
        <v>35</v>
      </c>
      <c r="Q685" t="s">
        <v>35</v>
      </c>
      <c r="R685" t="s">
        <v>35</v>
      </c>
      <c r="S685" t="s">
        <v>34</v>
      </c>
      <c r="AD685">
        <v>20170124</v>
      </c>
      <c r="AF685" t="str">
        <f>IFERROR(VLOOKUP(RIGHT(TblFeedFile1[[#This Row],[Leave Type ]],6),LkupPayType[],2,FALSE),"TBD")</f>
        <v>TBD</v>
      </c>
      <c r="AG685" t="str">
        <f>IFERROR(VLOOKUP(TblFeedFile1[[#This Row],[ Report Number ]],LkupPayrollCycle[],2,FALSE),"TBD")</f>
        <v>Bi-Weekly</v>
      </c>
      <c r="AH685" t="str">
        <f>IF(TblFeedFile1[[#This Row],[Return to Work Date ]]="","","Y")</f>
        <v/>
      </c>
    </row>
    <row r="686" spans="1:34" x14ac:dyDescent="0.25">
      <c r="A686" t="s">
        <v>37</v>
      </c>
      <c r="B686">
        <v>314304</v>
      </c>
      <c r="C686">
        <v>24517921</v>
      </c>
      <c r="D686" s="1" t="s">
        <v>944</v>
      </c>
      <c r="E686" t="s">
        <v>673</v>
      </c>
      <c r="F686" t="s">
        <v>945</v>
      </c>
      <c r="G686">
        <v>20160229</v>
      </c>
      <c r="H686">
        <v>20160927</v>
      </c>
      <c r="I686" t="s">
        <v>36</v>
      </c>
      <c r="L686" t="s">
        <v>34</v>
      </c>
      <c r="M686" t="s">
        <v>34</v>
      </c>
      <c r="N686" t="s">
        <v>35</v>
      </c>
      <c r="O686" t="s">
        <v>35</v>
      </c>
      <c r="P686" t="s">
        <v>35</v>
      </c>
      <c r="Q686" t="s">
        <v>35</v>
      </c>
      <c r="R686" t="s">
        <v>35</v>
      </c>
      <c r="S686" t="s">
        <v>34</v>
      </c>
      <c r="AD686">
        <v>20170124</v>
      </c>
      <c r="AF686" t="str">
        <f>IFERROR(VLOOKUP(RIGHT(TblFeedFile1[[#This Row],[Leave Type ]],6),LkupPayType[],2,FALSE),"TBD")</f>
        <v>TBD</v>
      </c>
      <c r="AG686" t="str">
        <f>IFERROR(VLOOKUP(TblFeedFile1[[#This Row],[ Report Number ]],LkupPayrollCycle[],2,FALSE),"TBD")</f>
        <v>Bi-Weekly</v>
      </c>
      <c r="AH686" t="str">
        <f>IF(TblFeedFile1[[#This Row],[Return to Work Date ]]="","","Y")</f>
        <v/>
      </c>
    </row>
    <row r="687" spans="1:34" x14ac:dyDescent="0.25">
      <c r="A687" t="s">
        <v>37</v>
      </c>
      <c r="B687">
        <v>314304</v>
      </c>
      <c r="C687">
        <v>24522725</v>
      </c>
      <c r="D687" s="1" t="s">
        <v>947</v>
      </c>
      <c r="E687" t="s">
        <v>948</v>
      </c>
      <c r="F687" t="s">
        <v>949</v>
      </c>
      <c r="G687">
        <v>20170111</v>
      </c>
      <c r="H687">
        <v>20170122</v>
      </c>
      <c r="I687" t="s">
        <v>36</v>
      </c>
      <c r="L687" t="s">
        <v>35</v>
      </c>
      <c r="AD687">
        <v>20170124</v>
      </c>
      <c r="AF687" t="str">
        <f>IFERROR(VLOOKUP(RIGHT(TblFeedFile1[[#This Row],[Leave Type ]],6),LkupPayType[],2,FALSE),"TBD")</f>
        <v>TBD</v>
      </c>
      <c r="AG687" t="str">
        <f>IFERROR(VLOOKUP(TblFeedFile1[[#This Row],[ Report Number ]],LkupPayrollCycle[],2,FALSE),"TBD")</f>
        <v>Bi-Weekly</v>
      </c>
      <c r="AH687" t="str">
        <f>IF(TblFeedFile1[[#This Row],[Return to Work Date ]]="","","Y")</f>
        <v/>
      </c>
    </row>
    <row r="688" spans="1:34" x14ac:dyDescent="0.25">
      <c r="A688" t="s">
        <v>37</v>
      </c>
      <c r="B688">
        <v>314304</v>
      </c>
      <c r="C688">
        <v>24522725</v>
      </c>
      <c r="D688" s="1" t="s">
        <v>947</v>
      </c>
      <c r="E688" t="s">
        <v>948</v>
      </c>
      <c r="F688" t="s">
        <v>949</v>
      </c>
      <c r="G688">
        <v>20170123</v>
      </c>
      <c r="H688">
        <v>20170123</v>
      </c>
      <c r="I688" t="s">
        <v>33</v>
      </c>
      <c r="L688" t="s">
        <v>35</v>
      </c>
      <c r="AD688">
        <v>20170124</v>
      </c>
      <c r="AF688" t="str">
        <f>IFERROR(VLOOKUP(RIGHT(TblFeedFile1[[#This Row],[Leave Type ]],6),LkupPayType[],2,FALSE),"TBD")</f>
        <v>TBD</v>
      </c>
      <c r="AG688" t="str">
        <f>IFERROR(VLOOKUP(TblFeedFile1[[#This Row],[ Report Number ]],LkupPayrollCycle[],2,FALSE),"TBD")</f>
        <v>Bi-Weekly</v>
      </c>
      <c r="AH688" t="str">
        <f>IF(TblFeedFile1[[#This Row],[Return to Work Date ]]="","","Y")</f>
        <v/>
      </c>
    </row>
    <row r="689" spans="1:34" x14ac:dyDescent="0.25">
      <c r="A689" t="s">
        <v>29</v>
      </c>
      <c r="B689">
        <v>314304</v>
      </c>
      <c r="C689">
        <v>24556377</v>
      </c>
      <c r="D689" s="1" t="s">
        <v>950</v>
      </c>
      <c r="E689" t="s">
        <v>522</v>
      </c>
      <c r="F689" t="s">
        <v>951</v>
      </c>
      <c r="G689">
        <v>20170120</v>
      </c>
      <c r="H689">
        <v>20170120</v>
      </c>
      <c r="I689" t="s">
        <v>33</v>
      </c>
      <c r="L689" t="s">
        <v>34</v>
      </c>
      <c r="M689" t="s">
        <v>34</v>
      </c>
      <c r="N689" t="s">
        <v>35</v>
      </c>
      <c r="O689" t="s">
        <v>35</v>
      </c>
      <c r="P689" t="s">
        <v>35</v>
      </c>
      <c r="Q689" t="s">
        <v>35</v>
      </c>
      <c r="R689" t="s">
        <v>35</v>
      </c>
      <c r="S689" t="s">
        <v>34</v>
      </c>
      <c r="AC689" t="s">
        <v>35</v>
      </c>
      <c r="AD689">
        <v>20170124</v>
      </c>
      <c r="AF689" t="str">
        <f>IFERROR(VLOOKUP(RIGHT(TblFeedFile1[[#This Row],[Leave Type ]],6),LkupPayType[],2,FALSE),"TBD")</f>
        <v>TBD</v>
      </c>
      <c r="AG689" t="str">
        <f>IFERROR(VLOOKUP(TblFeedFile1[[#This Row],[ Report Number ]],LkupPayrollCycle[],2,FALSE),"TBD")</f>
        <v>Bi-Weekly</v>
      </c>
      <c r="AH689" t="str">
        <f>IF(TblFeedFile1[[#This Row],[Return to Work Date ]]="","","Y")</f>
        <v/>
      </c>
    </row>
    <row r="690" spans="1:34" x14ac:dyDescent="0.25">
      <c r="A690" t="s">
        <v>37</v>
      </c>
      <c r="B690">
        <v>314304</v>
      </c>
      <c r="C690">
        <v>24556377</v>
      </c>
      <c r="D690" s="1" t="s">
        <v>950</v>
      </c>
      <c r="E690" t="s">
        <v>522</v>
      </c>
      <c r="F690" t="s">
        <v>951</v>
      </c>
      <c r="G690">
        <v>20161123</v>
      </c>
      <c r="H690">
        <v>20170119</v>
      </c>
      <c r="I690" t="s">
        <v>36</v>
      </c>
      <c r="L690" t="s">
        <v>34</v>
      </c>
      <c r="M690" t="s">
        <v>34</v>
      </c>
      <c r="N690" t="s">
        <v>35</v>
      </c>
      <c r="O690" t="s">
        <v>35</v>
      </c>
      <c r="P690" t="s">
        <v>35</v>
      </c>
      <c r="Q690" t="s">
        <v>35</v>
      </c>
      <c r="R690" t="s">
        <v>35</v>
      </c>
      <c r="S690" t="s">
        <v>34</v>
      </c>
      <c r="T690">
        <v>20170124</v>
      </c>
      <c r="AC690" t="s">
        <v>35</v>
      </c>
      <c r="AD690">
        <v>20170124</v>
      </c>
      <c r="AF690" t="str">
        <f>IFERROR(VLOOKUP(RIGHT(TblFeedFile1[[#This Row],[Leave Type ]],6),LkupPayType[],2,FALSE),"TBD")</f>
        <v>TBD</v>
      </c>
      <c r="AG690" t="str">
        <f>IFERROR(VLOOKUP(TblFeedFile1[[#This Row],[ Report Number ]],LkupPayrollCycle[],2,FALSE),"TBD")</f>
        <v>Bi-Weekly</v>
      </c>
      <c r="AH690" t="str">
        <f>IF(TblFeedFile1[[#This Row],[Return to Work Date ]]="","","Y")</f>
        <v>Y</v>
      </c>
    </row>
    <row r="691" spans="1:34" x14ac:dyDescent="0.25">
      <c r="A691" t="s">
        <v>37</v>
      </c>
      <c r="B691">
        <v>314304</v>
      </c>
      <c r="C691">
        <v>24567127</v>
      </c>
      <c r="D691" s="1" t="s">
        <v>952</v>
      </c>
      <c r="E691" t="s">
        <v>953</v>
      </c>
      <c r="F691" t="s">
        <v>263</v>
      </c>
      <c r="G691">
        <v>20160217</v>
      </c>
      <c r="H691">
        <v>20160312</v>
      </c>
      <c r="I691" t="s">
        <v>36</v>
      </c>
      <c r="L691" t="s">
        <v>34</v>
      </c>
      <c r="M691" t="s">
        <v>34</v>
      </c>
      <c r="N691" t="s">
        <v>35</v>
      </c>
      <c r="O691" t="s">
        <v>35</v>
      </c>
      <c r="P691" t="s">
        <v>35</v>
      </c>
      <c r="Q691" t="s">
        <v>35</v>
      </c>
      <c r="R691" t="s">
        <v>35</v>
      </c>
      <c r="S691" t="s">
        <v>34</v>
      </c>
      <c r="AD691">
        <v>20170124</v>
      </c>
      <c r="AF691" t="str">
        <f>IFERROR(VLOOKUP(RIGHT(TblFeedFile1[[#This Row],[Leave Type ]],6),LkupPayType[],2,FALSE),"TBD")</f>
        <v>TBD</v>
      </c>
      <c r="AG691" t="str">
        <f>IFERROR(VLOOKUP(TblFeedFile1[[#This Row],[ Report Number ]],LkupPayrollCycle[],2,FALSE),"TBD")</f>
        <v>Bi-Weekly</v>
      </c>
      <c r="AH691" t="str">
        <f>IF(TblFeedFile1[[#This Row],[Return to Work Date ]]="","","Y")</f>
        <v/>
      </c>
    </row>
    <row r="692" spans="1:34" x14ac:dyDescent="0.25">
      <c r="A692" t="s">
        <v>37</v>
      </c>
      <c r="B692">
        <v>314304</v>
      </c>
      <c r="C692">
        <v>24578639</v>
      </c>
      <c r="D692" s="1" t="s">
        <v>954</v>
      </c>
      <c r="E692" t="s">
        <v>606</v>
      </c>
      <c r="F692" t="s">
        <v>955</v>
      </c>
      <c r="G692">
        <v>20170123</v>
      </c>
      <c r="H692">
        <v>20170123</v>
      </c>
      <c r="I692" t="s">
        <v>33</v>
      </c>
      <c r="L692" t="s">
        <v>34</v>
      </c>
      <c r="M692" t="s">
        <v>34</v>
      </c>
      <c r="N692" t="s">
        <v>35</v>
      </c>
      <c r="O692" t="s">
        <v>35</v>
      </c>
      <c r="P692" t="s">
        <v>35</v>
      </c>
      <c r="Q692" t="s">
        <v>35</v>
      </c>
      <c r="R692" t="s">
        <v>35</v>
      </c>
      <c r="S692" t="s">
        <v>34</v>
      </c>
      <c r="AD692">
        <v>20170124</v>
      </c>
      <c r="AF692" t="str">
        <f>IFERROR(VLOOKUP(RIGHT(TblFeedFile1[[#This Row],[Leave Type ]],6),LkupPayType[],2,FALSE),"TBD")</f>
        <v>TBD</v>
      </c>
      <c r="AG692" t="str">
        <f>IFERROR(VLOOKUP(TblFeedFile1[[#This Row],[ Report Number ]],LkupPayrollCycle[],2,FALSE),"TBD")</f>
        <v>Bi-Weekly</v>
      </c>
      <c r="AH692" t="str">
        <f>IF(TblFeedFile1[[#This Row],[Return to Work Date ]]="","","Y")</f>
        <v/>
      </c>
    </row>
    <row r="693" spans="1:34" x14ac:dyDescent="0.25">
      <c r="A693" t="s">
        <v>37</v>
      </c>
      <c r="B693">
        <v>314304</v>
      </c>
      <c r="C693">
        <v>24583305</v>
      </c>
      <c r="D693" s="1" t="s">
        <v>956</v>
      </c>
      <c r="E693" t="s">
        <v>957</v>
      </c>
      <c r="F693" t="s">
        <v>958</v>
      </c>
      <c r="G693">
        <v>20170109</v>
      </c>
      <c r="H693">
        <v>20170123</v>
      </c>
      <c r="I693" t="s">
        <v>36</v>
      </c>
      <c r="L693" t="s">
        <v>34</v>
      </c>
      <c r="M693" t="s">
        <v>34</v>
      </c>
      <c r="N693" t="s">
        <v>35</v>
      </c>
      <c r="O693" t="s">
        <v>35</v>
      </c>
      <c r="P693" t="s">
        <v>35</v>
      </c>
      <c r="Q693" t="s">
        <v>35</v>
      </c>
      <c r="R693" t="s">
        <v>35</v>
      </c>
      <c r="S693" t="s">
        <v>34</v>
      </c>
      <c r="AD693">
        <v>20170124</v>
      </c>
      <c r="AF693" t="str">
        <f>IFERROR(VLOOKUP(RIGHT(TblFeedFile1[[#This Row],[Leave Type ]],6),LkupPayType[],2,FALSE),"TBD")</f>
        <v>TBD</v>
      </c>
      <c r="AG693" t="str">
        <f>IFERROR(VLOOKUP(TblFeedFile1[[#This Row],[ Report Number ]],LkupPayrollCycle[],2,FALSE),"TBD")</f>
        <v>Bi-Weekly</v>
      </c>
      <c r="AH693" t="str">
        <f>IF(TblFeedFile1[[#This Row],[Return to Work Date ]]="","","Y")</f>
        <v/>
      </c>
    </row>
    <row r="694" spans="1:34" x14ac:dyDescent="0.25">
      <c r="A694" t="s">
        <v>37</v>
      </c>
      <c r="B694">
        <v>314304</v>
      </c>
      <c r="C694">
        <v>24583305</v>
      </c>
      <c r="D694" s="1" t="s">
        <v>956</v>
      </c>
      <c r="E694" t="s">
        <v>957</v>
      </c>
      <c r="F694" t="s">
        <v>958</v>
      </c>
      <c r="G694">
        <v>20170124</v>
      </c>
      <c r="H694">
        <v>20170124</v>
      </c>
      <c r="I694" t="s">
        <v>33</v>
      </c>
      <c r="L694" t="s">
        <v>34</v>
      </c>
      <c r="M694" t="s">
        <v>34</v>
      </c>
      <c r="N694" t="s">
        <v>35</v>
      </c>
      <c r="O694" t="s">
        <v>35</v>
      </c>
      <c r="P694" t="s">
        <v>35</v>
      </c>
      <c r="Q694" t="s">
        <v>35</v>
      </c>
      <c r="R694" t="s">
        <v>35</v>
      </c>
      <c r="S694" t="s">
        <v>34</v>
      </c>
      <c r="AD694">
        <v>20170124</v>
      </c>
      <c r="AF694" t="str">
        <f>IFERROR(VLOOKUP(RIGHT(TblFeedFile1[[#This Row],[Leave Type ]],6),LkupPayType[],2,FALSE),"TBD")</f>
        <v>TBD</v>
      </c>
      <c r="AG694" t="str">
        <f>IFERROR(VLOOKUP(TblFeedFile1[[#This Row],[ Report Number ]],LkupPayrollCycle[],2,FALSE),"TBD")</f>
        <v>Bi-Weekly</v>
      </c>
      <c r="AH694" t="str">
        <f>IF(TblFeedFile1[[#This Row],[Return to Work Date ]]="","","Y")</f>
        <v/>
      </c>
    </row>
    <row r="695" spans="1:34" x14ac:dyDescent="0.25">
      <c r="A695" t="s">
        <v>37</v>
      </c>
      <c r="B695">
        <v>314304</v>
      </c>
      <c r="C695">
        <v>24591045</v>
      </c>
      <c r="D695" s="1">
        <v>531701238073</v>
      </c>
      <c r="E695" t="s">
        <v>959</v>
      </c>
      <c r="F695" t="s">
        <v>960</v>
      </c>
      <c r="G695">
        <v>20170113</v>
      </c>
      <c r="H695">
        <v>20170128</v>
      </c>
      <c r="I695" t="s">
        <v>53</v>
      </c>
      <c r="L695" t="s">
        <v>34</v>
      </c>
      <c r="M695" t="s">
        <v>34</v>
      </c>
      <c r="N695" t="s">
        <v>35</v>
      </c>
      <c r="O695" t="s">
        <v>35</v>
      </c>
      <c r="P695" t="s">
        <v>35</v>
      </c>
      <c r="Q695" t="s">
        <v>35</v>
      </c>
      <c r="R695" t="s">
        <v>35</v>
      </c>
      <c r="S695" t="s">
        <v>34</v>
      </c>
      <c r="AD695">
        <v>20170124</v>
      </c>
      <c r="AF695" t="str">
        <f>IFERROR(VLOOKUP(RIGHT(TblFeedFile1[[#This Row],[Leave Type ]],6),LkupPayType[],2,FALSE),"TBD")</f>
        <v>TBD</v>
      </c>
      <c r="AG695" t="str">
        <f>IFERROR(VLOOKUP(TblFeedFile1[[#This Row],[ Report Number ]],LkupPayrollCycle[],2,FALSE),"TBD")</f>
        <v>Bi-Weekly</v>
      </c>
      <c r="AH695" t="str">
        <f>IF(TblFeedFile1[[#This Row],[Return to Work Date ]]="","","Y")</f>
        <v/>
      </c>
    </row>
    <row r="696" spans="1:34" x14ac:dyDescent="0.25">
      <c r="A696" t="s">
        <v>37</v>
      </c>
      <c r="B696">
        <v>314304</v>
      </c>
      <c r="C696">
        <v>24591045</v>
      </c>
      <c r="D696" s="1">
        <v>531701238073</v>
      </c>
      <c r="E696" t="s">
        <v>959</v>
      </c>
      <c r="F696" t="s">
        <v>960</v>
      </c>
      <c r="G696">
        <v>20170120</v>
      </c>
      <c r="H696">
        <v>20170128</v>
      </c>
      <c r="I696" t="s">
        <v>40</v>
      </c>
      <c r="L696" t="s">
        <v>34</v>
      </c>
      <c r="M696" t="s">
        <v>34</v>
      </c>
      <c r="N696" t="s">
        <v>35</v>
      </c>
      <c r="O696" t="s">
        <v>35</v>
      </c>
      <c r="P696" t="s">
        <v>35</v>
      </c>
      <c r="Q696" t="s">
        <v>35</v>
      </c>
      <c r="R696" t="s">
        <v>35</v>
      </c>
      <c r="S696" t="s">
        <v>34</v>
      </c>
      <c r="AD696">
        <v>20170124</v>
      </c>
      <c r="AF696" t="str">
        <f>IFERROR(VLOOKUP(RIGHT(TblFeedFile1[[#This Row],[Leave Type ]],6),LkupPayType[],2,FALSE),"TBD")</f>
        <v>TBD</v>
      </c>
      <c r="AG696" t="str">
        <f>IFERROR(VLOOKUP(TblFeedFile1[[#This Row],[ Report Number ]],LkupPayrollCycle[],2,FALSE),"TBD")</f>
        <v>Bi-Weekly</v>
      </c>
      <c r="AH696" t="str">
        <f>IF(TblFeedFile1[[#This Row],[Return to Work Date ]]="","","Y")</f>
        <v/>
      </c>
    </row>
    <row r="697" spans="1:34" x14ac:dyDescent="0.25">
      <c r="A697" t="s">
        <v>37</v>
      </c>
      <c r="B697">
        <v>314304</v>
      </c>
      <c r="C697">
        <v>24591045</v>
      </c>
      <c r="D697" s="1" t="s">
        <v>961</v>
      </c>
      <c r="E697" t="s">
        <v>959</v>
      </c>
      <c r="F697" t="s">
        <v>960</v>
      </c>
      <c r="G697">
        <v>20170123</v>
      </c>
      <c r="H697">
        <v>20170123</v>
      </c>
      <c r="I697" t="s">
        <v>33</v>
      </c>
      <c r="L697" t="s">
        <v>34</v>
      </c>
      <c r="M697" t="s">
        <v>34</v>
      </c>
      <c r="N697" t="s">
        <v>35</v>
      </c>
      <c r="O697" t="s">
        <v>35</v>
      </c>
      <c r="P697" t="s">
        <v>35</v>
      </c>
      <c r="Q697" t="s">
        <v>35</v>
      </c>
      <c r="R697" t="s">
        <v>35</v>
      </c>
      <c r="S697" t="s">
        <v>34</v>
      </c>
      <c r="AD697">
        <v>20170124</v>
      </c>
      <c r="AF697" t="str">
        <f>IFERROR(VLOOKUP(RIGHT(TblFeedFile1[[#This Row],[Leave Type ]],6),LkupPayType[],2,FALSE),"TBD")</f>
        <v>TBD</v>
      </c>
      <c r="AG697" t="str">
        <f>IFERROR(VLOOKUP(TblFeedFile1[[#This Row],[ Report Number ]],LkupPayrollCycle[],2,FALSE),"TBD")</f>
        <v>Bi-Weekly</v>
      </c>
      <c r="AH697" t="str">
        <f>IF(TblFeedFile1[[#This Row],[Return to Work Date ]]="","","Y")</f>
        <v/>
      </c>
    </row>
    <row r="698" spans="1:34" x14ac:dyDescent="0.25">
      <c r="A698" t="s">
        <v>37</v>
      </c>
      <c r="B698">
        <v>314304</v>
      </c>
      <c r="C698">
        <v>24595585</v>
      </c>
      <c r="D698" s="1">
        <v>571701198617</v>
      </c>
      <c r="E698" t="s">
        <v>962</v>
      </c>
      <c r="F698" t="s">
        <v>963</v>
      </c>
      <c r="G698">
        <v>20170123</v>
      </c>
      <c r="H698">
        <v>20170213</v>
      </c>
      <c r="I698" t="s">
        <v>53</v>
      </c>
      <c r="L698" t="s">
        <v>34</v>
      </c>
      <c r="M698" t="s">
        <v>34</v>
      </c>
      <c r="N698" t="s">
        <v>35</v>
      </c>
      <c r="O698" t="s">
        <v>35</v>
      </c>
      <c r="P698" t="s">
        <v>35</v>
      </c>
      <c r="Q698" t="s">
        <v>35</v>
      </c>
      <c r="R698" t="s">
        <v>35</v>
      </c>
      <c r="S698" t="s">
        <v>34</v>
      </c>
      <c r="AD698">
        <v>20170124</v>
      </c>
      <c r="AF698" t="str">
        <f>IFERROR(VLOOKUP(RIGHT(TblFeedFile1[[#This Row],[Leave Type ]],6),LkupPayType[],2,FALSE),"TBD")</f>
        <v>TBD</v>
      </c>
      <c r="AG698" t="str">
        <f>IFERROR(VLOOKUP(TblFeedFile1[[#This Row],[ Report Number ]],LkupPayrollCycle[],2,FALSE),"TBD")</f>
        <v>Bi-Weekly</v>
      </c>
      <c r="AH698" t="str">
        <f>IF(TblFeedFile1[[#This Row],[Return to Work Date ]]="","","Y")</f>
        <v/>
      </c>
    </row>
    <row r="699" spans="1:34" x14ac:dyDescent="0.25">
      <c r="A699" t="s">
        <v>29</v>
      </c>
      <c r="B699">
        <v>314304</v>
      </c>
      <c r="C699">
        <v>24601254</v>
      </c>
      <c r="D699" s="1" t="s">
        <v>964</v>
      </c>
      <c r="E699" t="s">
        <v>965</v>
      </c>
      <c r="F699" t="s">
        <v>966</v>
      </c>
      <c r="G699">
        <v>20160803</v>
      </c>
      <c r="H699">
        <v>20180202</v>
      </c>
      <c r="I699" t="s">
        <v>36</v>
      </c>
      <c r="L699" t="s">
        <v>34</v>
      </c>
      <c r="M699" t="s">
        <v>34</v>
      </c>
      <c r="N699" t="s">
        <v>35</v>
      </c>
      <c r="O699" t="s">
        <v>35</v>
      </c>
      <c r="P699" t="s">
        <v>35</v>
      </c>
      <c r="Q699" t="s">
        <v>35</v>
      </c>
      <c r="R699" t="s">
        <v>35</v>
      </c>
      <c r="S699" t="s">
        <v>34</v>
      </c>
      <c r="AC699" t="s">
        <v>35</v>
      </c>
      <c r="AD699">
        <v>20170124</v>
      </c>
      <c r="AF699" t="str">
        <f>IFERROR(VLOOKUP(RIGHT(TblFeedFile1[[#This Row],[Leave Type ]],6),LkupPayType[],2,FALSE),"TBD")</f>
        <v>TBD</v>
      </c>
      <c r="AG699" t="str">
        <f>IFERROR(VLOOKUP(TblFeedFile1[[#This Row],[ Report Number ]],LkupPayrollCycle[],2,FALSE),"TBD")</f>
        <v>Bi-Weekly</v>
      </c>
      <c r="AH699" t="str">
        <f>IF(TblFeedFile1[[#This Row],[Return to Work Date ]]="","","Y")</f>
        <v/>
      </c>
    </row>
    <row r="700" spans="1:34" x14ac:dyDescent="0.25">
      <c r="A700" t="s">
        <v>37</v>
      </c>
      <c r="B700">
        <v>314304</v>
      </c>
      <c r="C700">
        <v>24601254</v>
      </c>
      <c r="D700" s="1" t="s">
        <v>964</v>
      </c>
      <c r="E700" t="s">
        <v>965</v>
      </c>
      <c r="F700" t="s">
        <v>966</v>
      </c>
      <c r="G700">
        <v>20160803</v>
      </c>
      <c r="H700">
        <v>20170116</v>
      </c>
      <c r="I700" t="s">
        <v>36</v>
      </c>
      <c r="L700" t="s">
        <v>34</v>
      </c>
      <c r="M700" t="s">
        <v>34</v>
      </c>
      <c r="N700" t="s">
        <v>35</v>
      </c>
      <c r="O700" t="s">
        <v>35</v>
      </c>
      <c r="P700" t="s">
        <v>35</v>
      </c>
      <c r="Q700" t="s">
        <v>35</v>
      </c>
      <c r="R700" t="s">
        <v>35</v>
      </c>
      <c r="S700" t="s">
        <v>34</v>
      </c>
      <c r="T700">
        <v>20170117</v>
      </c>
      <c r="AC700" t="s">
        <v>35</v>
      </c>
      <c r="AD700">
        <v>20170124</v>
      </c>
      <c r="AF700" t="str">
        <f>IFERROR(VLOOKUP(RIGHT(TblFeedFile1[[#This Row],[Leave Type ]],6),LkupPayType[],2,FALSE),"TBD")</f>
        <v>TBD</v>
      </c>
      <c r="AG700" t="str">
        <f>IFERROR(VLOOKUP(TblFeedFile1[[#This Row],[ Report Number ]],LkupPayrollCycle[],2,FALSE),"TBD")</f>
        <v>Bi-Weekly</v>
      </c>
      <c r="AH700" t="str">
        <f>IF(TblFeedFile1[[#This Row],[Return to Work Date ]]="","","Y")</f>
        <v>Y</v>
      </c>
    </row>
    <row r="701" spans="1:34" x14ac:dyDescent="0.25">
      <c r="A701" t="s">
        <v>37</v>
      </c>
      <c r="B701">
        <v>314304</v>
      </c>
      <c r="C701">
        <v>24619447</v>
      </c>
      <c r="D701" s="1" t="s">
        <v>967</v>
      </c>
      <c r="E701" t="s">
        <v>968</v>
      </c>
      <c r="F701" t="s">
        <v>495</v>
      </c>
      <c r="G701">
        <v>20161219</v>
      </c>
      <c r="H701">
        <v>20170220</v>
      </c>
      <c r="I701" t="s">
        <v>36</v>
      </c>
      <c r="L701" t="s">
        <v>34</v>
      </c>
      <c r="M701" t="s">
        <v>34</v>
      </c>
      <c r="N701" t="s">
        <v>35</v>
      </c>
      <c r="O701" t="s">
        <v>35</v>
      </c>
      <c r="P701" t="s">
        <v>35</v>
      </c>
      <c r="Q701" t="s">
        <v>35</v>
      </c>
      <c r="R701" t="s">
        <v>35</v>
      </c>
      <c r="S701" t="s">
        <v>34</v>
      </c>
      <c r="AD701">
        <v>20170124</v>
      </c>
      <c r="AF701" t="str">
        <f>IFERROR(VLOOKUP(RIGHT(TblFeedFile1[[#This Row],[Leave Type ]],6),LkupPayType[],2,FALSE),"TBD")</f>
        <v>TBD</v>
      </c>
      <c r="AG701" t="str">
        <f>IFERROR(VLOOKUP(TblFeedFile1[[#This Row],[ Report Number ]],LkupPayrollCycle[],2,FALSE),"TBD")</f>
        <v>Bi-Weekly</v>
      </c>
      <c r="AH701" t="str">
        <f>IF(TblFeedFile1[[#This Row],[Return to Work Date ]]="","","Y")</f>
        <v/>
      </c>
    </row>
    <row r="702" spans="1:34" x14ac:dyDescent="0.25">
      <c r="A702" t="s">
        <v>29</v>
      </c>
      <c r="B702">
        <v>314304</v>
      </c>
      <c r="C702">
        <v>24628050</v>
      </c>
      <c r="D702" s="1">
        <v>511701178939</v>
      </c>
      <c r="E702" t="s">
        <v>969</v>
      </c>
      <c r="F702" t="s">
        <v>970</v>
      </c>
      <c r="G702">
        <v>20170116</v>
      </c>
      <c r="H702">
        <v>20170217</v>
      </c>
      <c r="I702" t="s">
        <v>40</v>
      </c>
      <c r="L702" t="s">
        <v>34</v>
      </c>
      <c r="M702" t="s">
        <v>34</v>
      </c>
      <c r="N702" t="s">
        <v>35</v>
      </c>
      <c r="O702" t="s">
        <v>35</v>
      </c>
      <c r="P702" t="s">
        <v>35</v>
      </c>
      <c r="Q702" t="s">
        <v>35</v>
      </c>
      <c r="R702" t="s">
        <v>35</v>
      </c>
      <c r="S702" t="s">
        <v>34</v>
      </c>
      <c r="AD702">
        <v>20170124</v>
      </c>
      <c r="AF702" t="str">
        <f>IFERROR(VLOOKUP(RIGHT(TblFeedFile1[[#This Row],[Leave Type ]],6),LkupPayType[],2,FALSE),"TBD")</f>
        <v>TBD</v>
      </c>
      <c r="AG702" t="str">
        <f>IFERROR(VLOOKUP(TblFeedFile1[[#This Row],[ Report Number ]],LkupPayrollCycle[],2,FALSE),"TBD")</f>
        <v>Bi-Weekly</v>
      </c>
      <c r="AH702" t="str">
        <f>IF(TblFeedFile1[[#This Row],[Return to Work Date ]]="","","Y")</f>
        <v/>
      </c>
    </row>
    <row r="703" spans="1:34" x14ac:dyDescent="0.25">
      <c r="A703" t="s">
        <v>37</v>
      </c>
      <c r="B703">
        <v>314304</v>
      </c>
      <c r="C703">
        <v>24628050</v>
      </c>
      <c r="D703" s="1">
        <v>511701178939</v>
      </c>
      <c r="E703" t="s">
        <v>969</v>
      </c>
      <c r="F703" t="s">
        <v>970</v>
      </c>
      <c r="G703">
        <v>20170116</v>
      </c>
      <c r="H703">
        <v>20170227</v>
      </c>
      <c r="I703" t="s">
        <v>40</v>
      </c>
      <c r="L703" t="s">
        <v>34</v>
      </c>
      <c r="M703" t="s">
        <v>34</v>
      </c>
      <c r="N703" t="s">
        <v>35</v>
      </c>
      <c r="O703" t="s">
        <v>35</v>
      </c>
      <c r="P703" t="s">
        <v>35</v>
      </c>
      <c r="Q703" t="s">
        <v>35</v>
      </c>
      <c r="R703" t="s">
        <v>35</v>
      </c>
      <c r="S703" t="s">
        <v>34</v>
      </c>
      <c r="AD703">
        <v>20170124</v>
      </c>
      <c r="AF703" t="str">
        <f>IFERROR(VLOOKUP(RIGHT(TblFeedFile1[[#This Row],[Leave Type ]],6),LkupPayType[],2,FALSE),"TBD")</f>
        <v>TBD</v>
      </c>
      <c r="AG703" t="str">
        <f>IFERROR(VLOOKUP(TblFeedFile1[[#This Row],[ Report Number ]],LkupPayrollCycle[],2,FALSE),"TBD")</f>
        <v>Bi-Weekly</v>
      </c>
      <c r="AH703" t="str">
        <f>IF(TblFeedFile1[[#This Row],[Return to Work Date ]]="","","Y")</f>
        <v/>
      </c>
    </row>
    <row r="704" spans="1:34" x14ac:dyDescent="0.25">
      <c r="A704" t="s">
        <v>37</v>
      </c>
      <c r="B704">
        <v>314310</v>
      </c>
      <c r="C704">
        <v>24654425</v>
      </c>
      <c r="D704" s="1">
        <v>511701208031</v>
      </c>
      <c r="E704" t="s">
        <v>971</v>
      </c>
      <c r="F704" t="s">
        <v>972</v>
      </c>
      <c r="G704">
        <v>20170123</v>
      </c>
      <c r="H704">
        <v>20170213</v>
      </c>
      <c r="I704" t="s">
        <v>53</v>
      </c>
      <c r="L704" t="s">
        <v>35</v>
      </c>
      <c r="AD704">
        <v>20170124</v>
      </c>
      <c r="AF704" t="str">
        <f>IFERROR(VLOOKUP(RIGHT(TblFeedFile1[[#This Row],[Leave Type ]],6),LkupPayType[],2,FALSE),"TBD")</f>
        <v>TBD</v>
      </c>
      <c r="AG704" t="str">
        <f>IFERROR(VLOOKUP(TblFeedFile1[[#This Row],[ Report Number ]],LkupPayrollCycle[],2,FALSE),"TBD")</f>
        <v>Bi-Weekly</v>
      </c>
      <c r="AH704" t="str">
        <f>IF(TblFeedFile1[[#This Row],[Return to Work Date ]]="","","Y")</f>
        <v/>
      </c>
    </row>
    <row r="705" spans="1:34" x14ac:dyDescent="0.25">
      <c r="A705" t="s">
        <v>29</v>
      </c>
      <c r="B705">
        <v>314304</v>
      </c>
      <c r="C705">
        <v>24655018</v>
      </c>
      <c r="D705" s="1">
        <v>511701188309</v>
      </c>
      <c r="E705" t="s">
        <v>973</v>
      </c>
      <c r="F705" t="s">
        <v>974</v>
      </c>
      <c r="G705">
        <v>20170119</v>
      </c>
      <c r="H705">
        <v>20170130</v>
      </c>
      <c r="I705" t="s">
        <v>40</v>
      </c>
      <c r="L705" t="s">
        <v>34</v>
      </c>
      <c r="M705" t="s">
        <v>34</v>
      </c>
      <c r="N705" t="s">
        <v>35</v>
      </c>
      <c r="O705" t="s">
        <v>35</v>
      </c>
      <c r="P705" t="s">
        <v>35</v>
      </c>
      <c r="Q705" t="s">
        <v>35</v>
      </c>
      <c r="R705" t="s">
        <v>35</v>
      </c>
      <c r="S705" t="s">
        <v>34</v>
      </c>
      <c r="AD705">
        <v>20170124</v>
      </c>
      <c r="AF705" t="str">
        <f>IFERROR(VLOOKUP(RIGHT(TblFeedFile1[[#This Row],[Leave Type ]],6),LkupPayType[],2,FALSE),"TBD")</f>
        <v>TBD</v>
      </c>
      <c r="AG705" t="str">
        <f>IFERROR(VLOOKUP(TblFeedFile1[[#This Row],[ Report Number ]],LkupPayrollCycle[],2,FALSE),"TBD")</f>
        <v>Bi-Weekly</v>
      </c>
      <c r="AH705" t="str">
        <f>IF(TblFeedFile1[[#This Row],[Return to Work Date ]]="","","Y")</f>
        <v/>
      </c>
    </row>
    <row r="706" spans="1:34" x14ac:dyDescent="0.25">
      <c r="A706" t="s">
        <v>37</v>
      </c>
      <c r="B706">
        <v>314304</v>
      </c>
      <c r="C706">
        <v>24655018</v>
      </c>
      <c r="D706" s="1">
        <v>511701188309</v>
      </c>
      <c r="E706" t="s">
        <v>973</v>
      </c>
      <c r="F706" t="s">
        <v>974</v>
      </c>
      <c r="G706">
        <v>20170119</v>
      </c>
      <c r="H706">
        <v>20170128</v>
      </c>
      <c r="I706" t="s">
        <v>40</v>
      </c>
      <c r="L706" t="s">
        <v>34</v>
      </c>
      <c r="M706" t="s">
        <v>34</v>
      </c>
      <c r="N706" t="s">
        <v>35</v>
      </c>
      <c r="O706" t="s">
        <v>35</v>
      </c>
      <c r="P706" t="s">
        <v>35</v>
      </c>
      <c r="Q706" t="s">
        <v>35</v>
      </c>
      <c r="R706" t="s">
        <v>35</v>
      </c>
      <c r="S706" t="s">
        <v>34</v>
      </c>
      <c r="AD706">
        <v>20170124</v>
      </c>
      <c r="AF706" t="str">
        <f>IFERROR(VLOOKUP(RIGHT(TblFeedFile1[[#This Row],[Leave Type ]],6),LkupPayType[],2,FALSE),"TBD")</f>
        <v>TBD</v>
      </c>
      <c r="AG706" t="str">
        <f>IFERROR(VLOOKUP(TblFeedFile1[[#This Row],[ Report Number ]],LkupPayrollCycle[],2,FALSE),"TBD")</f>
        <v>Bi-Weekly</v>
      </c>
      <c r="AH706" t="str">
        <f>IF(TblFeedFile1[[#This Row],[Return to Work Date ]]="","","Y")</f>
        <v/>
      </c>
    </row>
    <row r="707" spans="1:34" x14ac:dyDescent="0.25">
      <c r="A707" t="s">
        <v>37</v>
      </c>
      <c r="B707">
        <v>314304</v>
      </c>
      <c r="C707">
        <v>24668551</v>
      </c>
      <c r="D707" s="1" t="s">
        <v>975</v>
      </c>
      <c r="E707" t="s">
        <v>976</v>
      </c>
      <c r="F707" t="s">
        <v>977</v>
      </c>
      <c r="G707">
        <v>20170123</v>
      </c>
      <c r="H707">
        <v>20170611</v>
      </c>
      <c r="I707" t="s">
        <v>78</v>
      </c>
      <c r="K707" t="s">
        <v>79</v>
      </c>
      <c r="L707" t="s">
        <v>34</v>
      </c>
      <c r="M707" t="s">
        <v>34</v>
      </c>
      <c r="N707" t="s">
        <v>35</v>
      </c>
      <c r="O707" t="s">
        <v>35</v>
      </c>
      <c r="P707" t="s">
        <v>35</v>
      </c>
      <c r="Q707" t="s">
        <v>35</v>
      </c>
      <c r="R707" t="s">
        <v>35</v>
      </c>
      <c r="S707" t="s">
        <v>34</v>
      </c>
      <c r="AD707">
        <v>20170124</v>
      </c>
      <c r="AF707" t="str">
        <f>IFERROR(VLOOKUP(RIGHT(TblFeedFile1[[#This Row],[Leave Type ]],6),LkupPayType[],2,FALSE),"TBD")</f>
        <v>TBD</v>
      </c>
      <c r="AG707" t="str">
        <f>IFERROR(VLOOKUP(TblFeedFile1[[#This Row],[ Report Number ]],LkupPayrollCycle[],2,FALSE),"TBD")</f>
        <v>Bi-Weekly</v>
      </c>
      <c r="AH707" t="str">
        <f>IF(TblFeedFile1[[#This Row],[Return to Work Date ]]="","","Y")</f>
        <v/>
      </c>
    </row>
    <row r="708" spans="1:34" x14ac:dyDescent="0.25">
      <c r="A708" t="s">
        <v>37</v>
      </c>
      <c r="B708">
        <v>314304</v>
      </c>
      <c r="C708">
        <v>24668551</v>
      </c>
      <c r="D708" s="1">
        <v>541701108114</v>
      </c>
      <c r="E708" t="s">
        <v>976</v>
      </c>
      <c r="F708" t="s">
        <v>977</v>
      </c>
      <c r="G708">
        <v>20170124</v>
      </c>
      <c r="H708">
        <v>20170611</v>
      </c>
      <c r="I708" t="s">
        <v>53</v>
      </c>
      <c r="L708" t="s">
        <v>34</v>
      </c>
      <c r="M708" t="s">
        <v>34</v>
      </c>
      <c r="N708" t="s">
        <v>35</v>
      </c>
      <c r="O708" t="s">
        <v>35</v>
      </c>
      <c r="P708" t="s">
        <v>35</v>
      </c>
      <c r="Q708" t="s">
        <v>35</v>
      </c>
      <c r="R708" t="s">
        <v>35</v>
      </c>
      <c r="S708" t="s">
        <v>34</v>
      </c>
      <c r="AD708">
        <v>20170124</v>
      </c>
      <c r="AF708" t="str">
        <f>IFERROR(VLOOKUP(RIGHT(TblFeedFile1[[#This Row],[Leave Type ]],6),LkupPayType[],2,FALSE),"TBD")</f>
        <v>TBD</v>
      </c>
      <c r="AG708" t="str">
        <f>IFERROR(VLOOKUP(TblFeedFile1[[#This Row],[ Report Number ]],LkupPayrollCycle[],2,FALSE),"TBD")</f>
        <v>Bi-Weekly</v>
      </c>
      <c r="AH708" t="str">
        <f>IF(TblFeedFile1[[#This Row],[Return to Work Date ]]="","","Y")</f>
        <v/>
      </c>
    </row>
    <row r="709" spans="1:34" x14ac:dyDescent="0.25">
      <c r="A709" t="s">
        <v>29</v>
      </c>
      <c r="B709">
        <v>314304</v>
      </c>
      <c r="C709">
        <v>24675693</v>
      </c>
      <c r="D709" s="1">
        <v>501612168970</v>
      </c>
      <c r="E709" t="s">
        <v>606</v>
      </c>
      <c r="F709" t="s">
        <v>978</v>
      </c>
      <c r="G709">
        <v>20170114</v>
      </c>
      <c r="H709">
        <v>20170520</v>
      </c>
      <c r="I709" t="s">
        <v>40</v>
      </c>
      <c r="L709" t="s">
        <v>34</v>
      </c>
      <c r="M709" t="s">
        <v>34</v>
      </c>
      <c r="N709" t="s">
        <v>35</v>
      </c>
      <c r="O709" t="s">
        <v>35</v>
      </c>
      <c r="P709" t="s">
        <v>35</v>
      </c>
      <c r="Q709" t="s">
        <v>35</v>
      </c>
      <c r="R709" t="s">
        <v>35</v>
      </c>
      <c r="S709" t="s">
        <v>34</v>
      </c>
      <c r="AD709">
        <v>20170124</v>
      </c>
      <c r="AF709" t="str">
        <f>IFERROR(VLOOKUP(RIGHT(TblFeedFile1[[#This Row],[Leave Type ]],6),LkupPayType[],2,FALSE),"TBD")</f>
        <v>TBD</v>
      </c>
      <c r="AG709" t="str">
        <f>IFERROR(VLOOKUP(TblFeedFile1[[#This Row],[ Report Number ]],LkupPayrollCycle[],2,FALSE),"TBD")</f>
        <v>Bi-Weekly</v>
      </c>
      <c r="AH709" t="str">
        <f>IF(TblFeedFile1[[#This Row],[Return to Work Date ]]="","","Y")</f>
        <v/>
      </c>
    </row>
    <row r="710" spans="1:34" x14ac:dyDescent="0.25">
      <c r="A710" t="s">
        <v>37</v>
      </c>
      <c r="B710">
        <v>314304</v>
      </c>
      <c r="C710">
        <v>24675693</v>
      </c>
      <c r="D710" s="1">
        <v>501612168970</v>
      </c>
      <c r="E710" t="s">
        <v>606</v>
      </c>
      <c r="F710" t="s">
        <v>978</v>
      </c>
      <c r="G710">
        <v>20170114</v>
      </c>
      <c r="H710">
        <v>20170520</v>
      </c>
      <c r="I710" t="s">
        <v>40</v>
      </c>
      <c r="L710" t="s">
        <v>34</v>
      </c>
      <c r="M710" t="s">
        <v>34</v>
      </c>
      <c r="N710" t="s">
        <v>35</v>
      </c>
      <c r="O710" t="s">
        <v>35</v>
      </c>
      <c r="P710" t="s">
        <v>35</v>
      </c>
      <c r="Q710" t="s">
        <v>35</v>
      </c>
      <c r="R710" t="s">
        <v>35</v>
      </c>
      <c r="S710" t="s">
        <v>35</v>
      </c>
      <c r="AD710">
        <v>20170124</v>
      </c>
      <c r="AF710" t="str">
        <f>IFERROR(VLOOKUP(RIGHT(TblFeedFile1[[#This Row],[Leave Type ]],6),LkupPayType[],2,FALSE),"TBD")</f>
        <v>TBD</v>
      </c>
      <c r="AG710" t="str">
        <f>IFERROR(VLOOKUP(TblFeedFile1[[#This Row],[ Report Number ]],LkupPayrollCycle[],2,FALSE),"TBD")</f>
        <v>Bi-Weekly</v>
      </c>
      <c r="AH710" t="str">
        <f>IF(TblFeedFile1[[#This Row],[Return to Work Date ]]="","","Y")</f>
        <v/>
      </c>
    </row>
    <row r="711" spans="1:34" x14ac:dyDescent="0.25">
      <c r="A711" t="s">
        <v>37</v>
      </c>
      <c r="B711">
        <v>314304</v>
      </c>
      <c r="C711">
        <v>24694698</v>
      </c>
      <c r="D711" s="1">
        <v>531701218063</v>
      </c>
      <c r="E711" t="s">
        <v>979</v>
      </c>
      <c r="F711" t="s">
        <v>980</v>
      </c>
      <c r="G711">
        <v>20170110</v>
      </c>
      <c r="H711">
        <v>20170309</v>
      </c>
      <c r="I711" t="s">
        <v>53</v>
      </c>
      <c r="L711" t="s">
        <v>34</v>
      </c>
      <c r="M711" t="s">
        <v>34</v>
      </c>
      <c r="N711" t="s">
        <v>35</v>
      </c>
      <c r="O711" t="s">
        <v>35</v>
      </c>
      <c r="P711" t="s">
        <v>35</v>
      </c>
      <c r="Q711" t="s">
        <v>35</v>
      </c>
      <c r="R711" t="s">
        <v>35</v>
      </c>
      <c r="S711" t="s">
        <v>34</v>
      </c>
      <c r="AD711">
        <v>20170124</v>
      </c>
      <c r="AF711" t="str">
        <f>IFERROR(VLOOKUP(RIGHT(TblFeedFile1[[#This Row],[Leave Type ]],6),LkupPayType[],2,FALSE),"TBD")</f>
        <v>TBD</v>
      </c>
      <c r="AG711" t="str">
        <f>IFERROR(VLOOKUP(TblFeedFile1[[#This Row],[ Report Number ]],LkupPayrollCycle[],2,FALSE),"TBD")</f>
        <v>Bi-Weekly</v>
      </c>
      <c r="AH711" t="str">
        <f>IF(TblFeedFile1[[#This Row],[Return to Work Date ]]="","","Y")</f>
        <v/>
      </c>
    </row>
    <row r="712" spans="1:34" x14ac:dyDescent="0.25">
      <c r="A712" t="s">
        <v>37</v>
      </c>
      <c r="B712">
        <v>314304</v>
      </c>
      <c r="C712">
        <v>24694698</v>
      </c>
      <c r="D712" s="1">
        <v>531701218063</v>
      </c>
      <c r="E712" t="s">
        <v>979</v>
      </c>
      <c r="F712" t="s">
        <v>980</v>
      </c>
      <c r="G712">
        <v>20170117</v>
      </c>
      <c r="H712">
        <v>20170309</v>
      </c>
      <c r="I712" t="s">
        <v>40</v>
      </c>
      <c r="L712" t="s">
        <v>34</v>
      </c>
      <c r="M712" t="s">
        <v>34</v>
      </c>
      <c r="N712" t="s">
        <v>35</v>
      </c>
      <c r="O712" t="s">
        <v>35</v>
      </c>
      <c r="P712" t="s">
        <v>35</v>
      </c>
      <c r="Q712" t="s">
        <v>35</v>
      </c>
      <c r="R712" t="s">
        <v>35</v>
      </c>
      <c r="S712" t="s">
        <v>34</v>
      </c>
      <c r="AD712">
        <v>20170124</v>
      </c>
      <c r="AF712" t="str">
        <f>IFERROR(VLOOKUP(RIGHT(TblFeedFile1[[#This Row],[Leave Type ]],6),LkupPayType[],2,FALSE),"TBD")</f>
        <v>TBD</v>
      </c>
      <c r="AG712" t="str">
        <f>IFERROR(VLOOKUP(TblFeedFile1[[#This Row],[ Report Number ]],LkupPayrollCycle[],2,FALSE),"TBD")</f>
        <v>Bi-Weekly</v>
      </c>
      <c r="AH712" t="str">
        <f>IF(TblFeedFile1[[#This Row],[Return to Work Date ]]="","","Y")</f>
        <v/>
      </c>
    </row>
    <row r="713" spans="1:34" x14ac:dyDescent="0.25">
      <c r="A713" t="s">
        <v>29</v>
      </c>
      <c r="B713">
        <v>314304</v>
      </c>
      <c r="C713">
        <v>24701554</v>
      </c>
      <c r="D713" s="1" t="s">
        <v>981</v>
      </c>
      <c r="E713" t="s">
        <v>606</v>
      </c>
      <c r="F713" t="s">
        <v>476</v>
      </c>
      <c r="G713">
        <v>20161114</v>
      </c>
      <c r="H713">
        <v>20161225</v>
      </c>
      <c r="I713" t="s">
        <v>155</v>
      </c>
      <c r="L713" t="s">
        <v>34</v>
      </c>
      <c r="M713" t="s">
        <v>34</v>
      </c>
      <c r="N713" t="s">
        <v>35</v>
      </c>
      <c r="O713" t="s">
        <v>35</v>
      </c>
      <c r="P713" t="s">
        <v>35</v>
      </c>
      <c r="Q713" t="s">
        <v>35</v>
      </c>
      <c r="R713" t="s">
        <v>35</v>
      </c>
      <c r="S713" t="s">
        <v>34</v>
      </c>
      <c r="T713">
        <v>20161226</v>
      </c>
      <c r="AC713" t="s">
        <v>35</v>
      </c>
      <c r="AD713">
        <v>20170124</v>
      </c>
      <c r="AF713" t="str">
        <f>IFERROR(VLOOKUP(RIGHT(TblFeedFile1[[#This Row],[Leave Type ]],6),LkupPayType[],2,FALSE),"TBD")</f>
        <v>TBD</v>
      </c>
      <c r="AG713" t="str">
        <f>IFERROR(VLOOKUP(TblFeedFile1[[#This Row],[ Report Number ]],LkupPayrollCycle[],2,FALSE),"TBD")</f>
        <v>Bi-Weekly</v>
      </c>
      <c r="AH713" t="str">
        <f>IF(TblFeedFile1[[#This Row],[Return to Work Date ]]="","","Y")</f>
        <v>Y</v>
      </c>
    </row>
    <row r="714" spans="1:34" x14ac:dyDescent="0.25">
      <c r="A714" t="s">
        <v>37</v>
      </c>
      <c r="B714">
        <v>314304</v>
      </c>
      <c r="C714">
        <v>24701554</v>
      </c>
      <c r="D714" s="1" t="s">
        <v>981</v>
      </c>
      <c r="E714" t="s">
        <v>606</v>
      </c>
      <c r="F714" t="s">
        <v>476</v>
      </c>
      <c r="G714">
        <v>20161114</v>
      </c>
      <c r="H714">
        <v>20161225</v>
      </c>
      <c r="I714" t="s">
        <v>78</v>
      </c>
      <c r="K714" t="s">
        <v>219</v>
      </c>
      <c r="L714" t="s">
        <v>35</v>
      </c>
      <c r="T714">
        <v>20161226</v>
      </c>
      <c r="AC714" t="s">
        <v>35</v>
      </c>
      <c r="AD714">
        <v>20170124</v>
      </c>
      <c r="AF714" t="str">
        <f>IFERROR(VLOOKUP(RIGHT(TblFeedFile1[[#This Row],[Leave Type ]],6),LkupPayType[],2,FALSE),"TBD")</f>
        <v>TBD</v>
      </c>
      <c r="AG714" t="str">
        <f>IFERROR(VLOOKUP(TblFeedFile1[[#This Row],[ Report Number ]],LkupPayrollCycle[],2,FALSE),"TBD")</f>
        <v>Bi-Weekly</v>
      </c>
      <c r="AH714" t="str">
        <f>IF(TblFeedFile1[[#This Row],[Return to Work Date ]]="","","Y")</f>
        <v>Y</v>
      </c>
    </row>
    <row r="715" spans="1:34" x14ac:dyDescent="0.25">
      <c r="A715" t="s">
        <v>29</v>
      </c>
      <c r="B715">
        <v>314301</v>
      </c>
      <c r="C715">
        <v>24729217</v>
      </c>
      <c r="D715" s="1" t="s">
        <v>982</v>
      </c>
      <c r="E715" t="s">
        <v>983</v>
      </c>
      <c r="F715" t="s">
        <v>984</v>
      </c>
      <c r="G715">
        <v>20160519</v>
      </c>
      <c r="H715">
        <v>20160519</v>
      </c>
      <c r="I715" t="s">
        <v>185</v>
      </c>
      <c r="L715" t="s">
        <v>34</v>
      </c>
      <c r="M715" t="s">
        <v>34</v>
      </c>
      <c r="N715" t="s">
        <v>35</v>
      </c>
      <c r="O715" t="s">
        <v>35</v>
      </c>
      <c r="P715" t="s">
        <v>35</v>
      </c>
      <c r="Q715" t="s">
        <v>35</v>
      </c>
      <c r="R715" t="s">
        <v>35</v>
      </c>
      <c r="S715" t="s">
        <v>34</v>
      </c>
      <c r="AC715" t="s">
        <v>35</v>
      </c>
      <c r="AD715">
        <v>20170124</v>
      </c>
      <c r="AF715" t="str">
        <f>IFERROR(VLOOKUP(RIGHT(TblFeedFile1[[#This Row],[Leave Type ]],6),LkupPayType[],2,FALSE),"TBD")</f>
        <v>TBD</v>
      </c>
      <c r="AG715" t="str">
        <f>IFERROR(VLOOKUP(TblFeedFile1[[#This Row],[ Report Number ]],LkupPayrollCycle[],2,FALSE),"TBD")</f>
        <v>Semi-Monthly</v>
      </c>
      <c r="AH715" t="str">
        <f>IF(TblFeedFile1[[#This Row],[Return to Work Date ]]="","","Y")</f>
        <v/>
      </c>
    </row>
    <row r="716" spans="1:34" x14ac:dyDescent="0.25">
      <c r="A716" t="s">
        <v>37</v>
      </c>
      <c r="B716">
        <v>314301</v>
      </c>
      <c r="C716">
        <v>24729217</v>
      </c>
      <c r="D716" s="1" t="s">
        <v>982</v>
      </c>
      <c r="E716" t="s">
        <v>983</v>
      </c>
      <c r="F716" t="s">
        <v>984</v>
      </c>
      <c r="G716">
        <v>20160407</v>
      </c>
      <c r="H716">
        <v>20160519</v>
      </c>
      <c r="I716" t="s">
        <v>185</v>
      </c>
      <c r="L716" t="s">
        <v>34</v>
      </c>
      <c r="M716" t="s">
        <v>34</v>
      </c>
      <c r="N716" t="s">
        <v>35</v>
      </c>
      <c r="O716" t="s">
        <v>35</v>
      </c>
      <c r="P716" t="s">
        <v>35</v>
      </c>
      <c r="Q716" t="s">
        <v>35</v>
      </c>
      <c r="R716" t="s">
        <v>35</v>
      </c>
      <c r="S716" t="s">
        <v>34</v>
      </c>
      <c r="AD716">
        <v>20170124</v>
      </c>
      <c r="AF716" t="str">
        <f>IFERROR(VLOOKUP(RIGHT(TblFeedFile1[[#This Row],[Leave Type ]],6),LkupPayType[],2,FALSE),"TBD")</f>
        <v>TBD</v>
      </c>
      <c r="AG716" t="str">
        <f>IFERROR(VLOOKUP(TblFeedFile1[[#This Row],[ Report Number ]],LkupPayrollCycle[],2,FALSE),"TBD")</f>
        <v>Semi-Monthly</v>
      </c>
      <c r="AH716" t="str">
        <f>IF(TblFeedFile1[[#This Row],[Return to Work Date ]]="","","Y")</f>
        <v/>
      </c>
    </row>
    <row r="717" spans="1:34" x14ac:dyDescent="0.25">
      <c r="A717" t="s">
        <v>37</v>
      </c>
      <c r="B717">
        <v>314301</v>
      </c>
      <c r="C717">
        <v>24749857</v>
      </c>
      <c r="D717" s="1" t="s">
        <v>985</v>
      </c>
      <c r="E717" t="s">
        <v>544</v>
      </c>
      <c r="F717" t="s">
        <v>986</v>
      </c>
      <c r="G717">
        <v>20170130</v>
      </c>
      <c r="H717">
        <v>20170430</v>
      </c>
      <c r="I717" t="s">
        <v>223</v>
      </c>
      <c r="L717" t="s">
        <v>34</v>
      </c>
      <c r="M717" t="s">
        <v>34</v>
      </c>
      <c r="N717" t="s">
        <v>35</v>
      </c>
      <c r="O717" t="s">
        <v>35</v>
      </c>
      <c r="P717" t="s">
        <v>35</v>
      </c>
      <c r="Q717" t="s">
        <v>35</v>
      </c>
      <c r="R717" t="s">
        <v>35</v>
      </c>
      <c r="S717" t="s">
        <v>34</v>
      </c>
      <c r="AD717">
        <v>20170124</v>
      </c>
      <c r="AF717" t="str">
        <f>IFERROR(VLOOKUP(RIGHT(TblFeedFile1[[#This Row],[Leave Type ]],6),LkupPayType[],2,FALSE),"TBD")</f>
        <v>TBD</v>
      </c>
      <c r="AG717" t="str">
        <f>IFERROR(VLOOKUP(TblFeedFile1[[#This Row],[ Report Number ]],LkupPayrollCycle[],2,FALSE),"TBD")</f>
        <v>Semi-Monthly</v>
      </c>
      <c r="AH717" t="str">
        <f>IF(TblFeedFile1[[#This Row],[Return to Work Date ]]="","","Y")</f>
        <v/>
      </c>
    </row>
    <row r="718" spans="1:34" x14ac:dyDescent="0.25">
      <c r="A718" t="s">
        <v>37</v>
      </c>
      <c r="B718">
        <v>314301</v>
      </c>
      <c r="C718">
        <v>24749857</v>
      </c>
      <c r="D718" s="1" t="s">
        <v>987</v>
      </c>
      <c r="E718" t="s">
        <v>544</v>
      </c>
      <c r="F718" t="s">
        <v>986</v>
      </c>
      <c r="G718">
        <v>20170130</v>
      </c>
      <c r="H718">
        <v>20170130</v>
      </c>
      <c r="I718" t="s">
        <v>43</v>
      </c>
      <c r="L718" t="s">
        <v>34</v>
      </c>
      <c r="M718" t="s">
        <v>34</v>
      </c>
      <c r="N718" t="s">
        <v>35</v>
      </c>
      <c r="O718" t="s">
        <v>35</v>
      </c>
      <c r="P718" t="s">
        <v>35</v>
      </c>
      <c r="Q718" t="s">
        <v>35</v>
      </c>
      <c r="R718" t="s">
        <v>35</v>
      </c>
      <c r="S718" t="s">
        <v>34</v>
      </c>
      <c r="AD718">
        <v>20170124</v>
      </c>
      <c r="AF718" t="str">
        <f>IFERROR(VLOOKUP(RIGHT(TblFeedFile1[[#This Row],[Leave Type ]],6),LkupPayType[],2,FALSE),"TBD")</f>
        <v>TBD</v>
      </c>
      <c r="AG718" t="str">
        <f>IFERROR(VLOOKUP(TblFeedFile1[[#This Row],[ Report Number ]],LkupPayrollCycle[],2,FALSE),"TBD")</f>
        <v>Semi-Monthly</v>
      </c>
      <c r="AH718" t="str">
        <f>IF(TblFeedFile1[[#This Row],[Return to Work Date ]]="","","Y")</f>
        <v/>
      </c>
    </row>
    <row r="719" spans="1:34" x14ac:dyDescent="0.25">
      <c r="A719" t="s">
        <v>29</v>
      </c>
      <c r="B719">
        <v>314304</v>
      </c>
      <c r="C719">
        <v>24771991</v>
      </c>
      <c r="D719" s="1" t="s">
        <v>988</v>
      </c>
      <c r="E719" t="s">
        <v>989</v>
      </c>
      <c r="F719" t="s">
        <v>990</v>
      </c>
      <c r="G719">
        <v>20161010</v>
      </c>
      <c r="H719">
        <v>20170127</v>
      </c>
      <c r="I719" t="s">
        <v>223</v>
      </c>
      <c r="L719" t="s">
        <v>34</v>
      </c>
      <c r="M719" t="s">
        <v>34</v>
      </c>
      <c r="N719" t="s">
        <v>35</v>
      </c>
      <c r="O719" t="s">
        <v>35</v>
      </c>
      <c r="P719" t="s">
        <v>35</v>
      </c>
      <c r="Q719" t="s">
        <v>35</v>
      </c>
      <c r="R719" t="s">
        <v>35</v>
      </c>
      <c r="S719" t="s">
        <v>34</v>
      </c>
      <c r="AC719" t="s">
        <v>35</v>
      </c>
      <c r="AD719">
        <v>20170124</v>
      </c>
      <c r="AF719" t="str">
        <f>IFERROR(VLOOKUP(RIGHT(TblFeedFile1[[#This Row],[Leave Type ]],6),LkupPayType[],2,FALSE),"TBD")</f>
        <v>TBD</v>
      </c>
      <c r="AG719" t="str">
        <f>IFERROR(VLOOKUP(TblFeedFile1[[#This Row],[ Report Number ]],LkupPayrollCycle[],2,FALSE),"TBD")</f>
        <v>Bi-Weekly</v>
      </c>
      <c r="AH719" t="str">
        <f>IF(TblFeedFile1[[#This Row],[Return to Work Date ]]="","","Y")</f>
        <v/>
      </c>
    </row>
    <row r="720" spans="1:34" x14ac:dyDescent="0.25">
      <c r="A720" t="s">
        <v>37</v>
      </c>
      <c r="B720">
        <v>314304</v>
      </c>
      <c r="C720">
        <v>24771991</v>
      </c>
      <c r="D720" s="1" t="s">
        <v>988</v>
      </c>
      <c r="E720" t="s">
        <v>989</v>
      </c>
      <c r="F720" t="s">
        <v>990</v>
      </c>
      <c r="G720">
        <v>20161010</v>
      </c>
      <c r="H720">
        <v>20170116</v>
      </c>
      <c r="I720" t="s">
        <v>223</v>
      </c>
      <c r="L720" t="s">
        <v>34</v>
      </c>
      <c r="M720" t="s">
        <v>34</v>
      </c>
      <c r="N720" t="s">
        <v>35</v>
      </c>
      <c r="O720" t="s">
        <v>35</v>
      </c>
      <c r="P720" t="s">
        <v>35</v>
      </c>
      <c r="Q720" t="s">
        <v>35</v>
      </c>
      <c r="R720" t="s">
        <v>35</v>
      </c>
      <c r="S720" t="s">
        <v>34</v>
      </c>
      <c r="T720">
        <v>20170117</v>
      </c>
      <c r="AC720" t="s">
        <v>35</v>
      </c>
      <c r="AD720">
        <v>20170124</v>
      </c>
      <c r="AF720" t="str">
        <f>IFERROR(VLOOKUP(RIGHT(TblFeedFile1[[#This Row],[Leave Type ]],6),LkupPayType[],2,FALSE),"TBD")</f>
        <v>TBD</v>
      </c>
      <c r="AG720" t="str">
        <f>IFERROR(VLOOKUP(TblFeedFile1[[#This Row],[ Report Number ]],LkupPayrollCycle[],2,FALSE),"TBD")</f>
        <v>Bi-Weekly</v>
      </c>
      <c r="AH720" t="str">
        <f>IF(TblFeedFile1[[#This Row],[Return to Work Date ]]="","","Y")</f>
        <v>Y</v>
      </c>
    </row>
    <row r="721" spans="1:34" x14ac:dyDescent="0.25">
      <c r="A721" t="s">
        <v>29</v>
      </c>
      <c r="B721">
        <v>314304</v>
      </c>
      <c r="C721">
        <v>24786960</v>
      </c>
      <c r="D721" s="1" t="s">
        <v>991</v>
      </c>
      <c r="E721" t="s">
        <v>109</v>
      </c>
      <c r="F721" t="s">
        <v>992</v>
      </c>
      <c r="G721">
        <v>20170120</v>
      </c>
      <c r="H721">
        <v>20170622</v>
      </c>
      <c r="I721" t="s">
        <v>155</v>
      </c>
      <c r="L721" t="s">
        <v>34</v>
      </c>
      <c r="M721" t="s">
        <v>34</v>
      </c>
      <c r="N721" t="s">
        <v>35</v>
      </c>
      <c r="O721" t="s">
        <v>35</v>
      </c>
      <c r="P721" t="s">
        <v>35</v>
      </c>
      <c r="Q721" t="s">
        <v>35</v>
      </c>
      <c r="R721" t="s">
        <v>35</v>
      </c>
      <c r="S721" t="s">
        <v>34</v>
      </c>
      <c r="AD721">
        <v>20170124</v>
      </c>
      <c r="AF721" t="str">
        <f>IFERROR(VLOOKUP(RIGHT(TblFeedFile1[[#This Row],[Leave Type ]],6),LkupPayType[],2,FALSE),"TBD")</f>
        <v>TBD</v>
      </c>
      <c r="AG721" t="str">
        <f>IFERROR(VLOOKUP(TblFeedFile1[[#This Row],[ Report Number ]],LkupPayrollCycle[],2,FALSE),"TBD")</f>
        <v>Bi-Weekly</v>
      </c>
      <c r="AH721" t="str">
        <f>IF(TblFeedFile1[[#This Row],[Return to Work Date ]]="","","Y")</f>
        <v/>
      </c>
    </row>
    <row r="722" spans="1:34" x14ac:dyDescent="0.25">
      <c r="A722" t="s">
        <v>37</v>
      </c>
      <c r="B722">
        <v>314304</v>
      </c>
      <c r="C722">
        <v>24786960</v>
      </c>
      <c r="D722" s="1" t="s">
        <v>991</v>
      </c>
      <c r="E722" t="s">
        <v>109</v>
      </c>
      <c r="F722" t="s">
        <v>992</v>
      </c>
      <c r="G722">
        <v>20170120</v>
      </c>
      <c r="H722">
        <v>20170408</v>
      </c>
      <c r="I722" t="s">
        <v>155</v>
      </c>
      <c r="L722" t="s">
        <v>34</v>
      </c>
      <c r="M722" t="s">
        <v>34</v>
      </c>
      <c r="N722" t="s">
        <v>35</v>
      </c>
      <c r="O722" t="s">
        <v>35</v>
      </c>
      <c r="P722" t="s">
        <v>35</v>
      </c>
      <c r="Q722" t="s">
        <v>35</v>
      </c>
      <c r="R722" t="s">
        <v>35</v>
      </c>
      <c r="S722" t="s">
        <v>34</v>
      </c>
      <c r="AD722">
        <v>20170124</v>
      </c>
      <c r="AF722" t="str">
        <f>IFERROR(VLOOKUP(RIGHT(TblFeedFile1[[#This Row],[Leave Type ]],6),LkupPayType[],2,FALSE),"TBD")</f>
        <v>TBD</v>
      </c>
      <c r="AG722" t="str">
        <f>IFERROR(VLOOKUP(TblFeedFile1[[#This Row],[ Report Number ]],LkupPayrollCycle[],2,FALSE),"TBD")</f>
        <v>Bi-Weekly</v>
      </c>
      <c r="AH722" t="str">
        <f>IF(TblFeedFile1[[#This Row],[Return to Work Date ]]="","","Y")</f>
        <v/>
      </c>
    </row>
    <row r="723" spans="1:34" x14ac:dyDescent="0.25">
      <c r="A723" t="s">
        <v>29</v>
      </c>
      <c r="B723">
        <v>314304</v>
      </c>
      <c r="C723">
        <v>24824024</v>
      </c>
      <c r="D723" s="1">
        <v>501701098698</v>
      </c>
      <c r="E723" t="s">
        <v>107</v>
      </c>
      <c r="F723" t="s">
        <v>993</v>
      </c>
      <c r="G723">
        <v>20170116</v>
      </c>
      <c r="H723">
        <v>20170409</v>
      </c>
      <c r="I723" t="s">
        <v>40</v>
      </c>
      <c r="L723" t="s">
        <v>34</v>
      </c>
      <c r="M723" t="s">
        <v>34</v>
      </c>
      <c r="N723" t="s">
        <v>35</v>
      </c>
      <c r="O723" t="s">
        <v>35</v>
      </c>
      <c r="P723" t="s">
        <v>35</v>
      </c>
      <c r="Q723" t="s">
        <v>35</v>
      </c>
      <c r="R723" t="s">
        <v>35</v>
      </c>
      <c r="S723" t="s">
        <v>34</v>
      </c>
      <c r="AD723">
        <v>20170124</v>
      </c>
      <c r="AF723" t="str">
        <f>IFERROR(VLOOKUP(RIGHT(TblFeedFile1[[#This Row],[Leave Type ]],6),LkupPayType[],2,FALSE),"TBD")</f>
        <v>TBD</v>
      </c>
      <c r="AG723" t="str">
        <f>IFERROR(VLOOKUP(TblFeedFile1[[#This Row],[ Report Number ]],LkupPayrollCycle[],2,FALSE),"TBD")</f>
        <v>Bi-Weekly</v>
      </c>
      <c r="AH723" t="str">
        <f>IF(TblFeedFile1[[#This Row],[Return to Work Date ]]="","","Y")</f>
        <v/>
      </c>
    </row>
    <row r="724" spans="1:34" x14ac:dyDescent="0.25">
      <c r="A724" t="s">
        <v>37</v>
      </c>
      <c r="B724">
        <v>314304</v>
      </c>
      <c r="C724">
        <v>24824024</v>
      </c>
      <c r="D724" s="1">
        <v>501701098698</v>
      </c>
      <c r="E724" t="s">
        <v>107</v>
      </c>
      <c r="F724" t="s">
        <v>993</v>
      </c>
      <c r="G724">
        <v>20170116</v>
      </c>
      <c r="H724">
        <v>20170408</v>
      </c>
      <c r="I724" t="s">
        <v>40</v>
      </c>
      <c r="L724" t="s">
        <v>34</v>
      </c>
      <c r="M724" t="s">
        <v>34</v>
      </c>
      <c r="N724" t="s">
        <v>35</v>
      </c>
      <c r="O724" t="s">
        <v>35</v>
      </c>
      <c r="P724" t="s">
        <v>35</v>
      </c>
      <c r="Q724" t="s">
        <v>35</v>
      </c>
      <c r="R724" t="s">
        <v>35</v>
      </c>
      <c r="S724" t="s">
        <v>34</v>
      </c>
      <c r="AD724">
        <v>20170124</v>
      </c>
      <c r="AF724" t="str">
        <f>IFERROR(VLOOKUP(RIGHT(TblFeedFile1[[#This Row],[Leave Type ]],6),LkupPayType[],2,FALSE),"TBD")</f>
        <v>TBD</v>
      </c>
      <c r="AG724" t="str">
        <f>IFERROR(VLOOKUP(TblFeedFile1[[#This Row],[ Report Number ]],LkupPayrollCycle[],2,FALSE),"TBD")</f>
        <v>Bi-Weekly</v>
      </c>
      <c r="AH724" t="str">
        <f>IF(TblFeedFile1[[#This Row],[Return to Work Date ]]="","","Y")</f>
        <v/>
      </c>
    </row>
    <row r="725" spans="1:34" x14ac:dyDescent="0.25">
      <c r="A725" t="s">
        <v>29</v>
      </c>
      <c r="B725">
        <v>314304</v>
      </c>
      <c r="C725">
        <v>24824186</v>
      </c>
      <c r="D725" s="1">
        <v>511701198709</v>
      </c>
      <c r="E725" t="s">
        <v>994</v>
      </c>
      <c r="F725" t="s">
        <v>995</v>
      </c>
      <c r="G725">
        <v>20170117</v>
      </c>
      <c r="H725">
        <v>20170228</v>
      </c>
      <c r="I725" t="s">
        <v>40</v>
      </c>
      <c r="L725" t="s">
        <v>34</v>
      </c>
      <c r="M725" t="s">
        <v>35</v>
      </c>
      <c r="N725" t="s">
        <v>35</v>
      </c>
      <c r="O725" t="s">
        <v>35</v>
      </c>
      <c r="P725" t="s">
        <v>35</v>
      </c>
      <c r="Q725" t="s">
        <v>35</v>
      </c>
      <c r="R725" t="s">
        <v>34</v>
      </c>
      <c r="S725" t="s">
        <v>34</v>
      </c>
      <c r="AD725">
        <v>20170124</v>
      </c>
      <c r="AF725" t="str">
        <f>IFERROR(VLOOKUP(RIGHT(TblFeedFile1[[#This Row],[Leave Type ]],6),LkupPayType[],2,FALSE),"TBD")</f>
        <v>TBD</v>
      </c>
      <c r="AG725" t="str">
        <f>IFERROR(VLOOKUP(TblFeedFile1[[#This Row],[ Report Number ]],LkupPayrollCycle[],2,FALSE),"TBD")</f>
        <v>Bi-Weekly</v>
      </c>
      <c r="AH725" t="str">
        <f>IF(TblFeedFile1[[#This Row],[Return to Work Date ]]="","","Y")</f>
        <v/>
      </c>
    </row>
    <row r="726" spans="1:34" x14ac:dyDescent="0.25">
      <c r="A726" t="s">
        <v>37</v>
      </c>
      <c r="B726">
        <v>314304</v>
      </c>
      <c r="C726">
        <v>24824186</v>
      </c>
      <c r="D726" s="1">
        <v>511701198709</v>
      </c>
      <c r="E726" t="s">
        <v>994</v>
      </c>
      <c r="F726" t="s">
        <v>995</v>
      </c>
      <c r="G726">
        <v>20170117</v>
      </c>
      <c r="H726">
        <v>20170228</v>
      </c>
      <c r="I726" t="s">
        <v>40</v>
      </c>
      <c r="L726" t="s">
        <v>34</v>
      </c>
      <c r="M726" t="s">
        <v>34</v>
      </c>
      <c r="N726" t="s">
        <v>35</v>
      </c>
      <c r="O726" t="s">
        <v>35</v>
      </c>
      <c r="P726" t="s">
        <v>35</v>
      </c>
      <c r="Q726" t="s">
        <v>35</v>
      </c>
      <c r="R726" t="s">
        <v>34</v>
      </c>
      <c r="S726" t="s">
        <v>34</v>
      </c>
      <c r="AD726">
        <v>20170124</v>
      </c>
      <c r="AF726" t="str">
        <f>IFERROR(VLOOKUP(RIGHT(TblFeedFile1[[#This Row],[Leave Type ]],6),LkupPayType[],2,FALSE),"TBD")</f>
        <v>TBD</v>
      </c>
      <c r="AG726" t="str">
        <f>IFERROR(VLOOKUP(TblFeedFile1[[#This Row],[ Report Number ]],LkupPayrollCycle[],2,FALSE),"TBD")</f>
        <v>Bi-Weekly</v>
      </c>
      <c r="AH726" t="str">
        <f>IF(TblFeedFile1[[#This Row],[Return to Work Date ]]="","","Y")</f>
        <v/>
      </c>
    </row>
    <row r="727" spans="1:34" x14ac:dyDescent="0.25">
      <c r="A727" t="s">
        <v>37</v>
      </c>
      <c r="B727">
        <v>314305</v>
      </c>
      <c r="C727">
        <v>24847799</v>
      </c>
      <c r="D727" s="1" t="s">
        <v>996</v>
      </c>
      <c r="E727" t="s">
        <v>790</v>
      </c>
      <c r="F727" t="s">
        <v>997</v>
      </c>
      <c r="G727">
        <v>20170119</v>
      </c>
      <c r="H727">
        <v>20170119</v>
      </c>
      <c r="I727" t="s">
        <v>43</v>
      </c>
      <c r="L727" t="s">
        <v>34</v>
      </c>
      <c r="M727" t="s">
        <v>34</v>
      </c>
      <c r="N727" t="s">
        <v>35</v>
      </c>
      <c r="O727" t="s">
        <v>35</v>
      </c>
      <c r="P727" t="s">
        <v>35</v>
      </c>
      <c r="Q727" t="s">
        <v>35</v>
      </c>
      <c r="R727" t="s">
        <v>35</v>
      </c>
      <c r="S727" t="s">
        <v>34</v>
      </c>
      <c r="AD727">
        <v>20170124</v>
      </c>
      <c r="AF727" t="str">
        <f>IFERROR(VLOOKUP(RIGHT(TblFeedFile1[[#This Row],[Leave Type ]],6),LkupPayType[],2,FALSE),"TBD")</f>
        <v>TBD</v>
      </c>
      <c r="AG727" t="str">
        <f>IFERROR(VLOOKUP(TblFeedFile1[[#This Row],[ Report Number ]],LkupPayrollCycle[],2,FALSE),"TBD")</f>
        <v>Bi-Weekly</v>
      </c>
      <c r="AH727" t="str">
        <f>IF(TblFeedFile1[[#This Row],[Return to Work Date ]]="","","Y")</f>
        <v/>
      </c>
    </row>
    <row r="728" spans="1:34" x14ac:dyDescent="0.25">
      <c r="A728" t="s">
        <v>37</v>
      </c>
      <c r="B728">
        <v>314304</v>
      </c>
      <c r="C728">
        <v>24851788</v>
      </c>
      <c r="D728" s="1">
        <v>571701178277</v>
      </c>
      <c r="E728" t="s">
        <v>499</v>
      </c>
      <c r="F728" t="s">
        <v>998</v>
      </c>
      <c r="G728">
        <v>20170123</v>
      </c>
      <c r="H728">
        <v>20180122</v>
      </c>
      <c r="I728" t="s">
        <v>53</v>
      </c>
      <c r="L728" t="s">
        <v>34</v>
      </c>
      <c r="M728" t="s">
        <v>34</v>
      </c>
      <c r="N728" t="s">
        <v>35</v>
      </c>
      <c r="O728" t="s">
        <v>35</v>
      </c>
      <c r="P728" t="s">
        <v>35</v>
      </c>
      <c r="Q728" t="s">
        <v>35</v>
      </c>
      <c r="R728" t="s">
        <v>35</v>
      </c>
      <c r="S728" t="s">
        <v>34</v>
      </c>
      <c r="AD728">
        <v>20170124</v>
      </c>
      <c r="AF728" t="str">
        <f>IFERROR(VLOOKUP(RIGHT(TblFeedFile1[[#This Row],[Leave Type ]],6),LkupPayType[],2,FALSE),"TBD")</f>
        <v>TBD</v>
      </c>
      <c r="AG728" t="str">
        <f>IFERROR(VLOOKUP(TblFeedFile1[[#This Row],[ Report Number ]],LkupPayrollCycle[],2,FALSE),"TBD")</f>
        <v>Bi-Weekly</v>
      </c>
      <c r="AH728" t="str">
        <f>IF(TblFeedFile1[[#This Row],[Return to Work Date ]]="","","Y")</f>
        <v/>
      </c>
    </row>
    <row r="729" spans="1:34" x14ac:dyDescent="0.25">
      <c r="A729" t="s">
        <v>37</v>
      </c>
      <c r="B729">
        <v>314304</v>
      </c>
      <c r="C729">
        <v>24855174</v>
      </c>
      <c r="D729" s="1">
        <v>501701188448</v>
      </c>
      <c r="E729" t="s">
        <v>824</v>
      </c>
      <c r="F729" t="s">
        <v>999</v>
      </c>
      <c r="G729">
        <v>20170119</v>
      </c>
      <c r="H729">
        <v>20170509</v>
      </c>
      <c r="I729" t="s">
        <v>53</v>
      </c>
      <c r="L729" t="s">
        <v>34</v>
      </c>
      <c r="M729" t="s">
        <v>34</v>
      </c>
      <c r="N729" t="s">
        <v>35</v>
      </c>
      <c r="O729" t="s">
        <v>35</v>
      </c>
      <c r="P729" t="s">
        <v>35</v>
      </c>
      <c r="Q729" t="s">
        <v>35</v>
      </c>
      <c r="R729" t="s">
        <v>35</v>
      </c>
      <c r="S729" t="s">
        <v>34</v>
      </c>
      <c r="AD729">
        <v>20170124</v>
      </c>
      <c r="AF729" t="str">
        <f>IFERROR(VLOOKUP(RIGHT(TblFeedFile1[[#This Row],[Leave Type ]],6),LkupPayType[],2,FALSE),"TBD")</f>
        <v>TBD</v>
      </c>
      <c r="AG729" t="str">
        <f>IFERROR(VLOOKUP(TblFeedFile1[[#This Row],[ Report Number ]],LkupPayrollCycle[],2,FALSE),"TBD")</f>
        <v>Bi-Weekly</v>
      </c>
      <c r="AH729" t="str">
        <f>IF(TblFeedFile1[[#This Row],[Return to Work Date ]]="","","Y")</f>
        <v/>
      </c>
    </row>
    <row r="730" spans="1:34" x14ac:dyDescent="0.25">
      <c r="A730" t="s">
        <v>29</v>
      </c>
      <c r="B730">
        <v>314304</v>
      </c>
      <c r="C730">
        <v>24859416</v>
      </c>
      <c r="D730" s="1" t="s">
        <v>1000</v>
      </c>
      <c r="E730" t="s">
        <v>1001</v>
      </c>
      <c r="F730" t="s">
        <v>1002</v>
      </c>
      <c r="G730">
        <v>20170104</v>
      </c>
      <c r="H730">
        <v>20170104</v>
      </c>
      <c r="I730" t="s">
        <v>33</v>
      </c>
      <c r="L730" t="s">
        <v>34</v>
      </c>
      <c r="M730" t="s">
        <v>34</v>
      </c>
      <c r="N730" t="s">
        <v>35</v>
      </c>
      <c r="O730" t="s">
        <v>35</v>
      </c>
      <c r="P730" t="s">
        <v>35</v>
      </c>
      <c r="Q730" t="s">
        <v>35</v>
      </c>
      <c r="R730" t="s">
        <v>35</v>
      </c>
      <c r="S730" t="s">
        <v>34</v>
      </c>
      <c r="AC730" t="s">
        <v>35</v>
      </c>
      <c r="AD730">
        <v>20170124</v>
      </c>
      <c r="AF730" t="str">
        <f>IFERROR(VLOOKUP(RIGHT(TblFeedFile1[[#This Row],[Leave Type ]],6),LkupPayType[],2,FALSE),"TBD")</f>
        <v>TBD</v>
      </c>
      <c r="AG730" t="str">
        <f>IFERROR(VLOOKUP(TblFeedFile1[[#This Row],[ Report Number ]],LkupPayrollCycle[],2,FALSE),"TBD")</f>
        <v>Bi-Weekly</v>
      </c>
      <c r="AH730" t="str">
        <f>IF(TblFeedFile1[[#This Row],[Return to Work Date ]]="","","Y")</f>
        <v/>
      </c>
    </row>
    <row r="731" spans="1:34" x14ac:dyDescent="0.25">
      <c r="A731" t="s">
        <v>37</v>
      </c>
      <c r="B731">
        <v>314304</v>
      </c>
      <c r="C731">
        <v>24859416</v>
      </c>
      <c r="D731" s="1" t="s">
        <v>1000</v>
      </c>
      <c r="E731" t="s">
        <v>1001</v>
      </c>
      <c r="F731" t="s">
        <v>1002</v>
      </c>
      <c r="G731">
        <v>20161003</v>
      </c>
      <c r="H731">
        <v>20170103</v>
      </c>
      <c r="I731" t="s">
        <v>36</v>
      </c>
      <c r="L731" t="s">
        <v>34</v>
      </c>
      <c r="M731" t="s">
        <v>34</v>
      </c>
      <c r="N731" t="s">
        <v>35</v>
      </c>
      <c r="O731" t="s">
        <v>35</v>
      </c>
      <c r="P731" t="s">
        <v>35</v>
      </c>
      <c r="Q731" t="s">
        <v>35</v>
      </c>
      <c r="R731" t="s">
        <v>35</v>
      </c>
      <c r="S731" t="s">
        <v>34</v>
      </c>
      <c r="T731">
        <v>20170103</v>
      </c>
      <c r="AC731" t="s">
        <v>35</v>
      </c>
      <c r="AD731">
        <v>20170124</v>
      </c>
      <c r="AF731" t="str">
        <f>IFERROR(VLOOKUP(RIGHT(TblFeedFile1[[#This Row],[Leave Type ]],6),LkupPayType[],2,FALSE),"TBD")</f>
        <v>TBD</v>
      </c>
      <c r="AG731" t="str">
        <f>IFERROR(VLOOKUP(TblFeedFile1[[#This Row],[ Report Number ]],LkupPayrollCycle[],2,FALSE),"TBD")</f>
        <v>Bi-Weekly</v>
      </c>
      <c r="AH731" t="str">
        <f>IF(TblFeedFile1[[#This Row],[Return to Work Date ]]="","","Y")</f>
        <v>Y</v>
      </c>
    </row>
    <row r="732" spans="1:34" x14ac:dyDescent="0.25">
      <c r="A732" t="s">
        <v>37</v>
      </c>
      <c r="B732">
        <v>314304</v>
      </c>
      <c r="C732">
        <v>24870434</v>
      </c>
      <c r="D732" s="1">
        <v>501701178950</v>
      </c>
      <c r="E732" t="s">
        <v>807</v>
      </c>
      <c r="F732" t="s">
        <v>1003</v>
      </c>
      <c r="G732">
        <v>20170123</v>
      </c>
      <c r="H732">
        <v>20170227</v>
      </c>
      <c r="I732" t="s">
        <v>40</v>
      </c>
      <c r="L732" t="s">
        <v>34</v>
      </c>
      <c r="M732" t="s">
        <v>34</v>
      </c>
      <c r="N732" t="s">
        <v>35</v>
      </c>
      <c r="O732" t="s">
        <v>35</v>
      </c>
      <c r="P732" t="s">
        <v>35</v>
      </c>
      <c r="Q732" t="s">
        <v>35</v>
      </c>
      <c r="R732" t="s">
        <v>35</v>
      </c>
      <c r="S732" t="s">
        <v>34</v>
      </c>
      <c r="AD732">
        <v>20170124</v>
      </c>
      <c r="AF732" t="str">
        <f>IFERROR(VLOOKUP(RIGHT(TblFeedFile1[[#This Row],[Leave Type ]],6),LkupPayType[],2,FALSE),"TBD")</f>
        <v>TBD</v>
      </c>
      <c r="AG732" t="str">
        <f>IFERROR(VLOOKUP(TblFeedFile1[[#This Row],[ Report Number ]],LkupPayrollCycle[],2,FALSE),"TBD")</f>
        <v>Bi-Weekly</v>
      </c>
      <c r="AH732" t="str">
        <f>IF(TblFeedFile1[[#This Row],[Return to Work Date ]]="","","Y")</f>
        <v/>
      </c>
    </row>
    <row r="733" spans="1:34" x14ac:dyDescent="0.25">
      <c r="A733" t="s">
        <v>29</v>
      </c>
      <c r="B733">
        <v>314304</v>
      </c>
      <c r="C733">
        <v>24887192</v>
      </c>
      <c r="D733" s="1">
        <v>511701048001</v>
      </c>
      <c r="E733" t="s">
        <v>530</v>
      </c>
      <c r="F733" t="s">
        <v>1004</v>
      </c>
      <c r="G733">
        <v>20170102</v>
      </c>
      <c r="H733">
        <v>20170102</v>
      </c>
      <c r="I733" t="s">
        <v>43</v>
      </c>
      <c r="L733" t="s">
        <v>34</v>
      </c>
      <c r="M733" t="s">
        <v>34</v>
      </c>
      <c r="N733" t="s">
        <v>35</v>
      </c>
      <c r="O733" t="s">
        <v>35</v>
      </c>
      <c r="P733" t="s">
        <v>35</v>
      </c>
      <c r="Q733" t="s">
        <v>35</v>
      </c>
      <c r="R733" t="s">
        <v>35</v>
      </c>
      <c r="S733" t="s">
        <v>34</v>
      </c>
      <c r="AD733">
        <v>20170124</v>
      </c>
      <c r="AF733" t="str">
        <f>IFERROR(VLOOKUP(RIGHT(TblFeedFile1[[#This Row],[Leave Type ]],6),LkupPayType[],2,FALSE),"TBD")</f>
        <v>TBD</v>
      </c>
      <c r="AG733" t="str">
        <f>IFERROR(VLOOKUP(TblFeedFile1[[#This Row],[ Report Number ]],LkupPayrollCycle[],2,FALSE),"TBD")</f>
        <v>Bi-Weekly</v>
      </c>
      <c r="AH733" t="str">
        <f>IF(TblFeedFile1[[#This Row],[Return to Work Date ]]="","","Y")</f>
        <v/>
      </c>
    </row>
    <row r="734" spans="1:34" x14ac:dyDescent="0.25">
      <c r="A734" t="s">
        <v>37</v>
      </c>
      <c r="B734">
        <v>314304</v>
      </c>
      <c r="C734">
        <v>24887192</v>
      </c>
      <c r="D734" s="1">
        <v>511701048001</v>
      </c>
      <c r="E734" t="s">
        <v>530</v>
      </c>
      <c r="F734" t="s">
        <v>1004</v>
      </c>
      <c r="G734">
        <v>20170102</v>
      </c>
      <c r="H734">
        <v>20170125</v>
      </c>
      <c r="I734" t="s">
        <v>53</v>
      </c>
      <c r="L734" t="s">
        <v>34</v>
      </c>
      <c r="M734" t="s">
        <v>34</v>
      </c>
      <c r="N734" t="s">
        <v>35</v>
      </c>
      <c r="O734" t="s">
        <v>35</v>
      </c>
      <c r="P734" t="s">
        <v>35</v>
      </c>
      <c r="Q734" t="s">
        <v>35</v>
      </c>
      <c r="R734" t="s">
        <v>35</v>
      </c>
      <c r="S734" t="s">
        <v>34</v>
      </c>
      <c r="AD734">
        <v>20170124</v>
      </c>
      <c r="AF734" t="str">
        <f>IFERROR(VLOOKUP(RIGHT(TblFeedFile1[[#This Row],[Leave Type ]],6),LkupPayType[],2,FALSE),"TBD")</f>
        <v>TBD</v>
      </c>
      <c r="AG734" t="str">
        <f>IFERROR(VLOOKUP(TblFeedFile1[[#This Row],[ Report Number ]],LkupPayrollCycle[],2,FALSE),"TBD")</f>
        <v>Bi-Weekly</v>
      </c>
      <c r="AH734" t="str">
        <f>IF(TblFeedFile1[[#This Row],[Return to Work Date ]]="","","Y")</f>
        <v/>
      </c>
    </row>
    <row r="735" spans="1:34" x14ac:dyDescent="0.25">
      <c r="A735" t="s">
        <v>37</v>
      </c>
      <c r="B735">
        <v>314304</v>
      </c>
      <c r="C735">
        <v>24887192</v>
      </c>
      <c r="D735" s="1">
        <v>511701048001</v>
      </c>
      <c r="E735" t="s">
        <v>530</v>
      </c>
      <c r="F735" t="s">
        <v>1004</v>
      </c>
      <c r="G735">
        <v>20170109</v>
      </c>
      <c r="H735">
        <v>20170125</v>
      </c>
      <c r="I735" t="s">
        <v>40</v>
      </c>
      <c r="L735" t="s">
        <v>34</v>
      </c>
      <c r="M735" t="s">
        <v>34</v>
      </c>
      <c r="N735" t="s">
        <v>35</v>
      </c>
      <c r="O735" t="s">
        <v>35</v>
      </c>
      <c r="P735" t="s">
        <v>35</v>
      </c>
      <c r="Q735" t="s">
        <v>35</v>
      </c>
      <c r="R735" t="s">
        <v>35</v>
      </c>
      <c r="S735" t="s">
        <v>34</v>
      </c>
      <c r="AD735">
        <v>20170124</v>
      </c>
      <c r="AF735" t="str">
        <f>IFERROR(VLOOKUP(RIGHT(TblFeedFile1[[#This Row],[Leave Type ]],6),LkupPayType[],2,FALSE),"TBD")</f>
        <v>TBD</v>
      </c>
      <c r="AG735" t="str">
        <f>IFERROR(VLOOKUP(TblFeedFile1[[#This Row],[ Report Number ]],LkupPayrollCycle[],2,FALSE),"TBD")</f>
        <v>Bi-Weekly</v>
      </c>
      <c r="AH735" t="str">
        <f>IF(TblFeedFile1[[#This Row],[Return to Work Date ]]="","","Y")</f>
        <v/>
      </c>
    </row>
    <row r="736" spans="1:34" x14ac:dyDescent="0.25">
      <c r="A736" t="s">
        <v>37</v>
      </c>
      <c r="B736">
        <v>314304</v>
      </c>
      <c r="C736">
        <v>24890008</v>
      </c>
      <c r="D736" s="1" t="s">
        <v>1005</v>
      </c>
      <c r="E736" t="s">
        <v>1006</v>
      </c>
      <c r="F736" t="s">
        <v>1007</v>
      </c>
      <c r="G736">
        <v>20170121</v>
      </c>
      <c r="H736">
        <v>20170408</v>
      </c>
      <c r="I736" t="s">
        <v>36</v>
      </c>
      <c r="L736" t="s">
        <v>34</v>
      </c>
      <c r="M736" t="s">
        <v>34</v>
      </c>
      <c r="N736" t="s">
        <v>35</v>
      </c>
      <c r="O736" t="s">
        <v>35</v>
      </c>
      <c r="P736" t="s">
        <v>35</v>
      </c>
      <c r="Q736" t="s">
        <v>35</v>
      </c>
      <c r="R736" t="s">
        <v>35</v>
      </c>
      <c r="S736" t="s">
        <v>34</v>
      </c>
      <c r="AD736">
        <v>20170124</v>
      </c>
      <c r="AF736" t="str">
        <f>IFERROR(VLOOKUP(RIGHT(TblFeedFile1[[#This Row],[Leave Type ]],6),LkupPayType[],2,FALSE),"TBD")</f>
        <v>TBD</v>
      </c>
      <c r="AG736" t="str">
        <f>IFERROR(VLOOKUP(TblFeedFile1[[#This Row],[ Report Number ]],LkupPayrollCycle[],2,FALSE),"TBD")</f>
        <v>Bi-Weekly</v>
      </c>
      <c r="AH736" t="str">
        <f>IF(TblFeedFile1[[#This Row],[Return to Work Date ]]="","","Y")</f>
        <v/>
      </c>
    </row>
    <row r="737" spans="1:34" x14ac:dyDescent="0.25">
      <c r="A737" t="s">
        <v>37</v>
      </c>
      <c r="B737">
        <v>314304</v>
      </c>
      <c r="C737">
        <v>24897274</v>
      </c>
      <c r="D737" s="1" t="s">
        <v>1008</v>
      </c>
      <c r="E737" t="s">
        <v>1009</v>
      </c>
      <c r="F737" t="s">
        <v>1010</v>
      </c>
      <c r="G737">
        <v>20170124</v>
      </c>
      <c r="H737">
        <v>20170124</v>
      </c>
      <c r="I737" t="s">
        <v>33</v>
      </c>
      <c r="L737" t="s">
        <v>34</v>
      </c>
      <c r="M737" t="s">
        <v>34</v>
      </c>
      <c r="N737" t="s">
        <v>35</v>
      </c>
      <c r="O737" t="s">
        <v>35</v>
      </c>
      <c r="P737" t="s">
        <v>35</v>
      </c>
      <c r="Q737" t="s">
        <v>35</v>
      </c>
      <c r="R737" t="s">
        <v>35</v>
      </c>
      <c r="S737" t="s">
        <v>34</v>
      </c>
      <c r="AC737" t="s">
        <v>35</v>
      </c>
      <c r="AD737">
        <v>20170124</v>
      </c>
      <c r="AF737" t="str">
        <f>IFERROR(VLOOKUP(RIGHT(TblFeedFile1[[#This Row],[Leave Type ]],6),LkupPayType[],2,FALSE),"TBD")</f>
        <v>TBD</v>
      </c>
      <c r="AG737" t="str">
        <f>IFERROR(VLOOKUP(TblFeedFile1[[#This Row],[ Report Number ]],LkupPayrollCycle[],2,FALSE),"TBD")</f>
        <v>Bi-Weekly</v>
      </c>
      <c r="AH737" t="str">
        <f>IF(TblFeedFile1[[#This Row],[Return to Work Date ]]="","","Y")</f>
        <v/>
      </c>
    </row>
    <row r="738" spans="1:34" x14ac:dyDescent="0.25">
      <c r="A738" t="s">
        <v>29</v>
      </c>
      <c r="B738">
        <v>314304</v>
      </c>
      <c r="C738">
        <v>24905929</v>
      </c>
      <c r="D738" s="1" t="s">
        <v>1011</v>
      </c>
      <c r="E738" t="s">
        <v>1012</v>
      </c>
      <c r="F738" t="s">
        <v>1013</v>
      </c>
      <c r="G738">
        <v>20170110</v>
      </c>
      <c r="H738">
        <v>20170110</v>
      </c>
      <c r="I738" t="s">
        <v>43</v>
      </c>
      <c r="L738" t="s">
        <v>34</v>
      </c>
      <c r="M738" t="s">
        <v>34</v>
      </c>
      <c r="N738" t="s">
        <v>35</v>
      </c>
      <c r="O738" t="s">
        <v>35</v>
      </c>
      <c r="P738" t="s">
        <v>35</v>
      </c>
      <c r="Q738" t="s">
        <v>35</v>
      </c>
      <c r="R738" t="s">
        <v>35</v>
      </c>
      <c r="S738" t="s">
        <v>34</v>
      </c>
      <c r="AD738">
        <v>20170124</v>
      </c>
      <c r="AF738" t="str">
        <f>IFERROR(VLOOKUP(RIGHT(TblFeedFile1[[#This Row],[Leave Type ]],6),LkupPayType[],2,FALSE),"TBD")</f>
        <v>TBD</v>
      </c>
      <c r="AG738" t="str">
        <f>IFERROR(VLOOKUP(TblFeedFile1[[#This Row],[ Report Number ]],LkupPayrollCycle[],2,FALSE),"TBD")</f>
        <v>Bi-Weekly</v>
      </c>
      <c r="AH738" t="str">
        <f>IF(TblFeedFile1[[#This Row],[Return to Work Date ]]="","","Y")</f>
        <v/>
      </c>
    </row>
    <row r="739" spans="1:34" x14ac:dyDescent="0.25">
      <c r="A739" t="s">
        <v>37</v>
      </c>
      <c r="B739">
        <v>314304</v>
      </c>
      <c r="C739">
        <v>24926542</v>
      </c>
      <c r="D739" s="1" t="s">
        <v>1014</v>
      </c>
      <c r="E739" t="s">
        <v>445</v>
      </c>
      <c r="F739" t="s">
        <v>1015</v>
      </c>
      <c r="G739">
        <v>20170101</v>
      </c>
      <c r="H739">
        <v>20170101</v>
      </c>
      <c r="I739" t="s">
        <v>33</v>
      </c>
      <c r="L739" t="s">
        <v>34</v>
      </c>
      <c r="M739" t="s">
        <v>34</v>
      </c>
      <c r="N739" t="s">
        <v>35</v>
      </c>
      <c r="O739" t="s">
        <v>35</v>
      </c>
      <c r="P739" t="s">
        <v>35</v>
      </c>
      <c r="Q739" t="s">
        <v>35</v>
      </c>
      <c r="R739" t="s">
        <v>35</v>
      </c>
      <c r="S739" t="s">
        <v>34</v>
      </c>
      <c r="AD739">
        <v>20170124</v>
      </c>
      <c r="AF739" t="str">
        <f>IFERROR(VLOOKUP(RIGHT(TblFeedFile1[[#This Row],[Leave Type ]],6),LkupPayType[],2,FALSE),"TBD")</f>
        <v>TBD</v>
      </c>
      <c r="AG739" t="str">
        <f>IFERROR(VLOOKUP(TblFeedFile1[[#This Row],[ Report Number ]],LkupPayrollCycle[],2,FALSE),"TBD")</f>
        <v>Bi-Weekly</v>
      </c>
      <c r="AH739" t="str">
        <f>IF(TblFeedFile1[[#This Row],[Return to Work Date ]]="","","Y")</f>
        <v/>
      </c>
    </row>
    <row r="740" spans="1:34" x14ac:dyDescent="0.25">
      <c r="A740" t="s">
        <v>37</v>
      </c>
      <c r="B740">
        <v>314304</v>
      </c>
      <c r="C740">
        <v>24926542</v>
      </c>
      <c r="D740" s="1">
        <v>501701048118</v>
      </c>
      <c r="E740" t="s">
        <v>445</v>
      </c>
      <c r="F740" t="s">
        <v>1015</v>
      </c>
      <c r="G740">
        <v>20170102</v>
      </c>
      <c r="H740">
        <v>20170120</v>
      </c>
      <c r="I740" t="s">
        <v>53</v>
      </c>
      <c r="L740" t="s">
        <v>34</v>
      </c>
      <c r="M740" t="s">
        <v>34</v>
      </c>
      <c r="N740" t="s">
        <v>35</v>
      </c>
      <c r="O740" t="s">
        <v>35</v>
      </c>
      <c r="P740" t="s">
        <v>35</v>
      </c>
      <c r="Q740" t="s">
        <v>35</v>
      </c>
      <c r="R740" t="s">
        <v>35</v>
      </c>
      <c r="S740" t="s">
        <v>34</v>
      </c>
      <c r="AD740">
        <v>20170124</v>
      </c>
      <c r="AF740" t="str">
        <f>IFERROR(VLOOKUP(RIGHT(TblFeedFile1[[#This Row],[Leave Type ]],6),LkupPayType[],2,FALSE),"TBD")</f>
        <v>TBD</v>
      </c>
      <c r="AG740" t="str">
        <f>IFERROR(VLOOKUP(TblFeedFile1[[#This Row],[ Report Number ]],LkupPayrollCycle[],2,FALSE),"TBD")</f>
        <v>Bi-Weekly</v>
      </c>
      <c r="AH740" t="str">
        <f>IF(TblFeedFile1[[#This Row],[Return to Work Date ]]="","","Y")</f>
        <v/>
      </c>
    </row>
    <row r="741" spans="1:34" x14ac:dyDescent="0.25">
      <c r="A741" t="s">
        <v>37</v>
      </c>
      <c r="B741">
        <v>314304</v>
      </c>
      <c r="C741">
        <v>24926542</v>
      </c>
      <c r="D741" s="1" t="s">
        <v>1014</v>
      </c>
      <c r="E741" t="s">
        <v>445</v>
      </c>
      <c r="F741" t="s">
        <v>1015</v>
      </c>
      <c r="G741">
        <v>20170109</v>
      </c>
      <c r="H741">
        <v>20170120</v>
      </c>
      <c r="I741" t="s">
        <v>36</v>
      </c>
      <c r="L741" t="s">
        <v>34</v>
      </c>
      <c r="M741" t="s">
        <v>34</v>
      </c>
      <c r="N741" t="s">
        <v>35</v>
      </c>
      <c r="O741" t="s">
        <v>35</v>
      </c>
      <c r="P741" t="s">
        <v>35</v>
      </c>
      <c r="Q741" t="s">
        <v>35</v>
      </c>
      <c r="R741" t="s">
        <v>35</v>
      </c>
      <c r="S741" t="s">
        <v>34</v>
      </c>
      <c r="AD741">
        <v>20170124</v>
      </c>
      <c r="AF741" t="str">
        <f>IFERROR(VLOOKUP(RIGHT(TblFeedFile1[[#This Row],[Leave Type ]],6),LkupPayType[],2,FALSE),"TBD")</f>
        <v>TBD</v>
      </c>
      <c r="AG741" t="str">
        <f>IFERROR(VLOOKUP(TblFeedFile1[[#This Row],[ Report Number ]],LkupPayrollCycle[],2,FALSE),"TBD")</f>
        <v>Bi-Weekly</v>
      </c>
      <c r="AH741" t="str">
        <f>IF(TblFeedFile1[[#This Row],[Return to Work Date ]]="","","Y")</f>
        <v/>
      </c>
    </row>
    <row r="742" spans="1:34" x14ac:dyDescent="0.25">
      <c r="A742" t="s">
        <v>37</v>
      </c>
      <c r="B742">
        <v>314304</v>
      </c>
      <c r="C742">
        <v>24926542</v>
      </c>
      <c r="D742" s="1" t="s">
        <v>1014</v>
      </c>
      <c r="E742" t="s">
        <v>445</v>
      </c>
      <c r="F742" t="s">
        <v>1015</v>
      </c>
      <c r="G742">
        <v>20170121</v>
      </c>
      <c r="H742">
        <v>20170121</v>
      </c>
      <c r="I742" t="s">
        <v>33</v>
      </c>
      <c r="L742" t="s">
        <v>34</v>
      </c>
      <c r="M742" t="s">
        <v>34</v>
      </c>
      <c r="N742" t="s">
        <v>35</v>
      </c>
      <c r="O742" t="s">
        <v>35</v>
      </c>
      <c r="P742" t="s">
        <v>35</v>
      </c>
      <c r="Q742" t="s">
        <v>35</v>
      </c>
      <c r="R742" t="s">
        <v>35</v>
      </c>
      <c r="S742" t="s">
        <v>34</v>
      </c>
      <c r="AD742">
        <v>20170124</v>
      </c>
      <c r="AF742" t="str">
        <f>IFERROR(VLOOKUP(RIGHT(TblFeedFile1[[#This Row],[Leave Type ]],6),LkupPayType[],2,FALSE),"TBD")</f>
        <v>TBD</v>
      </c>
      <c r="AG742" t="str">
        <f>IFERROR(VLOOKUP(TblFeedFile1[[#This Row],[ Report Number ]],LkupPayrollCycle[],2,FALSE),"TBD")</f>
        <v>Bi-Weekly</v>
      </c>
      <c r="AH742" t="str">
        <f>IF(TblFeedFile1[[#This Row],[Return to Work Date ]]="","","Y")</f>
        <v/>
      </c>
    </row>
    <row r="743" spans="1:34" x14ac:dyDescent="0.25">
      <c r="A743" t="s">
        <v>29</v>
      </c>
      <c r="B743">
        <v>314304</v>
      </c>
      <c r="C743">
        <v>24938710</v>
      </c>
      <c r="D743" s="1" t="s">
        <v>1016</v>
      </c>
      <c r="E743" t="s">
        <v>1017</v>
      </c>
      <c r="F743" t="s">
        <v>1018</v>
      </c>
      <c r="G743">
        <v>20161121</v>
      </c>
      <c r="H743">
        <v>20161229</v>
      </c>
      <c r="I743" t="s">
        <v>36</v>
      </c>
      <c r="L743" t="s">
        <v>34</v>
      </c>
      <c r="M743" t="s">
        <v>34</v>
      </c>
      <c r="N743" t="s">
        <v>35</v>
      </c>
      <c r="O743" t="s">
        <v>35</v>
      </c>
      <c r="P743" t="s">
        <v>35</v>
      </c>
      <c r="Q743" t="s">
        <v>35</v>
      </c>
      <c r="R743" t="s">
        <v>35</v>
      </c>
      <c r="S743" t="s">
        <v>34</v>
      </c>
      <c r="T743">
        <v>20161230</v>
      </c>
      <c r="AC743" t="s">
        <v>35</v>
      </c>
      <c r="AD743">
        <v>20170124</v>
      </c>
      <c r="AF743" t="str">
        <f>IFERROR(VLOOKUP(RIGHT(TblFeedFile1[[#This Row],[Leave Type ]],6),LkupPayType[],2,FALSE),"TBD")</f>
        <v>TBD</v>
      </c>
      <c r="AG743" t="str">
        <f>IFERROR(VLOOKUP(TblFeedFile1[[#This Row],[ Report Number ]],LkupPayrollCycle[],2,FALSE),"TBD")</f>
        <v>Bi-Weekly</v>
      </c>
      <c r="AH743" t="str">
        <f>IF(TblFeedFile1[[#This Row],[Return to Work Date ]]="","","Y")</f>
        <v>Y</v>
      </c>
    </row>
    <row r="744" spans="1:34" x14ac:dyDescent="0.25">
      <c r="A744" t="s">
        <v>37</v>
      </c>
      <c r="B744">
        <v>314304</v>
      </c>
      <c r="C744">
        <v>24938710</v>
      </c>
      <c r="D744" s="1" t="s">
        <v>1016</v>
      </c>
      <c r="E744" t="s">
        <v>1017</v>
      </c>
      <c r="F744" t="s">
        <v>1018</v>
      </c>
      <c r="G744">
        <v>20161121</v>
      </c>
      <c r="H744">
        <v>20161121</v>
      </c>
      <c r="I744" t="s">
        <v>43</v>
      </c>
      <c r="L744" t="s">
        <v>34</v>
      </c>
      <c r="M744" t="s">
        <v>34</v>
      </c>
      <c r="N744" t="s">
        <v>35</v>
      </c>
      <c r="O744" t="s">
        <v>35</v>
      </c>
      <c r="P744" t="s">
        <v>35</v>
      </c>
      <c r="Q744" t="s">
        <v>35</v>
      </c>
      <c r="R744" t="s">
        <v>35</v>
      </c>
      <c r="S744" t="s">
        <v>34</v>
      </c>
      <c r="AC744" t="s">
        <v>35</v>
      </c>
      <c r="AD744">
        <v>20170124</v>
      </c>
      <c r="AF744" t="str">
        <f>IFERROR(VLOOKUP(RIGHT(TblFeedFile1[[#This Row],[Leave Type ]],6),LkupPayType[],2,FALSE),"TBD")</f>
        <v>TBD</v>
      </c>
      <c r="AG744" t="str">
        <f>IFERROR(VLOOKUP(TblFeedFile1[[#This Row],[ Report Number ]],LkupPayrollCycle[],2,FALSE),"TBD")</f>
        <v>Bi-Weekly</v>
      </c>
      <c r="AH744" t="str">
        <f>IF(TblFeedFile1[[#This Row],[Return to Work Date ]]="","","Y")</f>
        <v/>
      </c>
    </row>
    <row r="745" spans="1:34" x14ac:dyDescent="0.25">
      <c r="A745" t="s">
        <v>37</v>
      </c>
      <c r="B745">
        <v>314304</v>
      </c>
      <c r="C745">
        <v>24946560</v>
      </c>
      <c r="D745" s="1" t="s">
        <v>1019</v>
      </c>
      <c r="E745" t="s">
        <v>1020</v>
      </c>
      <c r="F745" t="s">
        <v>1021</v>
      </c>
      <c r="G745">
        <v>20170111</v>
      </c>
      <c r="H745">
        <v>20170113</v>
      </c>
      <c r="I745" t="s">
        <v>49</v>
      </c>
      <c r="L745" t="s">
        <v>34</v>
      </c>
      <c r="M745" t="s">
        <v>34</v>
      </c>
      <c r="N745" t="s">
        <v>35</v>
      </c>
      <c r="O745" t="s">
        <v>35</v>
      </c>
      <c r="P745" t="s">
        <v>35</v>
      </c>
      <c r="Q745" t="s">
        <v>35</v>
      </c>
      <c r="R745" t="s">
        <v>35</v>
      </c>
      <c r="S745" t="s">
        <v>34</v>
      </c>
      <c r="AD745">
        <v>20170124</v>
      </c>
      <c r="AF745" t="str">
        <f>IFERROR(VLOOKUP(RIGHT(TblFeedFile1[[#This Row],[Leave Type ]],6),LkupPayType[],2,FALSE),"TBD")</f>
        <v>TBD</v>
      </c>
      <c r="AG745" t="str">
        <f>IFERROR(VLOOKUP(TblFeedFile1[[#This Row],[ Report Number ]],LkupPayrollCycle[],2,FALSE),"TBD")</f>
        <v>Bi-Weekly</v>
      </c>
      <c r="AH745" t="str">
        <f>IF(TblFeedFile1[[#This Row],[Return to Work Date ]]="","","Y")</f>
        <v/>
      </c>
    </row>
    <row r="746" spans="1:34" x14ac:dyDescent="0.25">
      <c r="A746" t="s">
        <v>37</v>
      </c>
      <c r="B746">
        <v>314304</v>
      </c>
      <c r="C746">
        <v>24946560</v>
      </c>
      <c r="D746" s="1" t="s">
        <v>1019</v>
      </c>
      <c r="E746" t="s">
        <v>1020</v>
      </c>
      <c r="F746" t="s">
        <v>1021</v>
      </c>
      <c r="G746">
        <v>20170114</v>
      </c>
      <c r="H746">
        <v>20170114</v>
      </c>
      <c r="I746" t="s">
        <v>33</v>
      </c>
      <c r="L746" t="s">
        <v>34</v>
      </c>
      <c r="M746" t="s">
        <v>34</v>
      </c>
      <c r="N746" t="s">
        <v>35</v>
      </c>
      <c r="O746" t="s">
        <v>35</v>
      </c>
      <c r="P746" t="s">
        <v>35</v>
      </c>
      <c r="Q746" t="s">
        <v>35</v>
      </c>
      <c r="R746" t="s">
        <v>35</v>
      </c>
      <c r="S746" t="s">
        <v>34</v>
      </c>
      <c r="AD746">
        <v>20170124</v>
      </c>
      <c r="AF746" t="str">
        <f>IFERROR(VLOOKUP(RIGHT(TblFeedFile1[[#This Row],[Leave Type ]],6),LkupPayType[],2,FALSE),"TBD")</f>
        <v>TBD</v>
      </c>
      <c r="AG746" t="str">
        <f>IFERROR(VLOOKUP(TblFeedFile1[[#This Row],[ Report Number ]],LkupPayrollCycle[],2,FALSE),"TBD")</f>
        <v>Bi-Weekly</v>
      </c>
      <c r="AH746" t="str">
        <f>IF(TblFeedFile1[[#This Row],[Return to Work Date ]]="","","Y")</f>
        <v/>
      </c>
    </row>
    <row r="747" spans="1:34" x14ac:dyDescent="0.25">
      <c r="A747" t="s">
        <v>29</v>
      </c>
      <c r="B747">
        <v>314301</v>
      </c>
      <c r="C747">
        <v>24955851</v>
      </c>
      <c r="D747" s="1">
        <v>551701058315</v>
      </c>
      <c r="E747" t="s">
        <v>1022</v>
      </c>
      <c r="F747" t="s">
        <v>1023</v>
      </c>
      <c r="G747">
        <v>20170117</v>
      </c>
      <c r="H747">
        <v>20170628</v>
      </c>
      <c r="I747" t="s">
        <v>53</v>
      </c>
      <c r="L747" t="s">
        <v>34</v>
      </c>
      <c r="M747" t="s">
        <v>34</v>
      </c>
      <c r="N747" t="s">
        <v>35</v>
      </c>
      <c r="O747" t="s">
        <v>35</v>
      </c>
      <c r="P747" t="s">
        <v>35</v>
      </c>
      <c r="Q747" t="s">
        <v>35</v>
      </c>
      <c r="R747" t="s">
        <v>35</v>
      </c>
      <c r="S747" t="s">
        <v>34</v>
      </c>
      <c r="AD747">
        <v>20170124</v>
      </c>
      <c r="AF747" t="str">
        <f>IFERROR(VLOOKUP(RIGHT(TblFeedFile1[[#This Row],[Leave Type ]],6),LkupPayType[],2,FALSE),"TBD")</f>
        <v>TBD</v>
      </c>
      <c r="AG747" t="str">
        <f>IFERROR(VLOOKUP(TblFeedFile1[[#This Row],[ Report Number ]],LkupPayrollCycle[],2,FALSE),"TBD")</f>
        <v>Semi-Monthly</v>
      </c>
      <c r="AH747" t="str">
        <f>IF(TblFeedFile1[[#This Row],[Return to Work Date ]]="","","Y")</f>
        <v/>
      </c>
    </row>
    <row r="748" spans="1:34" x14ac:dyDescent="0.25">
      <c r="A748" t="s">
        <v>37</v>
      </c>
      <c r="B748">
        <v>314301</v>
      </c>
      <c r="C748">
        <v>24955851</v>
      </c>
      <c r="D748" s="1">
        <v>551701058315</v>
      </c>
      <c r="E748" t="s">
        <v>1022</v>
      </c>
      <c r="F748" t="s">
        <v>1023</v>
      </c>
      <c r="G748">
        <v>20170118</v>
      </c>
      <c r="H748">
        <v>20170628</v>
      </c>
      <c r="I748" t="s">
        <v>53</v>
      </c>
      <c r="L748" t="s">
        <v>34</v>
      </c>
      <c r="M748" t="s">
        <v>34</v>
      </c>
      <c r="N748" t="s">
        <v>35</v>
      </c>
      <c r="O748" t="s">
        <v>35</v>
      </c>
      <c r="P748" t="s">
        <v>35</v>
      </c>
      <c r="Q748" t="s">
        <v>35</v>
      </c>
      <c r="R748" t="s">
        <v>35</v>
      </c>
      <c r="S748" t="s">
        <v>34</v>
      </c>
      <c r="AD748">
        <v>20170124</v>
      </c>
      <c r="AF748" t="str">
        <f>IFERROR(VLOOKUP(RIGHT(TblFeedFile1[[#This Row],[Leave Type ]],6),LkupPayType[],2,FALSE),"TBD")</f>
        <v>TBD</v>
      </c>
      <c r="AG748" t="str">
        <f>IFERROR(VLOOKUP(TblFeedFile1[[#This Row],[ Report Number ]],LkupPayrollCycle[],2,FALSE),"TBD")</f>
        <v>Semi-Monthly</v>
      </c>
      <c r="AH748" t="str">
        <f>IF(TblFeedFile1[[#This Row],[Return to Work Date ]]="","","Y")</f>
        <v/>
      </c>
    </row>
    <row r="749" spans="1:34" x14ac:dyDescent="0.25">
      <c r="A749" t="s">
        <v>37</v>
      </c>
      <c r="B749">
        <v>314301</v>
      </c>
      <c r="C749">
        <v>24955851</v>
      </c>
      <c r="D749" s="1">
        <v>551701058315</v>
      </c>
      <c r="E749" t="s">
        <v>1022</v>
      </c>
      <c r="F749" t="s">
        <v>1023</v>
      </c>
      <c r="G749">
        <v>20170125</v>
      </c>
      <c r="H749">
        <v>20170628</v>
      </c>
      <c r="I749" t="s">
        <v>40</v>
      </c>
      <c r="L749" t="s">
        <v>34</v>
      </c>
      <c r="M749" t="s">
        <v>34</v>
      </c>
      <c r="N749" t="s">
        <v>35</v>
      </c>
      <c r="O749" t="s">
        <v>35</v>
      </c>
      <c r="P749" t="s">
        <v>35</v>
      </c>
      <c r="Q749" t="s">
        <v>35</v>
      </c>
      <c r="R749" t="s">
        <v>35</v>
      </c>
      <c r="S749" t="s">
        <v>34</v>
      </c>
      <c r="AD749">
        <v>20170124</v>
      </c>
      <c r="AF749" t="str">
        <f>IFERROR(VLOOKUP(RIGHT(TblFeedFile1[[#This Row],[Leave Type ]],6),LkupPayType[],2,FALSE),"TBD")</f>
        <v>TBD</v>
      </c>
      <c r="AG749" t="str">
        <f>IFERROR(VLOOKUP(TblFeedFile1[[#This Row],[ Report Number ]],LkupPayrollCycle[],2,FALSE),"TBD")</f>
        <v>Semi-Monthly</v>
      </c>
      <c r="AH749" t="str">
        <f>IF(TblFeedFile1[[#This Row],[Return to Work Date ]]="","","Y")</f>
        <v/>
      </c>
    </row>
    <row r="750" spans="1:34" x14ac:dyDescent="0.25">
      <c r="A750" t="s">
        <v>37</v>
      </c>
      <c r="B750">
        <v>314304</v>
      </c>
      <c r="C750">
        <v>24957980</v>
      </c>
      <c r="D750" s="1" t="s">
        <v>1024</v>
      </c>
      <c r="E750" t="s">
        <v>192</v>
      </c>
      <c r="F750" t="s">
        <v>1025</v>
      </c>
      <c r="G750">
        <v>20170124</v>
      </c>
      <c r="H750">
        <v>20170125</v>
      </c>
      <c r="I750" t="s">
        <v>36</v>
      </c>
      <c r="L750" t="s">
        <v>35</v>
      </c>
      <c r="T750">
        <v>20170126</v>
      </c>
      <c r="AD750">
        <v>20170124</v>
      </c>
      <c r="AF750" t="str">
        <f>IFERROR(VLOOKUP(RIGHT(TblFeedFile1[[#This Row],[Leave Type ]],6),LkupPayType[],2,FALSE),"TBD")</f>
        <v>TBD</v>
      </c>
      <c r="AG750" t="str">
        <f>IFERROR(VLOOKUP(TblFeedFile1[[#This Row],[ Report Number ]],LkupPayrollCycle[],2,FALSE),"TBD")</f>
        <v>Bi-Weekly</v>
      </c>
      <c r="AH750" t="str">
        <f>IF(TblFeedFile1[[#This Row],[Return to Work Date ]]="","","Y")</f>
        <v>Y</v>
      </c>
    </row>
    <row r="751" spans="1:34" x14ac:dyDescent="0.25">
      <c r="A751" t="s">
        <v>29</v>
      </c>
      <c r="B751">
        <v>314304</v>
      </c>
      <c r="C751">
        <v>24964147</v>
      </c>
      <c r="D751" s="1">
        <v>551701188555</v>
      </c>
      <c r="E751" t="s">
        <v>208</v>
      </c>
      <c r="F751" t="s">
        <v>1026</v>
      </c>
      <c r="G751">
        <v>20170117</v>
      </c>
      <c r="H751">
        <v>20170815</v>
      </c>
      <c r="I751" t="s">
        <v>53</v>
      </c>
      <c r="L751" t="s">
        <v>34</v>
      </c>
      <c r="M751" t="s">
        <v>34</v>
      </c>
      <c r="N751" t="s">
        <v>35</v>
      </c>
      <c r="O751" t="s">
        <v>34</v>
      </c>
      <c r="P751" t="s">
        <v>35</v>
      </c>
      <c r="Q751" t="s">
        <v>35</v>
      </c>
      <c r="R751" t="s">
        <v>35</v>
      </c>
      <c r="S751" t="s">
        <v>35</v>
      </c>
      <c r="AD751">
        <v>20170124</v>
      </c>
      <c r="AF751" t="str">
        <f>IFERROR(VLOOKUP(RIGHT(TblFeedFile1[[#This Row],[Leave Type ]],6),LkupPayType[],2,FALSE),"TBD")</f>
        <v>TBD</v>
      </c>
      <c r="AG751" t="str">
        <f>IFERROR(VLOOKUP(TblFeedFile1[[#This Row],[ Report Number ]],LkupPayrollCycle[],2,FALSE),"TBD")</f>
        <v>Bi-Weekly</v>
      </c>
      <c r="AH751" t="str">
        <f>IF(TblFeedFile1[[#This Row],[Return to Work Date ]]="","","Y")</f>
        <v/>
      </c>
    </row>
    <row r="752" spans="1:34" x14ac:dyDescent="0.25">
      <c r="A752" t="s">
        <v>37</v>
      </c>
      <c r="B752">
        <v>314304</v>
      </c>
      <c r="C752">
        <v>24964147</v>
      </c>
      <c r="D752" s="1">
        <v>551701188555</v>
      </c>
      <c r="E752" t="s">
        <v>208</v>
      </c>
      <c r="F752" t="s">
        <v>1026</v>
      </c>
      <c r="G752">
        <v>20170117</v>
      </c>
      <c r="H752">
        <v>20170815</v>
      </c>
      <c r="I752" t="s">
        <v>53</v>
      </c>
      <c r="L752" t="s">
        <v>34</v>
      </c>
      <c r="M752" t="s">
        <v>34</v>
      </c>
      <c r="N752" t="s">
        <v>35</v>
      </c>
      <c r="O752" t="s">
        <v>35</v>
      </c>
      <c r="P752" t="s">
        <v>35</v>
      </c>
      <c r="Q752" t="s">
        <v>35</v>
      </c>
      <c r="R752" t="s">
        <v>34</v>
      </c>
      <c r="S752" t="s">
        <v>35</v>
      </c>
      <c r="AD752">
        <v>20170124</v>
      </c>
      <c r="AF752" t="str">
        <f>IFERROR(VLOOKUP(RIGHT(TblFeedFile1[[#This Row],[Leave Type ]],6),LkupPayType[],2,FALSE),"TBD")</f>
        <v>TBD</v>
      </c>
      <c r="AG752" t="str">
        <f>IFERROR(VLOOKUP(TblFeedFile1[[#This Row],[ Report Number ]],LkupPayrollCycle[],2,FALSE),"TBD")</f>
        <v>Bi-Weekly</v>
      </c>
      <c r="AH752" t="str">
        <f>IF(TblFeedFile1[[#This Row],[Return to Work Date ]]="","","Y")</f>
        <v/>
      </c>
    </row>
    <row r="753" spans="1:34" x14ac:dyDescent="0.25">
      <c r="A753" t="s">
        <v>37</v>
      </c>
      <c r="B753">
        <v>314304</v>
      </c>
      <c r="C753">
        <v>24964147</v>
      </c>
      <c r="D753" s="1">
        <v>551701188555</v>
      </c>
      <c r="E753" t="s">
        <v>208</v>
      </c>
      <c r="F753" t="s">
        <v>1026</v>
      </c>
      <c r="G753">
        <v>20170124</v>
      </c>
      <c r="H753">
        <v>20170815</v>
      </c>
      <c r="I753" t="s">
        <v>40</v>
      </c>
      <c r="L753" t="s">
        <v>34</v>
      </c>
      <c r="M753" t="s">
        <v>34</v>
      </c>
      <c r="N753" t="s">
        <v>35</v>
      </c>
      <c r="O753" t="s">
        <v>35</v>
      </c>
      <c r="P753" t="s">
        <v>35</v>
      </c>
      <c r="Q753" t="s">
        <v>35</v>
      </c>
      <c r="R753" t="s">
        <v>34</v>
      </c>
      <c r="S753" t="s">
        <v>35</v>
      </c>
      <c r="AD753">
        <v>20170124</v>
      </c>
      <c r="AF753" t="str">
        <f>IFERROR(VLOOKUP(RIGHT(TblFeedFile1[[#This Row],[Leave Type ]],6),LkupPayType[],2,FALSE),"TBD")</f>
        <v>TBD</v>
      </c>
      <c r="AG753" t="str">
        <f>IFERROR(VLOOKUP(TblFeedFile1[[#This Row],[ Report Number ]],LkupPayrollCycle[],2,FALSE),"TBD")</f>
        <v>Bi-Weekly</v>
      </c>
      <c r="AH753" t="str">
        <f>IF(TblFeedFile1[[#This Row],[Return to Work Date ]]="","","Y")</f>
        <v/>
      </c>
    </row>
    <row r="754" spans="1:34" x14ac:dyDescent="0.25">
      <c r="A754" t="s">
        <v>37</v>
      </c>
      <c r="B754">
        <v>314304</v>
      </c>
      <c r="C754">
        <v>24968943</v>
      </c>
      <c r="D754" s="1" t="s">
        <v>1027</v>
      </c>
      <c r="E754" t="s">
        <v>1028</v>
      </c>
      <c r="F754" t="s">
        <v>1029</v>
      </c>
      <c r="G754">
        <v>20170120</v>
      </c>
      <c r="H754">
        <v>20170217</v>
      </c>
      <c r="I754" t="s">
        <v>78</v>
      </c>
      <c r="K754" t="s">
        <v>79</v>
      </c>
      <c r="L754" t="s">
        <v>34</v>
      </c>
      <c r="M754" t="s">
        <v>34</v>
      </c>
      <c r="N754" t="s">
        <v>35</v>
      </c>
      <c r="O754" t="s">
        <v>35</v>
      </c>
      <c r="P754" t="s">
        <v>35</v>
      </c>
      <c r="Q754" t="s">
        <v>35</v>
      </c>
      <c r="R754" t="s">
        <v>35</v>
      </c>
      <c r="S754" t="s">
        <v>34</v>
      </c>
      <c r="AD754">
        <v>20170124</v>
      </c>
      <c r="AF754" t="str">
        <f>IFERROR(VLOOKUP(RIGHT(TblFeedFile1[[#This Row],[Leave Type ]],6),LkupPayType[],2,FALSE),"TBD")</f>
        <v>TBD</v>
      </c>
      <c r="AG754" t="str">
        <f>IFERROR(VLOOKUP(TblFeedFile1[[#This Row],[ Report Number ]],LkupPayrollCycle[],2,FALSE),"TBD")</f>
        <v>Bi-Weekly</v>
      </c>
      <c r="AH754" t="str">
        <f>IF(TblFeedFile1[[#This Row],[Return to Work Date ]]="","","Y")</f>
        <v/>
      </c>
    </row>
    <row r="755" spans="1:34" x14ac:dyDescent="0.25">
      <c r="A755" t="s">
        <v>37</v>
      </c>
      <c r="B755">
        <v>314304</v>
      </c>
      <c r="C755">
        <v>24968943</v>
      </c>
      <c r="D755" s="1">
        <v>531701248573</v>
      </c>
      <c r="E755" t="s">
        <v>1028</v>
      </c>
      <c r="F755" t="s">
        <v>1029</v>
      </c>
      <c r="G755">
        <v>20170120</v>
      </c>
      <c r="I755" t="s">
        <v>53</v>
      </c>
      <c r="L755" t="s">
        <v>34</v>
      </c>
      <c r="M755" t="s">
        <v>34</v>
      </c>
      <c r="N755" t="s">
        <v>35</v>
      </c>
      <c r="O755" t="s">
        <v>35</v>
      </c>
      <c r="P755" t="s">
        <v>35</v>
      </c>
      <c r="Q755" t="s">
        <v>35</v>
      </c>
      <c r="R755" t="s">
        <v>35</v>
      </c>
      <c r="S755" t="s">
        <v>34</v>
      </c>
      <c r="AD755">
        <v>20170124</v>
      </c>
      <c r="AF755" t="str">
        <f>IFERROR(VLOOKUP(RIGHT(TblFeedFile1[[#This Row],[Leave Type ]],6),LkupPayType[],2,FALSE),"TBD")</f>
        <v>TBD</v>
      </c>
      <c r="AG755" t="str">
        <f>IFERROR(VLOOKUP(TblFeedFile1[[#This Row],[ Report Number ]],LkupPayrollCycle[],2,FALSE),"TBD")</f>
        <v>Bi-Weekly</v>
      </c>
      <c r="AH755" t="str">
        <f>IF(TblFeedFile1[[#This Row],[Return to Work Date ]]="","","Y")</f>
        <v/>
      </c>
    </row>
    <row r="756" spans="1:34" x14ac:dyDescent="0.25">
      <c r="A756" t="s">
        <v>29</v>
      </c>
      <c r="B756">
        <v>314304</v>
      </c>
      <c r="C756">
        <v>25000843</v>
      </c>
      <c r="D756" s="1" t="s">
        <v>1030</v>
      </c>
      <c r="E756" t="s">
        <v>1031</v>
      </c>
      <c r="F756" t="s">
        <v>1032</v>
      </c>
      <c r="G756">
        <v>20170103</v>
      </c>
      <c r="H756">
        <v>20170203</v>
      </c>
      <c r="I756" t="s">
        <v>223</v>
      </c>
      <c r="L756" t="s">
        <v>34</v>
      </c>
      <c r="M756" t="s">
        <v>34</v>
      </c>
      <c r="N756" t="s">
        <v>35</v>
      </c>
      <c r="O756" t="s">
        <v>35</v>
      </c>
      <c r="P756" t="s">
        <v>35</v>
      </c>
      <c r="Q756" t="s">
        <v>35</v>
      </c>
      <c r="R756" t="s">
        <v>35</v>
      </c>
      <c r="S756" t="s">
        <v>34</v>
      </c>
      <c r="AD756">
        <v>20170124</v>
      </c>
      <c r="AF756" t="str">
        <f>IFERROR(VLOOKUP(RIGHT(TblFeedFile1[[#This Row],[Leave Type ]],6),LkupPayType[],2,FALSE),"TBD")</f>
        <v>TBD</v>
      </c>
      <c r="AG756" t="str">
        <f>IFERROR(VLOOKUP(TblFeedFile1[[#This Row],[ Report Number ]],LkupPayrollCycle[],2,FALSE),"TBD")</f>
        <v>Bi-Weekly</v>
      </c>
      <c r="AH756" t="str">
        <f>IF(TblFeedFile1[[#This Row],[Return to Work Date ]]="","","Y")</f>
        <v/>
      </c>
    </row>
    <row r="757" spans="1:34" x14ac:dyDescent="0.25">
      <c r="A757" t="s">
        <v>37</v>
      </c>
      <c r="B757">
        <v>314304</v>
      </c>
      <c r="C757">
        <v>25000843</v>
      </c>
      <c r="D757" s="1" t="s">
        <v>1030</v>
      </c>
      <c r="E757" t="s">
        <v>1031</v>
      </c>
      <c r="F757" t="s">
        <v>1032</v>
      </c>
      <c r="G757">
        <v>20170103</v>
      </c>
      <c r="H757">
        <v>20170205</v>
      </c>
      <c r="I757" t="s">
        <v>223</v>
      </c>
      <c r="L757" t="s">
        <v>34</v>
      </c>
      <c r="M757" t="s">
        <v>34</v>
      </c>
      <c r="N757" t="s">
        <v>35</v>
      </c>
      <c r="O757" t="s">
        <v>35</v>
      </c>
      <c r="P757" t="s">
        <v>35</v>
      </c>
      <c r="Q757" t="s">
        <v>35</v>
      </c>
      <c r="R757" t="s">
        <v>35</v>
      </c>
      <c r="S757" t="s">
        <v>34</v>
      </c>
      <c r="AD757">
        <v>20170124</v>
      </c>
      <c r="AF757" t="str">
        <f>IFERROR(VLOOKUP(RIGHT(TblFeedFile1[[#This Row],[Leave Type ]],6),LkupPayType[],2,FALSE),"TBD")</f>
        <v>TBD</v>
      </c>
      <c r="AG757" t="str">
        <f>IFERROR(VLOOKUP(TblFeedFile1[[#This Row],[ Report Number ]],LkupPayrollCycle[],2,FALSE),"TBD")</f>
        <v>Bi-Weekly</v>
      </c>
      <c r="AH757" t="str">
        <f>IF(TblFeedFile1[[#This Row],[Return to Work Date ]]="","","Y")</f>
        <v/>
      </c>
    </row>
    <row r="758" spans="1:34" x14ac:dyDescent="0.25">
      <c r="A758" t="s">
        <v>37</v>
      </c>
      <c r="B758">
        <v>314304</v>
      </c>
      <c r="C758">
        <v>25000905</v>
      </c>
      <c r="D758" s="1">
        <v>561701238196</v>
      </c>
      <c r="E758" t="s">
        <v>95</v>
      </c>
      <c r="F758" t="s">
        <v>1033</v>
      </c>
      <c r="G758">
        <v>20170116</v>
      </c>
      <c r="H758">
        <v>20170130</v>
      </c>
      <c r="I758" t="s">
        <v>53</v>
      </c>
      <c r="L758" t="s">
        <v>34</v>
      </c>
      <c r="M758" t="s">
        <v>35</v>
      </c>
      <c r="N758" t="s">
        <v>35</v>
      </c>
      <c r="O758" t="s">
        <v>34</v>
      </c>
      <c r="P758" t="s">
        <v>35</v>
      </c>
      <c r="Q758" t="s">
        <v>35</v>
      </c>
      <c r="R758" t="s">
        <v>35</v>
      </c>
      <c r="S758" t="s">
        <v>34</v>
      </c>
      <c r="AD758">
        <v>20170124</v>
      </c>
      <c r="AF758" t="str">
        <f>IFERROR(VLOOKUP(RIGHT(TblFeedFile1[[#This Row],[Leave Type ]],6),LkupPayType[],2,FALSE),"TBD")</f>
        <v>TBD</v>
      </c>
      <c r="AG758" t="str">
        <f>IFERROR(VLOOKUP(TblFeedFile1[[#This Row],[ Report Number ]],LkupPayrollCycle[],2,FALSE),"TBD")</f>
        <v>Bi-Weekly</v>
      </c>
      <c r="AH758" t="str">
        <f>IF(TblFeedFile1[[#This Row],[Return to Work Date ]]="","","Y")</f>
        <v/>
      </c>
    </row>
    <row r="759" spans="1:34" x14ac:dyDescent="0.25">
      <c r="A759" t="s">
        <v>29</v>
      </c>
      <c r="B759">
        <v>314304</v>
      </c>
      <c r="C759">
        <v>25012073</v>
      </c>
      <c r="D759" s="1">
        <v>501701098848</v>
      </c>
      <c r="E759" t="s">
        <v>533</v>
      </c>
      <c r="F759" t="s">
        <v>1034</v>
      </c>
      <c r="G759">
        <v>20170120</v>
      </c>
      <c r="H759">
        <v>20170305</v>
      </c>
      <c r="I759" t="s">
        <v>53</v>
      </c>
      <c r="L759" t="s">
        <v>34</v>
      </c>
      <c r="M759" t="s">
        <v>34</v>
      </c>
      <c r="N759" t="s">
        <v>35</v>
      </c>
      <c r="O759" t="s">
        <v>35</v>
      </c>
      <c r="P759" t="s">
        <v>35</v>
      </c>
      <c r="Q759" t="s">
        <v>35</v>
      </c>
      <c r="R759" t="s">
        <v>35</v>
      </c>
      <c r="S759" t="s">
        <v>34</v>
      </c>
      <c r="AD759">
        <v>20170124</v>
      </c>
      <c r="AF759" t="str">
        <f>IFERROR(VLOOKUP(RIGHT(TblFeedFile1[[#This Row],[Leave Type ]],6),LkupPayType[],2,FALSE),"TBD")</f>
        <v>TBD</v>
      </c>
      <c r="AG759" t="str">
        <f>IFERROR(VLOOKUP(TblFeedFile1[[#This Row],[ Report Number ]],LkupPayrollCycle[],2,FALSE),"TBD")</f>
        <v>Bi-Weekly</v>
      </c>
      <c r="AH759" t="str">
        <f>IF(TblFeedFile1[[#This Row],[Return to Work Date ]]="","","Y")</f>
        <v/>
      </c>
    </row>
    <row r="760" spans="1:34" x14ac:dyDescent="0.25">
      <c r="A760" t="s">
        <v>37</v>
      </c>
      <c r="B760">
        <v>314304</v>
      </c>
      <c r="C760">
        <v>25012073</v>
      </c>
      <c r="D760" s="1">
        <v>501701098848</v>
      </c>
      <c r="E760" t="s">
        <v>533</v>
      </c>
      <c r="F760" t="s">
        <v>1034</v>
      </c>
      <c r="G760">
        <v>20170120</v>
      </c>
      <c r="H760">
        <v>20170209</v>
      </c>
      <c r="I760" t="s">
        <v>53</v>
      </c>
      <c r="L760" t="s">
        <v>34</v>
      </c>
      <c r="M760" t="s">
        <v>34</v>
      </c>
      <c r="N760" t="s">
        <v>35</v>
      </c>
      <c r="O760" t="s">
        <v>35</v>
      </c>
      <c r="P760" t="s">
        <v>35</v>
      </c>
      <c r="Q760" t="s">
        <v>35</v>
      </c>
      <c r="R760" t="s">
        <v>35</v>
      </c>
      <c r="S760" t="s">
        <v>34</v>
      </c>
      <c r="AD760">
        <v>20170124</v>
      </c>
      <c r="AF760" t="str">
        <f>IFERROR(VLOOKUP(RIGHT(TblFeedFile1[[#This Row],[Leave Type ]],6),LkupPayType[],2,FALSE),"TBD")</f>
        <v>TBD</v>
      </c>
      <c r="AG760" t="str">
        <f>IFERROR(VLOOKUP(TblFeedFile1[[#This Row],[ Report Number ]],LkupPayrollCycle[],2,FALSE),"TBD")</f>
        <v>Bi-Weekly</v>
      </c>
      <c r="AH760" t="str">
        <f>IF(TblFeedFile1[[#This Row],[Return to Work Date ]]="","","Y")</f>
        <v/>
      </c>
    </row>
    <row r="761" spans="1:34" x14ac:dyDescent="0.25">
      <c r="A761" t="s">
        <v>37</v>
      </c>
      <c r="B761">
        <v>314304</v>
      </c>
      <c r="C761">
        <v>25018588</v>
      </c>
      <c r="D761" s="1">
        <v>541701188424</v>
      </c>
      <c r="E761" t="s">
        <v>1035</v>
      </c>
      <c r="F761" t="s">
        <v>1036</v>
      </c>
      <c r="G761">
        <v>20170124</v>
      </c>
      <c r="H761">
        <v>20170310</v>
      </c>
      <c r="I761" t="s">
        <v>40</v>
      </c>
      <c r="L761" t="s">
        <v>34</v>
      </c>
      <c r="M761" t="s">
        <v>34</v>
      </c>
      <c r="N761" t="s">
        <v>35</v>
      </c>
      <c r="O761" t="s">
        <v>35</v>
      </c>
      <c r="P761" t="s">
        <v>35</v>
      </c>
      <c r="Q761" t="s">
        <v>35</v>
      </c>
      <c r="R761" t="s">
        <v>35</v>
      </c>
      <c r="S761" t="s">
        <v>34</v>
      </c>
      <c r="AD761">
        <v>20170124</v>
      </c>
      <c r="AF761" t="str">
        <f>IFERROR(VLOOKUP(RIGHT(TblFeedFile1[[#This Row],[Leave Type ]],6),LkupPayType[],2,FALSE),"TBD")</f>
        <v>TBD</v>
      </c>
      <c r="AG761" t="str">
        <f>IFERROR(VLOOKUP(TblFeedFile1[[#This Row],[ Report Number ]],LkupPayrollCycle[],2,FALSE),"TBD")</f>
        <v>Bi-Weekly</v>
      </c>
      <c r="AH761" t="str">
        <f>IF(TblFeedFile1[[#This Row],[Return to Work Date ]]="","","Y")</f>
        <v/>
      </c>
    </row>
    <row r="762" spans="1:34" x14ac:dyDescent="0.25">
      <c r="A762" t="s">
        <v>29</v>
      </c>
      <c r="B762">
        <v>314304</v>
      </c>
      <c r="C762">
        <v>25022052</v>
      </c>
      <c r="D762" s="1">
        <v>521701198802</v>
      </c>
      <c r="E762" t="s">
        <v>1037</v>
      </c>
      <c r="F762" t="s">
        <v>1038</v>
      </c>
      <c r="G762">
        <v>20170114</v>
      </c>
      <c r="I762" t="s">
        <v>53</v>
      </c>
      <c r="L762" t="s">
        <v>34</v>
      </c>
      <c r="M762" t="s">
        <v>34</v>
      </c>
      <c r="N762" t="s">
        <v>35</v>
      </c>
      <c r="O762" t="s">
        <v>35</v>
      </c>
      <c r="P762" t="s">
        <v>35</v>
      </c>
      <c r="Q762" t="s">
        <v>35</v>
      </c>
      <c r="R762" t="s">
        <v>35</v>
      </c>
      <c r="S762" t="s">
        <v>34</v>
      </c>
      <c r="AD762">
        <v>20170124</v>
      </c>
      <c r="AF762" t="str">
        <f>IFERROR(VLOOKUP(RIGHT(TblFeedFile1[[#This Row],[Leave Type ]],6),LkupPayType[],2,FALSE),"TBD")</f>
        <v>TBD</v>
      </c>
      <c r="AG762" t="str">
        <f>IFERROR(VLOOKUP(TblFeedFile1[[#This Row],[ Report Number ]],LkupPayrollCycle[],2,FALSE),"TBD")</f>
        <v>Bi-Weekly</v>
      </c>
      <c r="AH762" t="str">
        <f>IF(TblFeedFile1[[#This Row],[Return to Work Date ]]="","","Y")</f>
        <v/>
      </c>
    </row>
    <row r="763" spans="1:34" x14ac:dyDescent="0.25">
      <c r="A763" t="s">
        <v>37</v>
      </c>
      <c r="B763">
        <v>314304</v>
      </c>
      <c r="C763">
        <v>25022052</v>
      </c>
      <c r="D763" s="1">
        <v>521701198802</v>
      </c>
      <c r="E763" t="s">
        <v>1037</v>
      </c>
      <c r="F763" t="s">
        <v>1038</v>
      </c>
      <c r="G763">
        <v>20170116</v>
      </c>
      <c r="H763">
        <v>20170203</v>
      </c>
      <c r="I763" t="s">
        <v>53</v>
      </c>
      <c r="L763" t="s">
        <v>34</v>
      </c>
      <c r="M763" t="s">
        <v>34</v>
      </c>
      <c r="N763" t="s">
        <v>35</v>
      </c>
      <c r="O763" t="s">
        <v>35</v>
      </c>
      <c r="P763" t="s">
        <v>35</v>
      </c>
      <c r="Q763" t="s">
        <v>35</v>
      </c>
      <c r="R763" t="s">
        <v>35</v>
      </c>
      <c r="S763" t="s">
        <v>34</v>
      </c>
      <c r="AD763">
        <v>20170124</v>
      </c>
      <c r="AF763" t="str">
        <f>IFERROR(VLOOKUP(RIGHT(TblFeedFile1[[#This Row],[Leave Type ]],6),LkupPayType[],2,FALSE),"TBD")</f>
        <v>TBD</v>
      </c>
      <c r="AG763" t="str">
        <f>IFERROR(VLOOKUP(TblFeedFile1[[#This Row],[ Report Number ]],LkupPayrollCycle[],2,FALSE),"TBD")</f>
        <v>Bi-Weekly</v>
      </c>
      <c r="AH763" t="str">
        <f>IF(TblFeedFile1[[#This Row],[Return to Work Date ]]="","","Y")</f>
        <v/>
      </c>
    </row>
    <row r="764" spans="1:34" x14ac:dyDescent="0.25">
      <c r="A764" t="s">
        <v>37</v>
      </c>
      <c r="B764">
        <v>314304</v>
      </c>
      <c r="C764">
        <v>25022052</v>
      </c>
      <c r="D764" s="1">
        <v>521701198802</v>
      </c>
      <c r="E764" t="s">
        <v>1037</v>
      </c>
      <c r="F764" t="s">
        <v>1038</v>
      </c>
      <c r="G764">
        <v>20170123</v>
      </c>
      <c r="H764">
        <v>20170203</v>
      </c>
      <c r="I764" t="s">
        <v>40</v>
      </c>
      <c r="L764" t="s">
        <v>34</v>
      </c>
      <c r="M764" t="s">
        <v>34</v>
      </c>
      <c r="N764" t="s">
        <v>35</v>
      </c>
      <c r="O764" t="s">
        <v>35</v>
      </c>
      <c r="P764" t="s">
        <v>35</v>
      </c>
      <c r="Q764" t="s">
        <v>35</v>
      </c>
      <c r="R764" t="s">
        <v>35</v>
      </c>
      <c r="S764" t="s">
        <v>34</v>
      </c>
      <c r="AD764">
        <v>20170124</v>
      </c>
      <c r="AF764" t="str">
        <f>IFERROR(VLOOKUP(RIGHT(TblFeedFile1[[#This Row],[Leave Type ]],6),LkupPayType[],2,FALSE),"TBD")</f>
        <v>TBD</v>
      </c>
      <c r="AG764" t="str">
        <f>IFERROR(VLOOKUP(TblFeedFile1[[#This Row],[ Report Number ]],LkupPayrollCycle[],2,FALSE),"TBD")</f>
        <v>Bi-Weekly</v>
      </c>
      <c r="AH764" t="str">
        <f>IF(TblFeedFile1[[#This Row],[Return to Work Date ]]="","","Y")</f>
        <v/>
      </c>
    </row>
    <row r="765" spans="1:34" x14ac:dyDescent="0.25">
      <c r="A765" t="s">
        <v>37</v>
      </c>
      <c r="B765">
        <v>314301</v>
      </c>
      <c r="C765">
        <v>25070866</v>
      </c>
      <c r="D765" s="1" t="s">
        <v>1039</v>
      </c>
      <c r="E765" t="s">
        <v>1040</v>
      </c>
      <c r="F765" t="s">
        <v>1041</v>
      </c>
      <c r="G765">
        <v>20160111</v>
      </c>
      <c r="H765">
        <v>20160219</v>
      </c>
      <c r="I765" t="s">
        <v>36</v>
      </c>
      <c r="L765" t="s">
        <v>34</v>
      </c>
      <c r="M765" t="s">
        <v>34</v>
      </c>
      <c r="N765" t="s">
        <v>35</v>
      </c>
      <c r="O765" t="s">
        <v>35</v>
      </c>
      <c r="P765" t="s">
        <v>35</v>
      </c>
      <c r="Q765" t="s">
        <v>35</v>
      </c>
      <c r="R765" t="s">
        <v>35</v>
      </c>
      <c r="S765" t="s">
        <v>34</v>
      </c>
      <c r="AD765">
        <v>20170124</v>
      </c>
      <c r="AF765" t="str">
        <f>IFERROR(VLOOKUP(RIGHT(TblFeedFile1[[#This Row],[Leave Type ]],6),LkupPayType[],2,FALSE),"TBD")</f>
        <v>TBD</v>
      </c>
      <c r="AG765" t="str">
        <f>IFERROR(VLOOKUP(TblFeedFile1[[#This Row],[ Report Number ]],LkupPayrollCycle[],2,FALSE),"TBD")</f>
        <v>Semi-Monthly</v>
      </c>
      <c r="AH765" t="str">
        <f>IF(TblFeedFile1[[#This Row],[Return to Work Date ]]="","","Y")</f>
        <v/>
      </c>
    </row>
    <row r="766" spans="1:34" x14ac:dyDescent="0.25">
      <c r="A766" t="s">
        <v>29</v>
      </c>
      <c r="B766">
        <v>314304</v>
      </c>
      <c r="C766">
        <v>25073185</v>
      </c>
      <c r="D766" s="1">
        <v>521701198832</v>
      </c>
      <c r="E766" t="s">
        <v>1042</v>
      </c>
      <c r="F766" t="s">
        <v>599</v>
      </c>
      <c r="G766">
        <v>20170111</v>
      </c>
      <c r="I766" t="s">
        <v>53</v>
      </c>
      <c r="L766" t="s">
        <v>34</v>
      </c>
      <c r="M766" t="s">
        <v>34</v>
      </c>
      <c r="N766" t="s">
        <v>35</v>
      </c>
      <c r="O766" t="s">
        <v>35</v>
      </c>
      <c r="P766" t="s">
        <v>35</v>
      </c>
      <c r="Q766" t="s">
        <v>35</v>
      </c>
      <c r="R766" t="s">
        <v>35</v>
      </c>
      <c r="S766" t="s">
        <v>34</v>
      </c>
      <c r="AD766">
        <v>20170124</v>
      </c>
      <c r="AF766" t="str">
        <f>IFERROR(VLOOKUP(RIGHT(TblFeedFile1[[#This Row],[Leave Type ]],6),LkupPayType[],2,FALSE),"TBD")</f>
        <v>TBD</v>
      </c>
      <c r="AG766" t="str">
        <f>IFERROR(VLOOKUP(TblFeedFile1[[#This Row],[ Report Number ]],LkupPayrollCycle[],2,FALSE),"TBD")</f>
        <v>Bi-Weekly</v>
      </c>
      <c r="AH766" t="str">
        <f>IF(TblFeedFile1[[#This Row],[Return to Work Date ]]="","","Y")</f>
        <v/>
      </c>
    </row>
    <row r="767" spans="1:34" x14ac:dyDescent="0.25">
      <c r="A767" t="s">
        <v>37</v>
      </c>
      <c r="B767">
        <v>314304</v>
      </c>
      <c r="C767">
        <v>25073185</v>
      </c>
      <c r="D767" s="1">
        <v>521701198832</v>
      </c>
      <c r="E767" t="s">
        <v>1042</v>
      </c>
      <c r="F767" t="s">
        <v>599</v>
      </c>
      <c r="G767">
        <v>20170111</v>
      </c>
      <c r="H767">
        <v>20170512</v>
      </c>
      <c r="I767" t="s">
        <v>53</v>
      </c>
      <c r="L767" t="s">
        <v>34</v>
      </c>
      <c r="M767" t="s">
        <v>34</v>
      </c>
      <c r="N767" t="s">
        <v>35</v>
      </c>
      <c r="O767" t="s">
        <v>35</v>
      </c>
      <c r="P767" t="s">
        <v>35</v>
      </c>
      <c r="Q767" t="s">
        <v>35</v>
      </c>
      <c r="R767" t="s">
        <v>35</v>
      </c>
      <c r="S767" t="s">
        <v>34</v>
      </c>
      <c r="AD767">
        <v>20170124</v>
      </c>
      <c r="AF767" t="str">
        <f>IFERROR(VLOOKUP(RIGHT(TblFeedFile1[[#This Row],[Leave Type ]],6),LkupPayType[],2,FALSE),"TBD")</f>
        <v>TBD</v>
      </c>
      <c r="AG767" t="str">
        <f>IFERROR(VLOOKUP(TblFeedFile1[[#This Row],[ Report Number ]],LkupPayrollCycle[],2,FALSE),"TBD")</f>
        <v>Bi-Weekly</v>
      </c>
      <c r="AH767" t="str">
        <f>IF(TblFeedFile1[[#This Row],[Return to Work Date ]]="","","Y")</f>
        <v/>
      </c>
    </row>
    <row r="768" spans="1:34" x14ac:dyDescent="0.25">
      <c r="A768" t="s">
        <v>37</v>
      </c>
      <c r="B768">
        <v>314304</v>
      </c>
      <c r="C768">
        <v>25073185</v>
      </c>
      <c r="D768" s="1">
        <v>521701198832</v>
      </c>
      <c r="E768" t="s">
        <v>1042</v>
      </c>
      <c r="F768" t="s">
        <v>599</v>
      </c>
      <c r="G768">
        <v>20170118</v>
      </c>
      <c r="H768">
        <v>20170512</v>
      </c>
      <c r="I768" t="s">
        <v>40</v>
      </c>
      <c r="L768" t="s">
        <v>34</v>
      </c>
      <c r="M768" t="s">
        <v>34</v>
      </c>
      <c r="N768" t="s">
        <v>35</v>
      </c>
      <c r="O768" t="s">
        <v>35</v>
      </c>
      <c r="P768" t="s">
        <v>35</v>
      </c>
      <c r="Q768" t="s">
        <v>35</v>
      </c>
      <c r="R768" t="s">
        <v>35</v>
      </c>
      <c r="S768" t="s">
        <v>34</v>
      </c>
      <c r="Y768">
        <v>620.89</v>
      </c>
      <c r="Z768" t="s">
        <v>306</v>
      </c>
      <c r="AA768">
        <v>20170118</v>
      </c>
      <c r="AB768">
        <v>20170711</v>
      </c>
      <c r="AD768">
        <v>20170124</v>
      </c>
      <c r="AF768" t="str">
        <f>IFERROR(VLOOKUP(RIGHT(TblFeedFile1[[#This Row],[Leave Type ]],6),LkupPayType[],2,FALSE),"TBD")</f>
        <v>TBD</v>
      </c>
      <c r="AG768" t="str">
        <f>IFERROR(VLOOKUP(TblFeedFile1[[#This Row],[ Report Number ]],LkupPayrollCycle[],2,FALSE),"TBD")</f>
        <v>Bi-Weekly</v>
      </c>
      <c r="AH768" t="str">
        <f>IF(TblFeedFile1[[#This Row],[Return to Work Date ]]="","","Y")</f>
        <v/>
      </c>
    </row>
    <row r="769" spans="1:34" x14ac:dyDescent="0.25">
      <c r="A769" t="s">
        <v>37</v>
      </c>
      <c r="B769">
        <v>314301</v>
      </c>
      <c r="C769">
        <v>25078770</v>
      </c>
      <c r="D769" s="1">
        <v>571701038847</v>
      </c>
      <c r="E769" t="s">
        <v>1043</v>
      </c>
      <c r="F769" t="s">
        <v>1044</v>
      </c>
      <c r="G769">
        <v>20170123</v>
      </c>
      <c r="H769">
        <v>20170224</v>
      </c>
      <c r="I769" t="s">
        <v>53</v>
      </c>
      <c r="L769" t="s">
        <v>35</v>
      </c>
      <c r="AD769">
        <v>20170124</v>
      </c>
      <c r="AF769" t="str">
        <f>IFERROR(VLOOKUP(RIGHT(TblFeedFile1[[#This Row],[Leave Type ]],6),LkupPayType[],2,FALSE),"TBD")</f>
        <v>TBD</v>
      </c>
      <c r="AG769" t="str">
        <f>IFERROR(VLOOKUP(TblFeedFile1[[#This Row],[ Report Number ]],LkupPayrollCycle[],2,FALSE),"TBD")</f>
        <v>Semi-Monthly</v>
      </c>
      <c r="AH769" t="str">
        <f>IF(TblFeedFile1[[#This Row],[Return to Work Date ]]="","","Y")</f>
        <v/>
      </c>
    </row>
    <row r="770" spans="1:34" x14ac:dyDescent="0.25">
      <c r="A770" t="s">
        <v>37</v>
      </c>
      <c r="B770">
        <v>314301</v>
      </c>
      <c r="C770">
        <v>25078770</v>
      </c>
      <c r="D770" s="1">
        <v>571701038847</v>
      </c>
      <c r="E770" t="s">
        <v>1043</v>
      </c>
      <c r="F770" t="s">
        <v>1044</v>
      </c>
      <c r="G770">
        <v>20170130</v>
      </c>
      <c r="H770">
        <v>20170224</v>
      </c>
      <c r="I770" t="s">
        <v>40</v>
      </c>
      <c r="L770" t="s">
        <v>35</v>
      </c>
      <c r="AD770">
        <v>20170124</v>
      </c>
      <c r="AF770" t="str">
        <f>IFERROR(VLOOKUP(RIGHT(TblFeedFile1[[#This Row],[Leave Type ]],6),LkupPayType[],2,FALSE),"TBD")</f>
        <v>TBD</v>
      </c>
      <c r="AG770" t="str">
        <f>IFERROR(VLOOKUP(TblFeedFile1[[#This Row],[ Report Number ]],LkupPayrollCycle[],2,FALSE),"TBD")</f>
        <v>Semi-Monthly</v>
      </c>
      <c r="AH770" t="str">
        <f>IF(TblFeedFile1[[#This Row],[Return to Work Date ]]="","","Y")</f>
        <v/>
      </c>
    </row>
    <row r="771" spans="1:34" x14ac:dyDescent="0.25">
      <c r="A771" t="s">
        <v>37</v>
      </c>
      <c r="B771">
        <v>314304</v>
      </c>
      <c r="C771">
        <v>25084589</v>
      </c>
      <c r="D771" s="1">
        <v>511701238271</v>
      </c>
      <c r="E771" t="s">
        <v>1045</v>
      </c>
      <c r="F771" t="s">
        <v>1046</v>
      </c>
      <c r="G771">
        <v>20170123</v>
      </c>
      <c r="H771">
        <v>20170305</v>
      </c>
      <c r="I771" t="s">
        <v>53</v>
      </c>
      <c r="L771" t="s">
        <v>34</v>
      </c>
      <c r="M771" t="s">
        <v>34</v>
      </c>
      <c r="N771" t="s">
        <v>35</v>
      </c>
      <c r="O771" t="s">
        <v>35</v>
      </c>
      <c r="P771" t="s">
        <v>35</v>
      </c>
      <c r="Q771" t="s">
        <v>35</v>
      </c>
      <c r="R771" t="s">
        <v>35</v>
      </c>
      <c r="S771" t="s">
        <v>34</v>
      </c>
      <c r="AD771">
        <v>20170124</v>
      </c>
      <c r="AF771" t="str">
        <f>IFERROR(VLOOKUP(RIGHT(TblFeedFile1[[#This Row],[Leave Type ]],6),LkupPayType[],2,FALSE),"TBD")</f>
        <v>TBD</v>
      </c>
      <c r="AG771" t="str">
        <f>IFERROR(VLOOKUP(TblFeedFile1[[#This Row],[ Report Number ]],LkupPayrollCycle[],2,FALSE),"TBD")</f>
        <v>Bi-Weekly</v>
      </c>
      <c r="AH771" t="str">
        <f>IF(TblFeedFile1[[#This Row],[Return to Work Date ]]="","","Y")</f>
        <v/>
      </c>
    </row>
    <row r="772" spans="1:34" x14ac:dyDescent="0.25">
      <c r="A772" t="s">
        <v>37</v>
      </c>
      <c r="B772">
        <v>314304</v>
      </c>
      <c r="C772">
        <v>25110960</v>
      </c>
      <c r="D772" s="1" t="s">
        <v>1047</v>
      </c>
      <c r="E772" t="s">
        <v>1048</v>
      </c>
      <c r="F772" t="s">
        <v>495</v>
      </c>
      <c r="G772">
        <v>20170123</v>
      </c>
      <c r="H772">
        <v>20170123</v>
      </c>
      <c r="I772" t="s">
        <v>33</v>
      </c>
      <c r="L772" t="s">
        <v>34</v>
      </c>
      <c r="M772" t="s">
        <v>34</v>
      </c>
      <c r="N772" t="s">
        <v>35</v>
      </c>
      <c r="O772" t="s">
        <v>35</v>
      </c>
      <c r="P772" t="s">
        <v>35</v>
      </c>
      <c r="Q772" t="s">
        <v>35</v>
      </c>
      <c r="R772" t="s">
        <v>35</v>
      </c>
      <c r="S772" t="s">
        <v>34</v>
      </c>
      <c r="AD772">
        <v>20170124</v>
      </c>
      <c r="AF772" t="str">
        <f>IFERROR(VLOOKUP(RIGHT(TblFeedFile1[[#This Row],[Leave Type ]],6),LkupPayType[],2,FALSE),"TBD")</f>
        <v>TBD</v>
      </c>
      <c r="AG772" t="str">
        <f>IFERROR(VLOOKUP(TblFeedFile1[[#This Row],[ Report Number ]],LkupPayrollCycle[],2,FALSE),"TBD")</f>
        <v>Bi-Weekly</v>
      </c>
      <c r="AH772" t="str">
        <f>IF(TblFeedFile1[[#This Row],[Return to Work Date ]]="","","Y")</f>
        <v/>
      </c>
    </row>
    <row r="773" spans="1:34" x14ac:dyDescent="0.25">
      <c r="A773" t="s">
        <v>37</v>
      </c>
      <c r="B773">
        <v>314304</v>
      </c>
      <c r="C773">
        <v>25118223</v>
      </c>
      <c r="D773" s="1" t="s">
        <v>1049</v>
      </c>
      <c r="E773" t="s">
        <v>1050</v>
      </c>
      <c r="F773" t="s">
        <v>1051</v>
      </c>
      <c r="G773">
        <v>20170122</v>
      </c>
      <c r="H773">
        <v>20170122</v>
      </c>
      <c r="I773" t="s">
        <v>33</v>
      </c>
      <c r="L773" t="s">
        <v>34</v>
      </c>
      <c r="M773" t="s">
        <v>34</v>
      </c>
      <c r="N773" t="s">
        <v>35</v>
      </c>
      <c r="O773" t="s">
        <v>35</v>
      </c>
      <c r="P773" t="s">
        <v>35</v>
      </c>
      <c r="Q773" t="s">
        <v>35</v>
      </c>
      <c r="R773" t="s">
        <v>35</v>
      </c>
      <c r="S773" t="s">
        <v>34</v>
      </c>
      <c r="AD773">
        <v>20170124</v>
      </c>
      <c r="AF773" t="str">
        <f>IFERROR(VLOOKUP(RIGHT(TblFeedFile1[[#This Row],[Leave Type ]],6),LkupPayType[],2,FALSE),"TBD")</f>
        <v>TBD</v>
      </c>
      <c r="AG773" t="str">
        <f>IFERROR(VLOOKUP(TblFeedFile1[[#This Row],[ Report Number ]],LkupPayrollCycle[],2,FALSE),"TBD")</f>
        <v>Bi-Weekly</v>
      </c>
      <c r="AH773" t="str">
        <f>IF(TblFeedFile1[[#This Row],[Return to Work Date ]]="","","Y")</f>
        <v/>
      </c>
    </row>
    <row r="774" spans="1:34" x14ac:dyDescent="0.25">
      <c r="A774" t="s">
        <v>37</v>
      </c>
      <c r="B774">
        <v>314304</v>
      </c>
      <c r="C774">
        <v>25135746</v>
      </c>
      <c r="D774" s="1" t="s">
        <v>1052</v>
      </c>
      <c r="E774" t="s">
        <v>714</v>
      </c>
      <c r="F774" t="s">
        <v>1053</v>
      </c>
      <c r="G774">
        <v>20170122</v>
      </c>
      <c r="H774">
        <v>20170305</v>
      </c>
      <c r="I774" t="s">
        <v>78</v>
      </c>
      <c r="K774" t="s">
        <v>79</v>
      </c>
      <c r="L774" t="s">
        <v>35</v>
      </c>
      <c r="AD774">
        <v>20170124</v>
      </c>
      <c r="AF774" t="str">
        <f>IFERROR(VLOOKUP(RIGHT(TblFeedFile1[[#This Row],[Leave Type ]],6),LkupPayType[],2,FALSE),"TBD")</f>
        <v>TBD</v>
      </c>
      <c r="AG774" t="str">
        <f>IFERROR(VLOOKUP(TblFeedFile1[[#This Row],[ Report Number ]],LkupPayrollCycle[],2,FALSE),"TBD")</f>
        <v>Bi-Weekly</v>
      </c>
      <c r="AH774" t="str">
        <f>IF(TblFeedFile1[[#This Row],[Return to Work Date ]]="","","Y")</f>
        <v/>
      </c>
    </row>
    <row r="775" spans="1:34" x14ac:dyDescent="0.25">
      <c r="A775" t="s">
        <v>37</v>
      </c>
      <c r="B775">
        <v>314301</v>
      </c>
      <c r="C775">
        <v>25148000</v>
      </c>
      <c r="D775" s="1" t="s">
        <v>1054</v>
      </c>
      <c r="E775" t="s">
        <v>1055</v>
      </c>
      <c r="F775" t="s">
        <v>1056</v>
      </c>
      <c r="G775">
        <v>20170117</v>
      </c>
      <c r="H775">
        <v>20170509</v>
      </c>
      <c r="I775" t="s">
        <v>36</v>
      </c>
      <c r="L775" t="s">
        <v>34</v>
      </c>
      <c r="M775" t="s">
        <v>34</v>
      </c>
      <c r="N775" t="s">
        <v>35</v>
      </c>
      <c r="O775" t="s">
        <v>35</v>
      </c>
      <c r="P775" t="s">
        <v>35</v>
      </c>
      <c r="Q775" t="s">
        <v>35</v>
      </c>
      <c r="R775" t="s">
        <v>35</v>
      </c>
      <c r="S775" t="s">
        <v>34</v>
      </c>
      <c r="AD775">
        <v>20170124</v>
      </c>
      <c r="AF775" t="str">
        <f>IFERROR(VLOOKUP(RIGHT(TblFeedFile1[[#This Row],[Leave Type ]],6),LkupPayType[],2,FALSE),"TBD")</f>
        <v>TBD</v>
      </c>
      <c r="AG775" t="str">
        <f>IFERROR(VLOOKUP(TblFeedFile1[[#This Row],[ Report Number ]],LkupPayrollCycle[],2,FALSE),"TBD")</f>
        <v>Semi-Monthly</v>
      </c>
      <c r="AH775" t="str">
        <f>IF(TblFeedFile1[[#This Row],[Return to Work Date ]]="","","Y")</f>
        <v/>
      </c>
    </row>
    <row r="776" spans="1:34" x14ac:dyDescent="0.25">
      <c r="A776" t="s">
        <v>29</v>
      </c>
      <c r="B776">
        <v>314304</v>
      </c>
      <c r="C776">
        <v>25150115</v>
      </c>
      <c r="D776" s="1" t="s">
        <v>1057</v>
      </c>
      <c r="E776" t="s">
        <v>1058</v>
      </c>
      <c r="F776" t="s">
        <v>1059</v>
      </c>
      <c r="G776">
        <v>20161221</v>
      </c>
      <c r="H776">
        <v>20170325</v>
      </c>
      <c r="I776" t="s">
        <v>78</v>
      </c>
      <c r="K776" t="s">
        <v>219</v>
      </c>
      <c r="L776" t="s">
        <v>34</v>
      </c>
      <c r="M776" t="s">
        <v>34</v>
      </c>
      <c r="N776" t="s">
        <v>35</v>
      </c>
      <c r="O776" t="s">
        <v>35</v>
      </c>
      <c r="P776" t="s">
        <v>35</v>
      </c>
      <c r="Q776" t="s">
        <v>35</v>
      </c>
      <c r="R776" t="s">
        <v>35</v>
      </c>
      <c r="S776" t="s">
        <v>34</v>
      </c>
      <c r="AC776" t="s">
        <v>35</v>
      </c>
      <c r="AD776">
        <v>20170124</v>
      </c>
      <c r="AF776" t="str">
        <f>IFERROR(VLOOKUP(RIGHT(TblFeedFile1[[#This Row],[Leave Type ]],6),LkupPayType[],2,FALSE),"TBD")</f>
        <v>TBD</v>
      </c>
      <c r="AG776" t="str">
        <f>IFERROR(VLOOKUP(TblFeedFile1[[#This Row],[ Report Number ]],LkupPayrollCycle[],2,FALSE),"TBD")</f>
        <v>Bi-Weekly</v>
      </c>
      <c r="AH776" t="str">
        <f>IF(TblFeedFile1[[#This Row],[Return to Work Date ]]="","","Y")</f>
        <v/>
      </c>
    </row>
    <row r="777" spans="1:34" x14ac:dyDescent="0.25">
      <c r="A777" t="s">
        <v>37</v>
      </c>
      <c r="B777">
        <v>314304</v>
      </c>
      <c r="C777">
        <v>25150115</v>
      </c>
      <c r="D777" s="1" t="s">
        <v>1057</v>
      </c>
      <c r="E777" t="s">
        <v>1058</v>
      </c>
      <c r="F777" t="s">
        <v>1059</v>
      </c>
      <c r="G777">
        <v>20161205</v>
      </c>
      <c r="H777">
        <v>20170325</v>
      </c>
      <c r="I777" t="s">
        <v>185</v>
      </c>
      <c r="L777" t="s">
        <v>34</v>
      </c>
      <c r="M777" t="s">
        <v>34</v>
      </c>
      <c r="N777" t="s">
        <v>35</v>
      </c>
      <c r="O777" t="s">
        <v>35</v>
      </c>
      <c r="P777" t="s">
        <v>35</v>
      </c>
      <c r="Q777" t="s">
        <v>35</v>
      </c>
      <c r="R777" t="s">
        <v>35</v>
      </c>
      <c r="S777" t="s">
        <v>34</v>
      </c>
      <c r="AC777" t="s">
        <v>35</v>
      </c>
      <c r="AD777">
        <v>20170124</v>
      </c>
      <c r="AF777" t="str">
        <f>IFERROR(VLOOKUP(RIGHT(TblFeedFile1[[#This Row],[Leave Type ]],6),LkupPayType[],2,FALSE),"TBD")</f>
        <v>TBD</v>
      </c>
      <c r="AG777" t="str">
        <f>IFERROR(VLOOKUP(TblFeedFile1[[#This Row],[ Report Number ]],LkupPayrollCycle[],2,FALSE),"TBD")</f>
        <v>Bi-Weekly</v>
      </c>
      <c r="AH777" t="str">
        <f>IF(TblFeedFile1[[#This Row],[Return to Work Date ]]="","","Y")</f>
        <v/>
      </c>
    </row>
    <row r="778" spans="1:34" x14ac:dyDescent="0.25">
      <c r="A778" t="s">
        <v>37</v>
      </c>
      <c r="B778">
        <v>314304</v>
      </c>
      <c r="C778">
        <v>25171173</v>
      </c>
      <c r="D778" s="1" t="s">
        <v>1060</v>
      </c>
      <c r="E778" t="s">
        <v>1061</v>
      </c>
      <c r="F778" t="s">
        <v>1062</v>
      </c>
      <c r="G778">
        <v>20170121</v>
      </c>
      <c r="H778">
        <v>20170131</v>
      </c>
      <c r="I778" t="s">
        <v>185</v>
      </c>
      <c r="L778" t="s">
        <v>34</v>
      </c>
      <c r="M778" t="s">
        <v>34</v>
      </c>
      <c r="N778" t="s">
        <v>35</v>
      </c>
      <c r="O778" t="s">
        <v>35</v>
      </c>
      <c r="P778" t="s">
        <v>35</v>
      </c>
      <c r="Q778" t="s">
        <v>35</v>
      </c>
      <c r="R778" t="s">
        <v>35</v>
      </c>
      <c r="S778" t="s">
        <v>34</v>
      </c>
      <c r="AC778" t="s">
        <v>35</v>
      </c>
      <c r="AD778">
        <v>20170124</v>
      </c>
      <c r="AF778" t="str">
        <f>IFERROR(VLOOKUP(RIGHT(TblFeedFile1[[#This Row],[Leave Type ]],6),LkupPayType[],2,FALSE),"TBD")</f>
        <v>TBD</v>
      </c>
      <c r="AG778" t="str">
        <f>IFERROR(VLOOKUP(TblFeedFile1[[#This Row],[ Report Number ]],LkupPayrollCycle[],2,FALSE),"TBD")</f>
        <v>Bi-Weekly</v>
      </c>
      <c r="AH778" t="str">
        <f>IF(TblFeedFile1[[#This Row],[Return to Work Date ]]="","","Y")</f>
        <v/>
      </c>
    </row>
    <row r="779" spans="1:34" x14ac:dyDescent="0.25">
      <c r="A779" t="s">
        <v>37</v>
      </c>
      <c r="B779">
        <v>314305</v>
      </c>
      <c r="C779">
        <v>25173261</v>
      </c>
      <c r="D779" s="1" t="s">
        <v>1063</v>
      </c>
      <c r="E779" t="s">
        <v>1064</v>
      </c>
      <c r="F779" t="s">
        <v>1065</v>
      </c>
      <c r="G779">
        <v>20170117</v>
      </c>
      <c r="H779">
        <v>20170212</v>
      </c>
      <c r="I779" t="s">
        <v>127</v>
      </c>
      <c r="L779" t="s">
        <v>34</v>
      </c>
      <c r="M779" t="s">
        <v>34</v>
      </c>
      <c r="N779" t="s">
        <v>35</v>
      </c>
      <c r="O779" t="s">
        <v>35</v>
      </c>
      <c r="P779" t="s">
        <v>35</v>
      </c>
      <c r="Q779" t="s">
        <v>35</v>
      </c>
      <c r="R779" t="s">
        <v>35</v>
      </c>
      <c r="S779" t="s">
        <v>34</v>
      </c>
      <c r="AD779">
        <v>20170124</v>
      </c>
      <c r="AF779" t="str">
        <f>IFERROR(VLOOKUP(RIGHT(TblFeedFile1[[#This Row],[Leave Type ]],6),LkupPayType[],2,FALSE),"TBD")</f>
        <v>TBD</v>
      </c>
      <c r="AG779" t="str">
        <f>IFERROR(VLOOKUP(TblFeedFile1[[#This Row],[ Report Number ]],LkupPayrollCycle[],2,FALSE),"TBD")</f>
        <v>Bi-Weekly</v>
      </c>
      <c r="AH779" t="str">
        <f>IF(TblFeedFile1[[#This Row],[Return to Work Date ]]="","","Y")</f>
        <v/>
      </c>
    </row>
    <row r="780" spans="1:34" x14ac:dyDescent="0.25">
      <c r="A780" t="s">
        <v>37</v>
      </c>
      <c r="B780">
        <v>314304</v>
      </c>
      <c r="C780">
        <v>25190649</v>
      </c>
      <c r="D780" s="1">
        <v>501701248500</v>
      </c>
      <c r="E780" t="s">
        <v>421</v>
      </c>
      <c r="F780" t="s">
        <v>104</v>
      </c>
      <c r="G780">
        <v>20170115</v>
      </c>
      <c r="I780" t="s">
        <v>53</v>
      </c>
      <c r="L780" t="s">
        <v>35</v>
      </c>
      <c r="AD780">
        <v>20170124</v>
      </c>
      <c r="AF780" t="str">
        <f>IFERROR(VLOOKUP(RIGHT(TblFeedFile1[[#This Row],[Leave Type ]],6),LkupPayType[],2,FALSE),"TBD")</f>
        <v>TBD</v>
      </c>
      <c r="AG780" t="str">
        <f>IFERROR(VLOOKUP(TblFeedFile1[[#This Row],[ Report Number ]],LkupPayrollCycle[],2,FALSE),"TBD")</f>
        <v>Bi-Weekly</v>
      </c>
      <c r="AH780" t="str">
        <f>IF(TblFeedFile1[[#This Row],[Return to Work Date ]]="","","Y")</f>
        <v/>
      </c>
    </row>
    <row r="781" spans="1:34" x14ac:dyDescent="0.25">
      <c r="A781" t="s">
        <v>29</v>
      </c>
      <c r="B781">
        <v>314305</v>
      </c>
      <c r="C781">
        <v>25195536</v>
      </c>
      <c r="D781" s="1" t="s">
        <v>1066</v>
      </c>
      <c r="E781" t="s">
        <v>1067</v>
      </c>
      <c r="F781" t="s">
        <v>1068</v>
      </c>
      <c r="G781">
        <v>20170107</v>
      </c>
      <c r="H781">
        <v>20170107</v>
      </c>
      <c r="I781" t="s">
        <v>33</v>
      </c>
      <c r="L781" t="s">
        <v>34</v>
      </c>
      <c r="M781" t="s">
        <v>34</v>
      </c>
      <c r="N781" t="s">
        <v>35</v>
      </c>
      <c r="O781" t="s">
        <v>35</v>
      </c>
      <c r="P781" t="s">
        <v>35</v>
      </c>
      <c r="Q781" t="s">
        <v>35</v>
      </c>
      <c r="R781" t="s">
        <v>35</v>
      </c>
      <c r="S781" t="s">
        <v>34</v>
      </c>
      <c r="AC781" t="s">
        <v>35</v>
      </c>
      <c r="AD781">
        <v>20170124</v>
      </c>
      <c r="AF781" t="str">
        <f>IFERROR(VLOOKUP(RIGHT(TblFeedFile1[[#This Row],[Leave Type ]],6),LkupPayType[],2,FALSE),"TBD")</f>
        <v>TBD</v>
      </c>
      <c r="AG781" t="str">
        <f>IFERROR(VLOOKUP(TblFeedFile1[[#This Row],[ Report Number ]],LkupPayrollCycle[],2,FALSE),"TBD")</f>
        <v>Bi-Weekly</v>
      </c>
      <c r="AH781" t="str">
        <f>IF(TblFeedFile1[[#This Row],[Return to Work Date ]]="","","Y")</f>
        <v/>
      </c>
    </row>
    <row r="782" spans="1:34" x14ac:dyDescent="0.25">
      <c r="A782" t="s">
        <v>29</v>
      </c>
      <c r="B782">
        <v>314305</v>
      </c>
      <c r="C782">
        <v>25195536</v>
      </c>
      <c r="D782" s="1" t="s">
        <v>1066</v>
      </c>
      <c r="E782" t="s">
        <v>1067</v>
      </c>
      <c r="F782" t="s">
        <v>1068</v>
      </c>
      <c r="G782">
        <v>20110520</v>
      </c>
      <c r="H782">
        <v>20170106</v>
      </c>
      <c r="I782" t="s">
        <v>201</v>
      </c>
      <c r="L782" t="s">
        <v>34</v>
      </c>
      <c r="M782" t="s">
        <v>34</v>
      </c>
      <c r="N782" t="s">
        <v>35</v>
      </c>
      <c r="O782" t="s">
        <v>35</v>
      </c>
      <c r="P782" t="s">
        <v>35</v>
      </c>
      <c r="Q782" t="s">
        <v>35</v>
      </c>
      <c r="R782" t="s">
        <v>35</v>
      </c>
      <c r="S782" t="s">
        <v>34</v>
      </c>
      <c r="AC782" t="s">
        <v>35</v>
      </c>
      <c r="AD782">
        <v>20170124</v>
      </c>
      <c r="AF782" t="str">
        <f>IFERROR(VLOOKUP(RIGHT(TblFeedFile1[[#This Row],[Leave Type ]],6),LkupPayType[],2,FALSE),"TBD")</f>
        <v>TBD</v>
      </c>
      <c r="AG782" t="str">
        <f>IFERROR(VLOOKUP(TblFeedFile1[[#This Row],[ Report Number ]],LkupPayrollCycle[],2,FALSE),"TBD")</f>
        <v>Bi-Weekly</v>
      </c>
      <c r="AH782" t="str">
        <f>IF(TblFeedFile1[[#This Row],[Return to Work Date ]]="","","Y")</f>
        <v/>
      </c>
    </row>
    <row r="783" spans="1:34" x14ac:dyDescent="0.25">
      <c r="A783" t="s">
        <v>37</v>
      </c>
      <c r="B783">
        <v>314305</v>
      </c>
      <c r="C783">
        <v>25195536</v>
      </c>
      <c r="D783" s="1" t="s">
        <v>1066</v>
      </c>
      <c r="E783" t="s">
        <v>1067</v>
      </c>
      <c r="F783" t="s">
        <v>1068</v>
      </c>
      <c r="G783">
        <v>20110520</v>
      </c>
      <c r="H783">
        <v>20170218</v>
      </c>
      <c r="I783" t="s">
        <v>201</v>
      </c>
      <c r="L783" t="s">
        <v>34</v>
      </c>
      <c r="M783" t="s">
        <v>34</v>
      </c>
      <c r="N783" t="s">
        <v>35</v>
      </c>
      <c r="O783" t="s">
        <v>35</v>
      </c>
      <c r="P783" t="s">
        <v>35</v>
      </c>
      <c r="Q783" t="s">
        <v>35</v>
      </c>
      <c r="R783" t="s">
        <v>35</v>
      </c>
      <c r="S783" t="s">
        <v>34</v>
      </c>
      <c r="AC783" t="s">
        <v>35</v>
      </c>
      <c r="AD783">
        <v>20170124</v>
      </c>
      <c r="AF783" t="str">
        <f>IFERROR(VLOOKUP(RIGHT(TblFeedFile1[[#This Row],[Leave Type ]],6),LkupPayType[],2,FALSE),"TBD")</f>
        <v>TBD</v>
      </c>
      <c r="AG783" t="str">
        <f>IFERROR(VLOOKUP(TblFeedFile1[[#This Row],[ Report Number ]],LkupPayrollCycle[],2,FALSE),"TBD")</f>
        <v>Bi-Weekly</v>
      </c>
      <c r="AH783" t="str">
        <f>IF(TblFeedFile1[[#This Row],[Return to Work Date ]]="","","Y")</f>
        <v/>
      </c>
    </row>
    <row r="784" spans="1:34" x14ac:dyDescent="0.25">
      <c r="A784" t="s">
        <v>37</v>
      </c>
      <c r="B784">
        <v>314301</v>
      </c>
      <c r="C784">
        <v>25200415</v>
      </c>
      <c r="D784" s="1" t="s">
        <v>1069</v>
      </c>
      <c r="E784" t="s">
        <v>556</v>
      </c>
      <c r="F784" t="s">
        <v>1070</v>
      </c>
      <c r="G784">
        <v>20170123</v>
      </c>
      <c r="H784">
        <v>20170402</v>
      </c>
      <c r="I784" t="s">
        <v>223</v>
      </c>
      <c r="L784" t="s">
        <v>34</v>
      </c>
      <c r="M784" t="s">
        <v>34</v>
      </c>
      <c r="N784" t="s">
        <v>35</v>
      </c>
      <c r="O784" t="s">
        <v>35</v>
      </c>
      <c r="P784" t="s">
        <v>35</v>
      </c>
      <c r="Q784" t="s">
        <v>35</v>
      </c>
      <c r="R784" t="s">
        <v>35</v>
      </c>
      <c r="S784" t="s">
        <v>34</v>
      </c>
      <c r="AD784">
        <v>20170124</v>
      </c>
      <c r="AF784" t="str">
        <f>IFERROR(VLOOKUP(RIGHT(TblFeedFile1[[#This Row],[Leave Type ]],6),LkupPayType[],2,FALSE),"TBD")</f>
        <v>TBD</v>
      </c>
      <c r="AG784" t="str">
        <f>IFERROR(VLOOKUP(TblFeedFile1[[#This Row],[ Report Number ]],LkupPayrollCycle[],2,FALSE),"TBD")</f>
        <v>Semi-Monthly</v>
      </c>
      <c r="AH784" t="str">
        <f>IF(TblFeedFile1[[#This Row],[Return to Work Date ]]="","","Y")</f>
        <v/>
      </c>
    </row>
    <row r="785" spans="1:34" x14ac:dyDescent="0.25">
      <c r="A785" t="s">
        <v>29</v>
      </c>
      <c r="B785">
        <v>314301</v>
      </c>
      <c r="C785">
        <v>25219581</v>
      </c>
      <c r="D785" s="1" t="s">
        <v>1071</v>
      </c>
      <c r="E785" t="s">
        <v>1072</v>
      </c>
      <c r="F785" t="s">
        <v>1073</v>
      </c>
      <c r="G785">
        <v>20170117</v>
      </c>
      <c r="H785">
        <v>20170201</v>
      </c>
      <c r="I785" t="s">
        <v>78</v>
      </c>
      <c r="K785" t="s">
        <v>219</v>
      </c>
      <c r="L785" t="s">
        <v>34</v>
      </c>
      <c r="M785" t="s">
        <v>34</v>
      </c>
      <c r="N785" t="s">
        <v>35</v>
      </c>
      <c r="O785" t="s">
        <v>35</v>
      </c>
      <c r="P785" t="s">
        <v>35</v>
      </c>
      <c r="Q785" t="s">
        <v>35</v>
      </c>
      <c r="R785" t="s">
        <v>35</v>
      </c>
      <c r="S785" t="s">
        <v>34</v>
      </c>
      <c r="AD785">
        <v>20170124</v>
      </c>
      <c r="AF785" t="str">
        <f>IFERROR(VLOOKUP(RIGHT(TblFeedFile1[[#This Row],[Leave Type ]],6),LkupPayType[],2,FALSE),"TBD")</f>
        <v>TBD</v>
      </c>
      <c r="AG785" t="str">
        <f>IFERROR(VLOOKUP(TblFeedFile1[[#This Row],[ Report Number ]],LkupPayrollCycle[],2,FALSE),"TBD")</f>
        <v>Semi-Monthly</v>
      </c>
      <c r="AH785" t="str">
        <f>IF(TblFeedFile1[[#This Row],[Return to Work Date ]]="","","Y")</f>
        <v/>
      </c>
    </row>
    <row r="786" spans="1:34" x14ac:dyDescent="0.25">
      <c r="A786" t="s">
        <v>37</v>
      </c>
      <c r="B786">
        <v>314301</v>
      </c>
      <c r="C786">
        <v>25219581</v>
      </c>
      <c r="D786" s="1" t="s">
        <v>1071</v>
      </c>
      <c r="E786" t="s">
        <v>1072</v>
      </c>
      <c r="F786" t="s">
        <v>1073</v>
      </c>
      <c r="G786">
        <v>20170117</v>
      </c>
      <c r="H786">
        <v>20170201</v>
      </c>
      <c r="I786" t="s">
        <v>155</v>
      </c>
      <c r="L786" t="s">
        <v>34</v>
      </c>
      <c r="M786" t="s">
        <v>34</v>
      </c>
      <c r="N786" t="s">
        <v>35</v>
      </c>
      <c r="O786" t="s">
        <v>35</v>
      </c>
      <c r="P786" t="s">
        <v>35</v>
      </c>
      <c r="Q786" t="s">
        <v>35</v>
      </c>
      <c r="R786" t="s">
        <v>35</v>
      </c>
      <c r="S786" t="s">
        <v>34</v>
      </c>
      <c r="AD786">
        <v>20170124</v>
      </c>
      <c r="AF786" t="str">
        <f>IFERROR(VLOOKUP(RIGHT(TblFeedFile1[[#This Row],[Leave Type ]],6),LkupPayType[],2,FALSE),"TBD")</f>
        <v>TBD</v>
      </c>
      <c r="AG786" t="str">
        <f>IFERROR(VLOOKUP(TblFeedFile1[[#This Row],[ Report Number ]],LkupPayrollCycle[],2,FALSE),"TBD")</f>
        <v>Semi-Monthly</v>
      </c>
      <c r="AH786" t="str">
        <f>IF(TblFeedFile1[[#This Row],[Return to Work Date ]]="","","Y")</f>
        <v/>
      </c>
    </row>
    <row r="787" spans="1:34" x14ac:dyDescent="0.25">
      <c r="A787" t="s">
        <v>37</v>
      </c>
      <c r="B787">
        <v>314304</v>
      </c>
      <c r="C787">
        <v>25230233</v>
      </c>
      <c r="D787" s="1" t="s">
        <v>1074</v>
      </c>
      <c r="E787" t="s">
        <v>192</v>
      </c>
      <c r="F787" t="s">
        <v>1075</v>
      </c>
      <c r="G787">
        <v>20170119</v>
      </c>
      <c r="H787">
        <v>20170219</v>
      </c>
      <c r="I787" t="s">
        <v>78</v>
      </c>
      <c r="K787" t="s">
        <v>79</v>
      </c>
      <c r="L787" t="s">
        <v>34</v>
      </c>
      <c r="M787" t="s">
        <v>34</v>
      </c>
      <c r="N787" t="s">
        <v>35</v>
      </c>
      <c r="O787" t="s">
        <v>35</v>
      </c>
      <c r="P787" t="s">
        <v>35</v>
      </c>
      <c r="Q787" t="s">
        <v>35</v>
      </c>
      <c r="R787" t="s">
        <v>35</v>
      </c>
      <c r="S787" t="s">
        <v>34</v>
      </c>
      <c r="AD787">
        <v>20170124</v>
      </c>
      <c r="AF787" t="str">
        <f>IFERROR(VLOOKUP(RIGHT(TblFeedFile1[[#This Row],[Leave Type ]],6),LkupPayType[],2,FALSE),"TBD")</f>
        <v>TBD</v>
      </c>
      <c r="AG787" t="str">
        <f>IFERROR(VLOOKUP(TblFeedFile1[[#This Row],[ Report Number ]],LkupPayrollCycle[],2,FALSE),"TBD")</f>
        <v>Bi-Weekly</v>
      </c>
      <c r="AH787" t="str">
        <f>IF(TblFeedFile1[[#This Row],[Return to Work Date ]]="","","Y")</f>
        <v/>
      </c>
    </row>
    <row r="788" spans="1:34" x14ac:dyDescent="0.25">
      <c r="A788" t="s">
        <v>37</v>
      </c>
      <c r="B788">
        <v>314304</v>
      </c>
      <c r="C788">
        <v>25230233</v>
      </c>
      <c r="D788" s="1">
        <v>511701238169</v>
      </c>
      <c r="E788" t="s">
        <v>192</v>
      </c>
      <c r="F788" t="s">
        <v>1075</v>
      </c>
      <c r="G788">
        <v>20170123</v>
      </c>
      <c r="H788">
        <v>20170219</v>
      </c>
      <c r="I788" t="s">
        <v>53</v>
      </c>
      <c r="L788" t="s">
        <v>34</v>
      </c>
      <c r="M788" t="s">
        <v>34</v>
      </c>
      <c r="N788" t="s">
        <v>35</v>
      </c>
      <c r="O788" t="s">
        <v>35</v>
      </c>
      <c r="P788" t="s">
        <v>35</v>
      </c>
      <c r="Q788" t="s">
        <v>35</v>
      </c>
      <c r="R788" t="s">
        <v>35</v>
      </c>
      <c r="S788" t="s">
        <v>34</v>
      </c>
      <c r="AD788">
        <v>20170124</v>
      </c>
      <c r="AF788" t="str">
        <f>IFERROR(VLOOKUP(RIGHT(TblFeedFile1[[#This Row],[Leave Type ]],6),LkupPayType[],2,FALSE),"TBD")</f>
        <v>TBD</v>
      </c>
      <c r="AG788" t="str">
        <f>IFERROR(VLOOKUP(TblFeedFile1[[#This Row],[ Report Number ]],LkupPayrollCycle[],2,FALSE),"TBD")</f>
        <v>Bi-Weekly</v>
      </c>
      <c r="AH788" t="str">
        <f>IF(TblFeedFile1[[#This Row],[Return to Work Date ]]="","","Y")</f>
        <v/>
      </c>
    </row>
    <row r="789" spans="1:34" x14ac:dyDescent="0.25">
      <c r="A789" t="s">
        <v>29</v>
      </c>
      <c r="B789">
        <v>314304</v>
      </c>
      <c r="C789">
        <v>25230957</v>
      </c>
      <c r="D789" s="1">
        <v>531701198683</v>
      </c>
      <c r="E789" t="s">
        <v>1076</v>
      </c>
      <c r="F789" t="s">
        <v>955</v>
      </c>
      <c r="G789">
        <v>20170120</v>
      </c>
      <c r="H789">
        <v>20170228</v>
      </c>
      <c r="I789" t="s">
        <v>53</v>
      </c>
      <c r="L789" t="s">
        <v>34</v>
      </c>
      <c r="M789" t="s">
        <v>34</v>
      </c>
      <c r="N789" t="s">
        <v>35</v>
      </c>
      <c r="O789" t="s">
        <v>35</v>
      </c>
      <c r="P789" t="s">
        <v>35</v>
      </c>
      <c r="Q789" t="s">
        <v>35</v>
      </c>
      <c r="R789" t="s">
        <v>35</v>
      </c>
      <c r="S789" t="s">
        <v>34</v>
      </c>
      <c r="AD789">
        <v>20170124</v>
      </c>
      <c r="AF789" t="str">
        <f>IFERROR(VLOOKUP(RIGHT(TblFeedFile1[[#This Row],[Leave Type ]],6),LkupPayType[],2,FALSE),"TBD")</f>
        <v>TBD</v>
      </c>
      <c r="AG789" t="str">
        <f>IFERROR(VLOOKUP(TblFeedFile1[[#This Row],[ Report Number ]],LkupPayrollCycle[],2,FALSE),"TBD")</f>
        <v>Bi-Weekly</v>
      </c>
      <c r="AH789" t="str">
        <f>IF(TblFeedFile1[[#This Row],[Return to Work Date ]]="","","Y")</f>
        <v/>
      </c>
    </row>
    <row r="790" spans="1:34" x14ac:dyDescent="0.25">
      <c r="A790" t="s">
        <v>37</v>
      </c>
      <c r="B790">
        <v>314304</v>
      </c>
      <c r="C790">
        <v>25230957</v>
      </c>
      <c r="D790" s="1">
        <v>531701198683</v>
      </c>
      <c r="E790" t="s">
        <v>1076</v>
      </c>
      <c r="F790" t="s">
        <v>955</v>
      </c>
      <c r="G790">
        <v>20170120</v>
      </c>
      <c r="H790">
        <v>20170228</v>
      </c>
      <c r="I790" t="s">
        <v>53</v>
      </c>
      <c r="L790" t="s">
        <v>34</v>
      </c>
      <c r="M790" t="s">
        <v>34</v>
      </c>
      <c r="N790" t="s">
        <v>34</v>
      </c>
      <c r="O790" t="s">
        <v>35</v>
      </c>
      <c r="P790" t="s">
        <v>35</v>
      </c>
      <c r="Q790" t="s">
        <v>35</v>
      </c>
      <c r="R790" t="s">
        <v>35</v>
      </c>
      <c r="S790" t="s">
        <v>35</v>
      </c>
      <c r="AD790">
        <v>20170124</v>
      </c>
      <c r="AF790" t="str">
        <f>IFERROR(VLOOKUP(RIGHT(TblFeedFile1[[#This Row],[Leave Type ]],6),LkupPayType[],2,FALSE),"TBD")</f>
        <v>TBD</v>
      </c>
      <c r="AG790" t="str">
        <f>IFERROR(VLOOKUP(TblFeedFile1[[#This Row],[ Report Number ]],LkupPayrollCycle[],2,FALSE),"TBD")</f>
        <v>Bi-Weekly</v>
      </c>
      <c r="AH790" t="str">
        <f>IF(TblFeedFile1[[#This Row],[Return to Work Date ]]="","","Y")</f>
        <v/>
      </c>
    </row>
    <row r="791" spans="1:34" x14ac:dyDescent="0.25">
      <c r="A791" t="s">
        <v>37</v>
      </c>
      <c r="B791">
        <v>314304</v>
      </c>
      <c r="C791">
        <v>25237733</v>
      </c>
      <c r="D791" s="1" t="s">
        <v>1077</v>
      </c>
      <c r="E791" t="s">
        <v>1078</v>
      </c>
      <c r="F791" t="s">
        <v>1079</v>
      </c>
      <c r="G791">
        <v>20170122</v>
      </c>
      <c r="H791">
        <v>20170122</v>
      </c>
      <c r="I791" t="s">
        <v>33</v>
      </c>
      <c r="L791" t="s">
        <v>34</v>
      </c>
      <c r="M791" t="s">
        <v>34</v>
      </c>
      <c r="N791" t="s">
        <v>35</v>
      </c>
      <c r="O791" t="s">
        <v>35</v>
      </c>
      <c r="P791" t="s">
        <v>35</v>
      </c>
      <c r="Q791" t="s">
        <v>35</v>
      </c>
      <c r="R791" t="s">
        <v>35</v>
      </c>
      <c r="S791" t="s">
        <v>34</v>
      </c>
      <c r="AD791">
        <v>20170124</v>
      </c>
      <c r="AF791" t="str">
        <f>IFERROR(VLOOKUP(RIGHT(TblFeedFile1[[#This Row],[Leave Type ]],6),LkupPayType[],2,FALSE),"TBD")</f>
        <v>TBD</v>
      </c>
      <c r="AG791" t="str">
        <f>IFERROR(VLOOKUP(TblFeedFile1[[#This Row],[ Report Number ]],LkupPayrollCycle[],2,FALSE),"TBD")</f>
        <v>Bi-Weekly</v>
      </c>
      <c r="AH791" t="str">
        <f>IF(TblFeedFile1[[#This Row],[Return to Work Date ]]="","","Y")</f>
        <v/>
      </c>
    </row>
    <row r="792" spans="1:34" x14ac:dyDescent="0.25">
      <c r="A792" t="s">
        <v>37</v>
      </c>
      <c r="B792">
        <v>314304</v>
      </c>
      <c r="C792">
        <v>25270699</v>
      </c>
      <c r="D792" s="1" t="s">
        <v>1080</v>
      </c>
      <c r="E792" t="s">
        <v>1081</v>
      </c>
      <c r="F792" t="s">
        <v>1082</v>
      </c>
      <c r="G792">
        <v>20170107</v>
      </c>
      <c r="H792">
        <v>20170207</v>
      </c>
      <c r="I792" t="s">
        <v>36</v>
      </c>
      <c r="L792" t="s">
        <v>34</v>
      </c>
      <c r="M792" t="s">
        <v>34</v>
      </c>
      <c r="N792" t="s">
        <v>35</v>
      </c>
      <c r="O792" t="s">
        <v>35</v>
      </c>
      <c r="P792" t="s">
        <v>35</v>
      </c>
      <c r="Q792" t="s">
        <v>35</v>
      </c>
      <c r="R792" t="s">
        <v>35</v>
      </c>
      <c r="S792" t="s">
        <v>34</v>
      </c>
      <c r="AD792">
        <v>20170124</v>
      </c>
      <c r="AF792" t="str">
        <f>IFERROR(VLOOKUP(RIGHT(TblFeedFile1[[#This Row],[Leave Type ]],6),LkupPayType[],2,FALSE),"TBD")</f>
        <v>TBD</v>
      </c>
      <c r="AG792" t="str">
        <f>IFERROR(VLOOKUP(TblFeedFile1[[#This Row],[ Report Number ]],LkupPayrollCycle[],2,FALSE),"TBD")</f>
        <v>Bi-Weekly</v>
      </c>
      <c r="AH792" t="str">
        <f>IF(TblFeedFile1[[#This Row],[Return to Work Date ]]="","","Y")</f>
        <v/>
      </c>
    </row>
    <row r="793" spans="1:34" x14ac:dyDescent="0.25">
      <c r="A793" t="s">
        <v>37</v>
      </c>
      <c r="B793">
        <v>314304</v>
      </c>
      <c r="C793">
        <v>25313524</v>
      </c>
      <c r="D793" s="1" t="s">
        <v>1083</v>
      </c>
      <c r="E793" t="s">
        <v>1084</v>
      </c>
      <c r="F793" t="s">
        <v>1085</v>
      </c>
      <c r="G793">
        <v>20170121</v>
      </c>
      <c r="H793">
        <v>20170127</v>
      </c>
      <c r="I793" t="s">
        <v>185</v>
      </c>
      <c r="L793" t="s">
        <v>34</v>
      </c>
      <c r="M793" t="s">
        <v>34</v>
      </c>
      <c r="N793" t="s">
        <v>35</v>
      </c>
      <c r="O793" t="s">
        <v>35</v>
      </c>
      <c r="P793" t="s">
        <v>35</v>
      </c>
      <c r="Q793" t="s">
        <v>35</v>
      </c>
      <c r="R793" t="s">
        <v>35</v>
      </c>
      <c r="S793" t="s">
        <v>34</v>
      </c>
      <c r="AC793" t="s">
        <v>35</v>
      </c>
      <c r="AD793">
        <v>20170124</v>
      </c>
      <c r="AF793" t="str">
        <f>IFERROR(VLOOKUP(RIGHT(TblFeedFile1[[#This Row],[Leave Type ]],6),LkupPayType[],2,FALSE),"TBD")</f>
        <v>TBD</v>
      </c>
      <c r="AG793" t="str">
        <f>IFERROR(VLOOKUP(TblFeedFile1[[#This Row],[ Report Number ]],LkupPayrollCycle[],2,FALSE),"TBD")</f>
        <v>Bi-Weekly</v>
      </c>
      <c r="AH793" t="str">
        <f>IF(TblFeedFile1[[#This Row],[Return to Work Date ]]="","","Y")</f>
        <v/>
      </c>
    </row>
    <row r="794" spans="1:34" x14ac:dyDescent="0.25">
      <c r="A794" t="s">
        <v>37</v>
      </c>
      <c r="B794">
        <v>314304</v>
      </c>
      <c r="C794">
        <v>25321720</v>
      </c>
      <c r="D794" s="1" t="s">
        <v>1086</v>
      </c>
      <c r="E794" t="s">
        <v>1087</v>
      </c>
      <c r="F794" t="s">
        <v>1088</v>
      </c>
      <c r="G794">
        <v>20170104</v>
      </c>
      <c r="H794">
        <v>20170213</v>
      </c>
      <c r="I794" t="s">
        <v>78</v>
      </c>
      <c r="K794" t="s">
        <v>79</v>
      </c>
      <c r="L794" t="s">
        <v>34</v>
      </c>
      <c r="M794" t="s">
        <v>34</v>
      </c>
      <c r="N794" t="s">
        <v>35</v>
      </c>
      <c r="O794" t="s">
        <v>35</v>
      </c>
      <c r="P794" t="s">
        <v>35</v>
      </c>
      <c r="Q794" t="s">
        <v>35</v>
      </c>
      <c r="R794" t="s">
        <v>35</v>
      </c>
      <c r="S794" t="s">
        <v>34</v>
      </c>
      <c r="AD794">
        <v>20170124</v>
      </c>
      <c r="AF794" t="str">
        <f>IFERROR(VLOOKUP(RIGHT(TblFeedFile1[[#This Row],[Leave Type ]],6),LkupPayType[],2,FALSE),"TBD")</f>
        <v>TBD</v>
      </c>
      <c r="AG794" t="str">
        <f>IFERROR(VLOOKUP(TblFeedFile1[[#This Row],[ Report Number ]],LkupPayrollCycle[],2,FALSE),"TBD")</f>
        <v>Bi-Weekly</v>
      </c>
      <c r="AH794" t="str">
        <f>IF(TblFeedFile1[[#This Row],[Return to Work Date ]]="","","Y")</f>
        <v/>
      </c>
    </row>
    <row r="795" spans="1:34" x14ac:dyDescent="0.25">
      <c r="A795" t="s">
        <v>37</v>
      </c>
      <c r="B795">
        <v>314304</v>
      </c>
      <c r="C795">
        <v>25321720</v>
      </c>
      <c r="D795" s="1">
        <v>511701238151</v>
      </c>
      <c r="E795" t="s">
        <v>1087</v>
      </c>
      <c r="F795" t="s">
        <v>1088</v>
      </c>
      <c r="G795">
        <v>20170109</v>
      </c>
      <c r="H795">
        <v>20170213</v>
      </c>
      <c r="I795" t="s">
        <v>53</v>
      </c>
      <c r="L795" t="s">
        <v>34</v>
      </c>
      <c r="M795" t="s">
        <v>34</v>
      </c>
      <c r="N795" t="s">
        <v>35</v>
      </c>
      <c r="O795" t="s">
        <v>35</v>
      </c>
      <c r="P795" t="s">
        <v>35</v>
      </c>
      <c r="Q795" t="s">
        <v>35</v>
      </c>
      <c r="R795" t="s">
        <v>35</v>
      </c>
      <c r="S795" t="s">
        <v>34</v>
      </c>
      <c r="AD795">
        <v>20170124</v>
      </c>
      <c r="AF795" t="str">
        <f>IFERROR(VLOOKUP(RIGHT(TblFeedFile1[[#This Row],[Leave Type ]],6),LkupPayType[],2,FALSE),"TBD")</f>
        <v>TBD</v>
      </c>
      <c r="AG795" t="str">
        <f>IFERROR(VLOOKUP(TblFeedFile1[[#This Row],[ Report Number ]],LkupPayrollCycle[],2,FALSE),"TBD")</f>
        <v>Bi-Weekly</v>
      </c>
      <c r="AH795" t="str">
        <f>IF(TblFeedFile1[[#This Row],[Return to Work Date ]]="","","Y")</f>
        <v/>
      </c>
    </row>
    <row r="796" spans="1:34" x14ac:dyDescent="0.25">
      <c r="A796" t="s">
        <v>37</v>
      </c>
      <c r="B796">
        <v>314304</v>
      </c>
      <c r="C796">
        <v>25321720</v>
      </c>
      <c r="D796" s="1">
        <v>511701238151</v>
      </c>
      <c r="E796" t="s">
        <v>1087</v>
      </c>
      <c r="F796" t="s">
        <v>1088</v>
      </c>
      <c r="G796">
        <v>20170116</v>
      </c>
      <c r="H796">
        <v>20170213</v>
      </c>
      <c r="I796" t="s">
        <v>40</v>
      </c>
      <c r="L796" t="s">
        <v>34</v>
      </c>
      <c r="M796" t="s">
        <v>34</v>
      </c>
      <c r="N796" t="s">
        <v>35</v>
      </c>
      <c r="O796" t="s">
        <v>35</v>
      </c>
      <c r="P796" t="s">
        <v>35</v>
      </c>
      <c r="Q796" t="s">
        <v>35</v>
      </c>
      <c r="R796" t="s">
        <v>35</v>
      </c>
      <c r="S796" t="s">
        <v>34</v>
      </c>
      <c r="AD796">
        <v>20170124</v>
      </c>
      <c r="AF796" t="str">
        <f>IFERROR(VLOOKUP(RIGHT(TblFeedFile1[[#This Row],[Leave Type ]],6),LkupPayType[],2,FALSE),"TBD")</f>
        <v>TBD</v>
      </c>
      <c r="AG796" t="str">
        <f>IFERROR(VLOOKUP(TblFeedFile1[[#This Row],[ Report Number ]],LkupPayrollCycle[],2,FALSE),"TBD")</f>
        <v>Bi-Weekly</v>
      </c>
      <c r="AH796" t="str">
        <f>IF(TblFeedFile1[[#This Row],[Return to Work Date ]]="","","Y")</f>
        <v/>
      </c>
    </row>
    <row r="797" spans="1:34" x14ac:dyDescent="0.25">
      <c r="A797" t="s">
        <v>37</v>
      </c>
      <c r="B797">
        <v>314304</v>
      </c>
      <c r="C797">
        <v>25321720</v>
      </c>
      <c r="D797" s="1" t="s">
        <v>1086</v>
      </c>
      <c r="E797" t="s">
        <v>1087</v>
      </c>
      <c r="F797" t="s">
        <v>1088</v>
      </c>
      <c r="G797">
        <v>20170123</v>
      </c>
      <c r="H797">
        <v>20170123</v>
      </c>
      <c r="I797" t="s">
        <v>33</v>
      </c>
      <c r="L797" t="s">
        <v>34</v>
      </c>
      <c r="M797" t="s">
        <v>34</v>
      </c>
      <c r="N797" t="s">
        <v>35</v>
      </c>
      <c r="O797" t="s">
        <v>35</v>
      </c>
      <c r="P797" t="s">
        <v>35</v>
      </c>
      <c r="Q797" t="s">
        <v>35</v>
      </c>
      <c r="R797" t="s">
        <v>35</v>
      </c>
      <c r="S797" t="s">
        <v>34</v>
      </c>
      <c r="AD797">
        <v>20170124</v>
      </c>
      <c r="AF797" t="str">
        <f>IFERROR(VLOOKUP(RIGHT(TblFeedFile1[[#This Row],[Leave Type ]],6),LkupPayType[],2,FALSE),"TBD")</f>
        <v>TBD</v>
      </c>
      <c r="AG797" t="str">
        <f>IFERROR(VLOOKUP(TblFeedFile1[[#This Row],[ Report Number ]],LkupPayrollCycle[],2,FALSE),"TBD")</f>
        <v>Bi-Weekly</v>
      </c>
      <c r="AH797" t="str">
        <f>IF(TblFeedFile1[[#This Row],[Return to Work Date ]]="","","Y")</f>
        <v/>
      </c>
    </row>
    <row r="798" spans="1:34" x14ac:dyDescent="0.25">
      <c r="A798" t="s">
        <v>37</v>
      </c>
      <c r="B798">
        <v>314304</v>
      </c>
      <c r="C798">
        <v>25325049</v>
      </c>
      <c r="D798" s="1">
        <v>551701208905</v>
      </c>
      <c r="E798" t="s">
        <v>904</v>
      </c>
      <c r="F798" t="s">
        <v>1089</v>
      </c>
      <c r="G798">
        <v>20170102</v>
      </c>
      <c r="H798">
        <v>20170331</v>
      </c>
      <c r="I798" t="s">
        <v>53</v>
      </c>
      <c r="L798" t="s">
        <v>34</v>
      </c>
      <c r="M798" t="s">
        <v>34</v>
      </c>
      <c r="N798" t="s">
        <v>35</v>
      </c>
      <c r="O798" t="s">
        <v>35</v>
      </c>
      <c r="P798" t="s">
        <v>35</v>
      </c>
      <c r="Q798" t="s">
        <v>35</v>
      </c>
      <c r="R798" t="s">
        <v>35</v>
      </c>
      <c r="S798" t="s">
        <v>34</v>
      </c>
      <c r="X798" t="s">
        <v>35</v>
      </c>
      <c r="AD798">
        <v>20170124</v>
      </c>
      <c r="AF798" t="str">
        <f>IFERROR(VLOOKUP(RIGHT(TblFeedFile1[[#This Row],[Leave Type ]],6),LkupPayType[],2,FALSE),"TBD")</f>
        <v>TBD</v>
      </c>
      <c r="AG798" t="str">
        <f>IFERROR(VLOOKUP(TblFeedFile1[[#This Row],[ Report Number ]],LkupPayrollCycle[],2,FALSE),"TBD")</f>
        <v>Bi-Weekly</v>
      </c>
      <c r="AH798" t="str">
        <f>IF(TblFeedFile1[[#This Row],[Return to Work Date ]]="","","Y")</f>
        <v/>
      </c>
    </row>
    <row r="799" spans="1:34" x14ac:dyDescent="0.25">
      <c r="A799" t="s">
        <v>37</v>
      </c>
      <c r="B799">
        <v>314304</v>
      </c>
      <c r="C799">
        <v>25325049</v>
      </c>
      <c r="D799" s="1">
        <v>551701208905</v>
      </c>
      <c r="E799" t="s">
        <v>904</v>
      </c>
      <c r="F799" t="s">
        <v>1089</v>
      </c>
      <c r="G799">
        <v>20170109</v>
      </c>
      <c r="H799">
        <v>20170331</v>
      </c>
      <c r="I799" t="s">
        <v>40</v>
      </c>
      <c r="L799" t="s">
        <v>34</v>
      </c>
      <c r="M799" t="s">
        <v>34</v>
      </c>
      <c r="N799" t="s">
        <v>35</v>
      </c>
      <c r="O799" t="s">
        <v>35</v>
      </c>
      <c r="P799" t="s">
        <v>35</v>
      </c>
      <c r="Q799" t="s">
        <v>35</v>
      </c>
      <c r="R799" t="s">
        <v>35</v>
      </c>
      <c r="S799" t="s">
        <v>34</v>
      </c>
      <c r="X799" t="s">
        <v>35</v>
      </c>
      <c r="AD799">
        <v>20170124</v>
      </c>
      <c r="AF799" t="str">
        <f>IFERROR(VLOOKUP(RIGHT(TblFeedFile1[[#This Row],[Leave Type ]],6),LkupPayType[],2,FALSE),"TBD")</f>
        <v>TBD</v>
      </c>
      <c r="AG799" t="str">
        <f>IFERROR(VLOOKUP(TblFeedFile1[[#This Row],[ Report Number ]],LkupPayrollCycle[],2,FALSE),"TBD")</f>
        <v>Bi-Weekly</v>
      </c>
      <c r="AH799" t="str">
        <f>IF(TblFeedFile1[[#This Row],[Return to Work Date ]]="","","Y")</f>
        <v/>
      </c>
    </row>
    <row r="800" spans="1:34" x14ac:dyDescent="0.25">
      <c r="A800" t="s">
        <v>29</v>
      </c>
      <c r="B800">
        <v>314304</v>
      </c>
      <c r="C800">
        <v>25332731</v>
      </c>
      <c r="D800" s="1" t="s">
        <v>1090</v>
      </c>
      <c r="E800" t="s">
        <v>1091</v>
      </c>
      <c r="F800" t="s">
        <v>1092</v>
      </c>
      <c r="G800">
        <v>20170117</v>
      </c>
      <c r="H800">
        <v>20170117</v>
      </c>
      <c r="I800" t="s">
        <v>33</v>
      </c>
      <c r="L800" t="s">
        <v>34</v>
      </c>
      <c r="M800" t="s">
        <v>35</v>
      </c>
      <c r="N800" t="s">
        <v>35</v>
      </c>
      <c r="O800" t="s">
        <v>35</v>
      </c>
      <c r="P800" t="s">
        <v>35</v>
      </c>
      <c r="Q800" t="s">
        <v>34</v>
      </c>
      <c r="R800" t="s">
        <v>34</v>
      </c>
      <c r="S800" t="s">
        <v>35</v>
      </c>
      <c r="AD800">
        <v>20170124</v>
      </c>
      <c r="AF800" t="str">
        <f>IFERROR(VLOOKUP(RIGHT(TblFeedFile1[[#This Row],[Leave Type ]],6),LkupPayType[],2,FALSE),"TBD")</f>
        <v>TBD</v>
      </c>
      <c r="AG800" t="str">
        <f>IFERROR(VLOOKUP(TblFeedFile1[[#This Row],[ Report Number ]],LkupPayrollCycle[],2,FALSE),"TBD")</f>
        <v>Bi-Weekly</v>
      </c>
      <c r="AH800" t="str">
        <f>IF(TblFeedFile1[[#This Row],[Return to Work Date ]]="","","Y")</f>
        <v/>
      </c>
    </row>
    <row r="801" spans="1:34" x14ac:dyDescent="0.25">
      <c r="A801" t="s">
        <v>29</v>
      </c>
      <c r="B801">
        <v>314304</v>
      </c>
      <c r="C801">
        <v>25332731</v>
      </c>
      <c r="D801" s="1" t="s">
        <v>1090</v>
      </c>
      <c r="E801" t="s">
        <v>1091</v>
      </c>
      <c r="F801" t="s">
        <v>1092</v>
      </c>
      <c r="G801">
        <v>20170109</v>
      </c>
      <c r="H801">
        <v>20170116</v>
      </c>
      <c r="I801" t="s">
        <v>36</v>
      </c>
      <c r="L801" t="s">
        <v>34</v>
      </c>
      <c r="M801" t="s">
        <v>35</v>
      </c>
      <c r="N801" t="s">
        <v>35</v>
      </c>
      <c r="O801" t="s">
        <v>35</v>
      </c>
      <c r="P801" t="s">
        <v>35</v>
      </c>
      <c r="Q801" t="s">
        <v>34</v>
      </c>
      <c r="R801" t="s">
        <v>34</v>
      </c>
      <c r="S801" t="s">
        <v>35</v>
      </c>
      <c r="AD801">
        <v>20170124</v>
      </c>
      <c r="AF801" t="str">
        <f>IFERROR(VLOOKUP(RIGHT(TblFeedFile1[[#This Row],[Leave Type ]],6),LkupPayType[],2,FALSE),"TBD")</f>
        <v>TBD</v>
      </c>
      <c r="AG801" t="str">
        <f>IFERROR(VLOOKUP(TblFeedFile1[[#This Row],[ Report Number ]],LkupPayrollCycle[],2,FALSE),"TBD")</f>
        <v>Bi-Weekly</v>
      </c>
      <c r="AH801" t="str">
        <f>IF(TblFeedFile1[[#This Row],[Return to Work Date ]]="","","Y")</f>
        <v/>
      </c>
    </row>
    <row r="802" spans="1:34" x14ac:dyDescent="0.25">
      <c r="A802" t="s">
        <v>37</v>
      </c>
      <c r="B802">
        <v>314304</v>
      </c>
      <c r="C802">
        <v>25332731</v>
      </c>
      <c r="D802" s="1" t="s">
        <v>1090</v>
      </c>
      <c r="E802" t="s">
        <v>1091</v>
      </c>
      <c r="F802" t="s">
        <v>1092</v>
      </c>
      <c r="G802">
        <v>20170109</v>
      </c>
      <c r="H802">
        <v>20170109</v>
      </c>
      <c r="I802" t="s">
        <v>43</v>
      </c>
      <c r="L802" t="s">
        <v>34</v>
      </c>
      <c r="M802" t="s">
        <v>35</v>
      </c>
      <c r="N802" t="s">
        <v>35</v>
      </c>
      <c r="O802" t="s">
        <v>35</v>
      </c>
      <c r="P802" t="s">
        <v>35</v>
      </c>
      <c r="Q802" t="s">
        <v>35</v>
      </c>
      <c r="R802" t="s">
        <v>35</v>
      </c>
      <c r="S802" t="s">
        <v>34</v>
      </c>
      <c r="AD802">
        <v>20170124</v>
      </c>
      <c r="AF802" t="str">
        <f>IFERROR(VLOOKUP(RIGHT(TblFeedFile1[[#This Row],[Leave Type ]],6),LkupPayType[],2,FALSE),"TBD")</f>
        <v>TBD</v>
      </c>
      <c r="AG802" t="str">
        <f>IFERROR(VLOOKUP(TblFeedFile1[[#This Row],[ Report Number ]],LkupPayrollCycle[],2,FALSE),"TBD")</f>
        <v>Bi-Weekly</v>
      </c>
      <c r="AH802" t="str">
        <f>IF(TblFeedFile1[[#This Row],[Return to Work Date ]]="","","Y")</f>
        <v/>
      </c>
    </row>
    <row r="803" spans="1:34" x14ac:dyDescent="0.25">
      <c r="A803" t="s">
        <v>29</v>
      </c>
      <c r="B803">
        <v>314304</v>
      </c>
      <c r="C803">
        <v>25334404</v>
      </c>
      <c r="D803" s="1" t="s">
        <v>1093</v>
      </c>
      <c r="E803" t="s">
        <v>1094</v>
      </c>
      <c r="F803" t="s">
        <v>1095</v>
      </c>
      <c r="G803">
        <v>20170108</v>
      </c>
      <c r="H803">
        <v>20170108</v>
      </c>
      <c r="I803" t="s">
        <v>33</v>
      </c>
      <c r="L803" t="s">
        <v>34</v>
      </c>
      <c r="M803" t="s">
        <v>34</v>
      </c>
      <c r="N803" t="s">
        <v>35</v>
      </c>
      <c r="O803" t="s">
        <v>35</v>
      </c>
      <c r="P803" t="s">
        <v>35</v>
      </c>
      <c r="Q803" t="s">
        <v>35</v>
      </c>
      <c r="R803" t="s">
        <v>35</v>
      </c>
      <c r="S803" t="s">
        <v>34</v>
      </c>
      <c r="AC803" t="s">
        <v>35</v>
      </c>
      <c r="AD803">
        <v>20170124</v>
      </c>
      <c r="AF803" t="str">
        <f>IFERROR(VLOOKUP(RIGHT(TblFeedFile1[[#This Row],[Leave Type ]],6),LkupPayType[],2,FALSE),"TBD")</f>
        <v>TBD</v>
      </c>
      <c r="AG803" t="str">
        <f>IFERROR(VLOOKUP(TblFeedFile1[[#This Row],[ Report Number ]],LkupPayrollCycle[],2,FALSE),"TBD")</f>
        <v>Bi-Weekly</v>
      </c>
      <c r="AH803" t="str">
        <f>IF(TblFeedFile1[[#This Row],[Return to Work Date ]]="","","Y")</f>
        <v/>
      </c>
    </row>
    <row r="804" spans="1:34" x14ac:dyDescent="0.25">
      <c r="A804" t="s">
        <v>29</v>
      </c>
      <c r="B804">
        <v>314304</v>
      </c>
      <c r="C804">
        <v>25334404</v>
      </c>
      <c r="D804" s="1" t="s">
        <v>1093</v>
      </c>
      <c r="E804" t="s">
        <v>1094</v>
      </c>
      <c r="F804" t="s">
        <v>1095</v>
      </c>
      <c r="G804">
        <v>20161222</v>
      </c>
      <c r="H804">
        <v>20170107</v>
      </c>
      <c r="I804" t="s">
        <v>49</v>
      </c>
      <c r="L804" t="s">
        <v>34</v>
      </c>
      <c r="M804" t="s">
        <v>34</v>
      </c>
      <c r="N804" t="s">
        <v>35</v>
      </c>
      <c r="O804" t="s">
        <v>35</v>
      </c>
      <c r="P804" t="s">
        <v>35</v>
      </c>
      <c r="Q804" t="s">
        <v>35</v>
      </c>
      <c r="R804" t="s">
        <v>35</v>
      </c>
      <c r="S804" t="s">
        <v>34</v>
      </c>
      <c r="AC804" t="s">
        <v>35</v>
      </c>
      <c r="AD804">
        <v>20170124</v>
      </c>
      <c r="AF804" t="str">
        <f>IFERROR(VLOOKUP(RIGHT(TblFeedFile1[[#This Row],[Leave Type ]],6),LkupPayType[],2,FALSE),"TBD")</f>
        <v>TBD</v>
      </c>
      <c r="AG804" t="str">
        <f>IFERROR(VLOOKUP(TblFeedFile1[[#This Row],[ Report Number ]],LkupPayrollCycle[],2,FALSE),"TBD")</f>
        <v>Bi-Weekly</v>
      </c>
      <c r="AH804" t="str">
        <f>IF(TblFeedFile1[[#This Row],[Return to Work Date ]]="","","Y")</f>
        <v/>
      </c>
    </row>
    <row r="805" spans="1:34" x14ac:dyDescent="0.25">
      <c r="A805" t="s">
        <v>37</v>
      </c>
      <c r="B805">
        <v>314304</v>
      </c>
      <c r="C805">
        <v>25334404</v>
      </c>
      <c r="D805" s="1" t="s">
        <v>1093</v>
      </c>
      <c r="E805" t="s">
        <v>1094</v>
      </c>
      <c r="F805" t="s">
        <v>1095</v>
      </c>
      <c r="G805">
        <v>20161216</v>
      </c>
      <c r="H805">
        <v>20170216</v>
      </c>
      <c r="I805" t="s">
        <v>49</v>
      </c>
      <c r="L805" t="s">
        <v>34</v>
      </c>
      <c r="M805" t="s">
        <v>34</v>
      </c>
      <c r="N805" t="s">
        <v>35</v>
      </c>
      <c r="O805" t="s">
        <v>35</v>
      </c>
      <c r="P805" t="s">
        <v>35</v>
      </c>
      <c r="Q805" t="s">
        <v>35</v>
      </c>
      <c r="R805" t="s">
        <v>35</v>
      </c>
      <c r="S805" t="s">
        <v>34</v>
      </c>
      <c r="AC805" t="s">
        <v>35</v>
      </c>
      <c r="AD805">
        <v>20170124</v>
      </c>
      <c r="AF805" t="str">
        <f>IFERROR(VLOOKUP(RIGHT(TblFeedFile1[[#This Row],[Leave Type ]],6),LkupPayType[],2,FALSE),"TBD")</f>
        <v>TBD</v>
      </c>
      <c r="AG805" t="str">
        <f>IFERROR(VLOOKUP(TblFeedFile1[[#This Row],[ Report Number ]],LkupPayrollCycle[],2,FALSE),"TBD")</f>
        <v>Bi-Weekly</v>
      </c>
      <c r="AH805" t="str">
        <f>IF(TblFeedFile1[[#This Row],[Return to Work Date ]]="","","Y")</f>
        <v/>
      </c>
    </row>
    <row r="806" spans="1:34" x14ac:dyDescent="0.25">
      <c r="A806" t="s">
        <v>29</v>
      </c>
      <c r="B806">
        <v>314304</v>
      </c>
      <c r="C806">
        <v>25341387</v>
      </c>
      <c r="D806" s="1">
        <v>521701058282</v>
      </c>
      <c r="E806" t="s">
        <v>1096</v>
      </c>
      <c r="F806" t="s">
        <v>1097</v>
      </c>
      <c r="G806">
        <v>20170117</v>
      </c>
      <c r="H806">
        <v>20170609</v>
      </c>
      <c r="I806" t="s">
        <v>53</v>
      </c>
      <c r="L806" t="s">
        <v>34</v>
      </c>
      <c r="M806" t="s">
        <v>34</v>
      </c>
      <c r="N806" t="s">
        <v>35</v>
      </c>
      <c r="O806" t="s">
        <v>35</v>
      </c>
      <c r="P806" t="s">
        <v>35</v>
      </c>
      <c r="Q806" t="s">
        <v>35</v>
      </c>
      <c r="R806" t="s">
        <v>35</v>
      </c>
      <c r="S806" t="s">
        <v>34</v>
      </c>
      <c r="AD806">
        <v>20170124</v>
      </c>
      <c r="AF806" t="str">
        <f>IFERROR(VLOOKUP(RIGHT(TblFeedFile1[[#This Row],[Leave Type ]],6),LkupPayType[],2,FALSE),"TBD")</f>
        <v>TBD</v>
      </c>
      <c r="AG806" t="str">
        <f>IFERROR(VLOOKUP(TblFeedFile1[[#This Row],[ Report Number ]],LkupPayrollCycle[],2,FALSE),"TBD")</f>
        <v>Bi-Weekly</v>
      </c>
      <c r="AH806" t="str">
        <f>IF(TblFeedFile1[[#This Row],[Return to Work Date ]]="","","Y")</f>
        <v/>
      </c>
    </row>
    <row r="807" spans="1:34" x14ac:dyDescent="0.25">
      <c r="A807" t="s">
        <v>37</v>
      </c>
      <c r="B807">
        <v>314304</v>
      </c>
      <c r="C807">
        <v>25341387</v>
      </c>
      <c r="D807" s="1">
        <v>521701058282</v>
      </c>
      <c r="E807" t="s">
        <v>1096</v>
      </c>
      <c r="F807" t="s">
        <v>1097</v>
      </c>
      <c r="G807">
        <v>20170117</v>
      </c>
      <c r="H807">
        <v>20170309</v>
      </c>
      <c r="I807" t="s">
        <v>53</v>
      </c>
      <c r="L807" t="s">
        <v>34</v>
      </c>
      <c r="M807" t="s">
        <v>34</v>
      </c>
      <c r="N807" t="s">
        <v>35</v>
      </c>
      <c r="O807" t="s">
        <v>35</v>
      </c>
      <c r="P807" t="s">
        <v>35</v>
      </c>
      <c r="Q807" t="s">
        <v>35</v>
      </c>
      <c r="R807" t="s">
        <v>35</v>
      </c>
      <c r="S807" t="s">
        <v>34</v>
      </c>
      <c r="AD807">
        <v>20170124</v>
      </c>
      <c r="AF807" t="str">
        <f>IFERROR(VLOOKUP(RIGHT(TblFeedFile1[[#This Row],[Leave Type ]],6),LkupPayType[],2,FALSE),"TBD")</f>
        <v>TBD</v>
      </c>
      <c r="AG807" t="str">
        <f>IFERROR(VLOOKUP(TblFeedFile1[[#This Row],[ Report Number ]],LkupPayrollCycle[],2,FALSE),"TBD")</f>
        <v>Bi-Weekly</v>
      </c>
      <c r="AH807" t="str">
        <f>IF(TblFeedFile1[[#This Row],[Return to Work Date ]]="","","Y")</f>
        <v/>
      </c>
    </row>
    <row r="808" spans="1:34" x14ac:dyDescent="0.25">
      <c r="A808" t="s">
        <v>37</v>
      </c>
      <c r="B808">
        <v>314304</v>
      </c>
      <c r="C808">
        <v>25341387</v>
      </c>
      <c r="D808" s="1">
        <v>521701058282</v>
      </c>
      <c r="E808" t="s">
        <v>1096</v>
      </c>
      <c r="F808" t="s">
        <v>1097</v>
      </c>
      <c r="G808">
        <v>20170124</v>
      </c>
      <c r="H808">
        <v>20170309</v>
      </c>
      <c r="I808" t="s">
        <v>40</v>
      </c>
      <c r="L808" t="s">
        <v>34</v>
      </c>
      <c r="M808" t="s">
        <v>34</v>
      </c>
      <c r="N808" t="s">
        <v>35</v>
      </c>
      <c r="O808" t="s">
        <v>35</v>
      </c>
      <c r="P808" t="s">
        <v>35</v>
      </c>
      <c r="Q808" t="s">
        <v>35</v>
      </c>
      <c r="R808" t="s">
        <v>35</v>
      </c>
      <c r="S808" t="s">
        <v>34</v>
      </c>
      <c r="AD808">
        <v>20170124</v>
      </c>
      <c r="AF808" t="str">
        <f>IFERROR(VLOOKUP(RIGHT(TblFeedFile1[[#This Row],[Leave Type ]],6),LkupPayType[],2,FALSE),"TBD")</f>
        <v>TBD</v>
      </c>
      <c r="AG808" t="str">
        <f>IFERROR(VLOOKUP(TblFeedFile1[[#This Row],[ Report Number ]],LkupPayrollCycle[],2,FALSE),"TBD")</f>
        <v>Bi-Weekly</v>
      </c>
      <c r="AH808" t="str">
        <f>IF(TblFeedFile1[[#This Row],[Return to Work Date ]]="","","Y")</f>
        <v/>
      </c>
    </row>
    <row r="809" spans="1:34" x14ac:dyDescent="0.25">
      <c r="A809" t="s">
        <v>29</v>
      </c>
      <c r="B809">
        <v>314304</v>
      </c>
      <c r="C809">
        <v>25350226</v>
      </c>
      <c r="D809" s="1" t="s">
        <v>1098</v>
      </c>
      <c r="E809" t="s">
        <v>1099</v>
      </c>
      <c r="F809" t="s">
        <v>1100</v>
      </c>
      <c r="G809">
        <v>20170103</v>
      </c>
      <c r="H809">
        <v>20170103</v>
      </c>
      <c r="I809" t="s">
        <v>33</v>
      </c>
      <c r="L809" t="s">
        <v>34</v>
      </c>
      <c r="M809" t="s">
        <v>34</v>
      </c>
      <c r="N809" t="s">
        <v>35</v>
      </c>
      <c r="O809" t="s">
        <v>35</v>
      </c>
      <c r="P809" t="s">
        <v>35</v>
      </c>
      <c r="Q809" t="s">
        <v>35</v>
      </c>
      <c r="R809" t="s">
        <v>35</v>
      </c>
      <c r="S809" t="s">
        <v>34</v>
      </c>
      <c r="AC809" t="s">
        <v>35</v>
      </c>
      <c r="AD809">
        <v>20170124</v>
      </c>
      <c r="AF809" t="str">
        <f>IFERROR(VLOOKUP(RIGHT(TblFeedFile1[[#This Row],[Leave Type ]],6),LkupPayType[],2,FALSE),"TBD")</f>
        <v>TBD</v>
      </c>
      <c r="AG809" t="str">
        <f>IFERROR(VLOOKUP(TblFeedFile1[[#This Row],[ Report Number ]],LkupPayrollCycle[],2,FALSE),"TBD")</f>
        <v>Bi-Weekly</v>
      </c>
      <c r="AH809" t="str">
        <f>IF(TblFeedFile1[[#This Row],[Return to Work Date ]]="","","Y")</f>
        <v/>
      </c>
    </row>
    <row r="810" spans="1:34" x14ac:dyDescent="0.25">
      <c r="A810" t="s">
        <v>29</v>
      </c>
      <c r="B810">
        <v>314304</v>
      </c>
      <c r="C810">
        <v>25350226</v>
      </c>
      <c r="D810" s="1" t="s">
        <v>1098</v>
      </c>
      <c r="E810" t="s">
        <v>1099</v>
      </c>
      <c r="F810" t="s">
        <v>1100</v>
      </c>
      <c r="G810">
        <v>20161219</v>
      </c>
      <c r="H810">
        <v>20170102</v>
      </c>
      <c r="I810" t="s">
        <v>49</v>
      </c>
      <c r="L810" t="s">
        <v>34</v>
      </c>
      <c r="M810" t="s">
        <v>34</v>
      </c>
      <c r="N810" t="s">
        <v>35</v>
      </c>
      <c r="O810" t="s">
        <v>35</v>
      </c>
      <c r="P810" t="s">
        <v>35</v>
      </c>
      <c r="Q810" t="s">
        <v>35</v>
      </c>
      <c r="R810" t="s">
        <v>35</v>
      </c>
      <c r="S810" t="s">
        <v>34</v>
      </c>
      <c r="AC810" t="s">
        <v>35</v>
      </c>
      <c r="AD810">
        <v>20170124</v>
      </c>
      <c r="AF810" t="str">
        <f>IFERROR(VLOOKUP(RIGHT(TblFeedFile1[[#This Row],[Leave Type ]],6),LkupPayType[],2,FALSE),"TBD")</f>
        <v>TBD</v>
      </c>
      <c r="AG810" t="str">
        <f>IFERROR(VLOOKUP(TblFeedFile1[[#This Row],[ Report Number ]],LkupPayrollCycle[],2,FALSE),"TBD")</f>
        <v>Bi-Weekly</v>
      </c>
      <c r="AH810" t="str">
        <f>IF(TblFeedFile1[[#This Row],[Return to Work Date ]]="","","Y")</f>
        <v/>
      </c>
    </row>
    <row r="811" spans="1:34" x14ac:dyDescent="0.25">
      <c r="A811" t="s">
        <v>37</v>
      </c>
      <c r="B811">
        <v>314304</v>
      </c>
      <c r="C811">
        <v>25350226</v>
      </c>
      <c r="D811" s="1" t="s">
        <v>1098</v>
      </c>
      <c r="E811" t="s">
        <v>1099</v>
      </c>
      <c r="F811" t="s">
        <v>1100</v>
      </c>
      <c r="G811">
        <v>20161219</v>
      </c>
      <c r="H811">
        <v>20161228</v>
      </c>
      <c r="I811" t="s">
        <v>49</v>
      </c>
      <c r="L811" t="s">
        <v>34</v>
      </c>
      <c r="M811" t="s">
        <v>34</v>
      </c>
      <c r="N811" t="s">
        <v>35</v>
      </c>
      <c r="O811" t="s">
        <v>35</v>
      </c>
      <c r="P811" t="s">
        <v>35</v>
      </c>
      <c r="Q811" t="s">
        <v>35</v>
      </c>
      <c r="R811" t="s">
        <v>35</v>
      </c>
      <c r="S811" t="s">
        <v>34</v>
      </c>
      <c r="T811">
        <v>20161229</v>
      </c>
      <c r="AC811" t="s">
        <v>35</v>
      </c>
      <c r="AD811">
        <v>20170124</v>
      </c>
      <c r="AF811" t="str">
        <f>IFERROR(VLOOKUP(RIGHT(TblFeedFile1[[#This Row],[Leave Type ]],6),LkupPayType[],2,FALSE),"TBD")</f>
        <v>TBD</v>
      </c>
      <c r="AG811" t="str">
        <f>IFERROR(VLOOKUP(TblFeedFile1[[#This Row],[ Report Number ]],LkupPayrollCycle[],2,FALSE),"TBD")</f>
        <v>Bi-Weekly</v>
      </c>
      <c r="AH811" t="str">
        <f>IF(TblFeedFile1[[#This Row],[Return to Work Date ]]="","","Y")</f>
        <v>Y</v>
      </c>
    </row>
    <row r="812" spans="1:34" x14ac:dyDescent="0.25">
      <c r="A812" t="s">
        <v>37</v>
      </c>
      <c r="B812">
        <v>314301</v>
      </c>
      <c r="C812">
        <v>25371434</v>
      </c>
      <c r="D812" s="1" t="s">
        <v>1101</v>
      </c>
      <c r="E812" t="s">
        <v>1102</v>
      </c>
      <c r="F812" t="s">
        <v>1103</v>
      </c>
      <c r="G812">
        <v>20170112</v>
      </c>
      <c r="H812">
        <v>20170512</v>
      </c>
      <c r="I812" t="s">
        <v>78</v>
      </c>
      <c r="K812" t="s">
        <v>79</v>
      </c>
      <c r="L812" t="s">
        <v>34</v>
      </c>
      <c r="M812" t="s">
        <v>34</v>
      </c>
      <c r="N812" t="s">
        <v>35</v>
      </c>
      <c r="O812" t="s">
        <v>35</v>
      </c>
      <c r="P812" t="s">
        <v>35</v>
      </c>
      <c r="Q812" t="s">
        <v>35</v>
      </c>
      <c r="R812" t="s">
        <v>35</v>
      </c>
      <c r="S812" t="s">
        <v>34</v>
      </c>
      <c r="AD812">
        <v>20170124</v>
      </c>
      <c r="AF812" t="str">
        <f>IFERROR(VLOOKUP(RIGHT(TblFeedFile1[[#This Row],[Leave Type ]],6),LkupPayType[],2,FALSE),"TBD")</f>
        <v>TBD</v>
      </c>
      <c r="AG812" t="str">
        <f>IFERROR(VLOOKUP(TblFeedFile1[[#This Row],[ Report Number ]],LkupPayrollCycle[],2,FALSE),"TBD")</f>
        <v>Semi-Monthly</v>
      </c>
      <c r="AH812" t="str">
        <f>IF(TblFeedFile1[[#This Row],[Return to Work Date ]]="","","Y")</f>
        <v/>
      </c>
    </row>
    <row r="813" spans="1:34" x14ac:dyDescent="0.25">
      <c r="A813" t="s">
        <v>37</v>
      </c>
      <c r="B813">
        <v>314301</v>
      </c>
      <c r="C813">
        <v>25371434</v>
      </c>
      <c r="D813" s="1">
        <v>521701238322</v>
      </c>
      <c r="E813" t="s">
        <v>1102</v>
      </c>
      <c r="F813" t="s">
        <v>1103</v>
      </c>
      <c r="G813">
        <v>20170113</v>
      </c>
      <c r="H813">
        <v>20170512</v>
      </c>
      <c r="I813" t="s">
        <v>53</v>
      </c>
      <c r="L813" t="s">
        <v>34</v>
      </c>
      <c r="M813" t="s">
        <v>34</v>
      </c>
      <c r="N813" t="s">
        <v>35</v>
      </c>
      <c r="O813" t="s">
        <v>35</v>
      </c>
      <c r="P813" t="s">
        <v>35</v>
      </c>
      <c r="Q813" t="s">
        <v>35</v>
      </c>
      <c r="R813" t="s">
        <v>35</v>
      </c>
      <c r="S813" t="s">
        <v>34</v>
      </c>
      <c r="AD813">
        <v>20170124</v>
      </c>
      <c r="AF813" t="str">
        <f>IFERROR(VLOOKUP(RIGHT(TblFeedFile1[[#This Row],[Leave Type ]],6),LkupPayType[],2,FALSE),"TBD")</f>
        <v>TBD</v>
      </c>
      <c r="AG813" t="str">
        <f>IFERROR(VLOOKUP(TblFeedFile1[[#This Row],[ Report Number ]],LkupPayrollCycle[],2,FALSE),"TBD")</f>
        <v>Semi-Monthly</v>
      </c>
      <c r="AH813" t="str">
        <f>IF(TblFeedFile1[[#This Row],[Return to Work Date ]]="","","Y")</f>
        <v/>
      </c>
    </row>
    <row r="814" spans="1:34" x14ac:dyDescent="0.25">
      <c r="A814" t="s">
        <v>37</v>
      </c>
      <c r="B814">
        <v>314301</v>
      </c>
      <c r="C814">
        <v>25371434</v>
      </c>
      <c r="D814" s="1">
        <v>521701238322</v>
      </c>
      <c r="E814" t="s">
        <v>1102</v>
      </c>
      <c r="F814" t="s">
        <v>1103</v>
      </c>
      <c r="G814">
        <v>20170120</v>
      </c>
      <c r="H814">
        <v>20170512</v>
      </c>
      <c r="I814" t="s">
        <v>40</v>
      </c>
      <c r="L814" t="s">
        <v>34</v>
      </c>
      <c r="M814" t="s">
        <v>34</v>
      </c>
      <c r="N814" t="s">
        <v>35</v>
      </c>
      <c r="O814" t="s">
        <v>35</v>
      </c>
      <c r="P814" t="s">
        <v>35</v>
      </c>
      <c r="Q814" t="s">
        <v>35</v>
      </c>
      <c r="R814" t="s">
        <v>35</v>
      </c>
      <c r="S814" t="s">
        <v>34</v>
      </c>
      <c r="Y814">
        <v>170</v>
      </c>
      <c r="Z814" t="s">
        <v>341</v>
      </c>
      <c r="AA814">
        <v>20170120</v>
      </c>
      <c r="AB814">
        <v>20170713</v>
      </c>
      <c r="AD814">
        <v>20170124</v>
      </c>
      <c r="AF814" t="str">
        <f>IFERROR(VLOOKUP(RIGHT(TblFeedFile1[[#This Row],[Leave Type ]],6),LkupPayType[],2,FALSE),"TBD")</f>
        <v>TBD</v>
      </c>
      <c r="AG814" t="str">
        <f>IFERROR(VLOOKUP(TblFeedFile1[[#This Row],[ Report Number ]],LkupPayrollCycle[],2,FALSE),"TBD")</f>
        <v>Semi-Monthly</v>
      </c>
      <c r="AH814" t="str">
        <f>IF(TblFeedFile1[[#This Row],[Return to Work Date ]]="","","Y")</f>
        <v/>
      </c>
    </row>
    <row r="815" spans="1:34" x14ac:dyDescent="0.25">
      <c r="A815" t="s">
        <v>29</v>
      </c>
      <c r="B815">
        <v>314301</v>
      </c>
      <c r="C815">
        <v>25390901</v>
      </c>
      <c r="D815" s="1" t="s">
        <v>1104</v>
      </c>
      <c r="E815" t="s">
        <v>1105</v>
      </c>
      <c r="F815" t="s">
        <v>1106</v>
      </c>
      <c r="G815">
        <v>20150228</v>
      </c>
      <c r="H815">
        <v>20170203</v>
      </c>
      <c r="I815" t="s">
        <v>156</v>
      </c>
      <c r="L815" t="s">
        <v>34</v>
      </c>
      <c r="M815" t="s">
        <v>34</v>
      </c>
      <c r="N815" t="s">
        <v>35</v>
      </c>
      <c r="O815" t="s">
        <v>35</v>
      </c>
      <c r="P815" t="s">
        <v>35</v>
      </c>
      <c r="Q815" t="s">
        <v>35</v>
      </c>
      <c r="R815" t="s">
        <v>35</v>
      </c>
      <c r="S815" t="s">
        <v>34</v>
      </c>
      <c r="AC815" t="s">
        <v>35</v>
      </c>
      <c r="AD815">
        <v>20170124</v>
      </c>
      <c r="AF815" t="str">
        <f>IFERROR(VLOOKUP(RIGHT(TblFeedFile1[[#This Row],[Leave Type ]],6),LkupPayType[],2,FALSE),"TBD")</f>
        <v>TBD</v>
      </c>
      <c r="AG815" t="str">
        <f>IFERROR(VLOOKUP(TblFeedFile1[[#This Row],[ Report Number ]],LkupPayrollCycle[],2,FALSE),"TBD")</f>
        <v>Semi-Monthly</v>
      </c>
      <c r="AH815" t="str">
        <f>IF(TblFeedFile1[[#This Row],[Return to Work Date ]]="","","Y")</f>
        <v/>
      </c>
    </row>
    <row r="816" spans="1:34" x14ac:dyDescent="0.25">
      <c r="A816" t="s">
        <v>29</v>
      </c>
      <c r="B816">
        <v>314301</v>
      </c>
      <c r="C816">
        <v>25390901</v>
      </c>
      <c r="D816" s="1" t="s">
        <v>1104</v>
      </c>
      <c r="E816" t="s">
        <v>1105</v>
      </c>
      <c r="F816" t="s">
        <v>1106</v>
      </c>
      <c r="G816">
        <v>20141128</v>
      </c>
      <c r="H816">
        <v>20170203</v>
      </c>
      <c r="I816" t="s">
        <v>155</v>
      </c>
      <c r="L816" t="s">
        <v>34</v>
      </c>
      <c r="M816" t="s">
        <v>34</v>
      </c>
      <c r="N816" t="s">
        <v>35</v>
      </c>
      <c r="O816" t="s">
        <v>35</v>
      </c>
      <c r="P816" t="s">
        <v>35</v>
      </c>
      <c r="Q816" t="s">
        <v>35</v>
      </c>
      <c r="R816" t="s">
        <v>35</v>
      </c>
      <c r="S816" t="s">
        <v>34</v>
      </c>
      <c r="AC816" t="s">
        <v>35</v>
      </c>
      <c r="AD816">
        <v>20170124</v>
      </c>
      <c r="AF816" t="str">
        <f>IFERROR(VLOOKUP(RIGHT(TblFeedFile1[[#This Row],[Leave Type ]],6),LkupPayType[],2,FALSE),"TBD")</f>
        <v>TBD</v>
      </c>
      <c r="AG816" t="str">
        <f>IFERROR(VLOOKUP(TblFeedFile1[[#This Row],[ Report Number ]],LkupPayrollCycle[],2,FALSE),"TBD")</f>
        <v>Semi-Monthly</v>
      </c>
      <c r="AH816" t="str">
        <f>IF(TblFeedFile1[[#This Row],[Return to Work Date ]]="","","Y")</f>
        <v/>
      </c>
    </row>
    <row r="817" spans="1:34" x14ac:dyDescent="0.25">
      <c r="A817" t="s">
        <v>37</v>
      </c>
      <c r="B817">
        <v>314304</v>
      </c>
      <c r="C817">
        <v>25401228</v>
      </c>
      <c r="D817" s="1" t="s">
        <v>1107</v>
      </c>
      <c r="E817" t="s">
        <v>1108</v>
      </c>
      <c r="F817" t="s">
        <v>1109</v>
      </c>
      <c r="G817">
        <v>20170123</v>
      </c>
      <c r="H817">
        <v>20170303</v>
      </c>
      <c r="I817" t="s">
        <v>36</v>
      </c>
      <c r="L817" t="s">
        <v>34</v>
      </c>
      <c r="M817" t="s">
        <v>34</v>
      </c>
      <c r="N817" t="s">
        <v>35</v>
      </c>
      <c r="O817" t="s">
        <v>35</v>
      </c>
      <c r="P817" t="s">
        <v>35</v>
      </c>
      <c r="Q817" t="s">
        <v>35</v>
      </c>
      <c r="R817" t="s">
        <v>35</v>
      </c>
      <c r="S817" t="s">
        <v>34</v>
      </c>
      <c r="X817" t="s">
        <v>35</v>
      </c>
      <c r="AD817">
        <v>20170124</v>
      </c>
      <c r="AF817" t="str">
        <f>IFERROR(VLOOKUP(RIGHT(TblFeedFile1[[#This Row],[Leave Type ]],6),LkupPayType[],2,FALSE),"TBD")</f>
        <v>TBD</v>
      </c>
      <c r="AG817" t="str">
        <f>IFERROR(VLOOKUP(TblFeedFile1[[#This Row],[ Report Number ]],LkupPayrollCycle[],2,FALSE),"TBD")</f>
        <v>Bi-Weekly</v>
      </c>
      <c r="AH817" t="str">
        <f>IF(TblFeedFile1[[#This Row],[Return to Work Date ]]="","","Y")</f>
        <v/>
      </c>
    </row>
    <row r="818" spans="1:34" x14ac:dyDescent="0.25">
      <c r="A818" t="s">
        <v>37</v>
      </c>
      <c r="B818">
        <v>314304</v>
      </c>
      <c r="C818">
        <v>25433457</v>
      </c>
      <c r="D818" s="1" t="s">
        <v>1110</v>
      </c>
      <c r="E818" t="s">
        <v>1111</v>
      </c>
      <c r="F818" t="s">
        <v>324</v>
      </c>
      <c r="G818">
        <v>20150512</v>
      </c>
      <c r="H818">
        <v>20150625</v>
      </c>
      <c r="I818" t="s">
        <v>36</v>
      </c>
      <c r="L818" t="s">
        <v>34</v>
      </c>
      <c r="M818" t="s">
        <v>34</v>
      </c>
      <c r="N818" t="s">
        <v>35</v>
      </c>
      <c r="O818" t="s">
        <v>35</v>
      </c>
      <c r="P818" t="s">
        <v>35</v>
      </c>
      <c r="Q818" t="s">
        <v>35</v>
      </c>
      <c r="R818" t="s">
        <v>35</v>
      </c>
      <c r="S818" t="s">
        <v>34</v>
      </c>
      <c r="AD818">
        <v>20170124</v>
      </c>
      <c r="AF818" t="str">
        <f>IFERROR(VLOOKUP(RIGHT(TblFeedFile1[[#This Row],[Leave Type ]],6),LkupPayType[],2,FALSE),"TBD")</f>
        <v>TBD</v>
      </c>
      <c r="AG818" t="str">
        <f>IFERROR(VLOOKUP(TblFeedFile1[[#This Row],[ Report Number ]],LkupPayrollCycle[],2,FALSE),"TBD")</f>
        <v>Bi-Weekly</v>
      </c>
      <c r="AH818" t="str">
        <f>IF(TblFeedFile1[[#This Row],[Return to Work Date ]]="","","Y")</f>
        <v/>
      </c>
    </row>
    <row r="819" spans="1:34" x14ac:dyDescent="0.25">
      <c r="A819" t="s">
        <v>37</v>
      </c>
      <c r="B819">
        <v>314304</v>
      </c>
      <c r="C819">
        <v>25434642</v>
      </c>
      <c r="D819" s="1">
        <v>521701238262</v>
      </c>
      <c r="E819" t="s">
        <v>1112</v>
      </c>
      <c r="F819" t="s">
        <v>1113</v>
      </c>
      <c r="G819">
        <v>20170123</v>
      </c>
      <c r="H819">
        <v>20170213</v>
      </c>
      <c r="I819" t="s">
        <v>53</v>
      </c>
      <c r="L819" t="s">
        <v>34</v>
      </c>
      <c r="M819" t="s">
        <v>34</v>
      </c>
      <c r="N819" t="s">
        <v>35</v>
      </c>
      <c r="O819" t="s">
        <v>35</v>
      </c>
      <c r="P819" t="s">
        <v>35</v>
      </c>
      <c r="Q819" t="s">
        <v>35</v>
      </c>
      <c r="R819" t="s">
        <v>35</v>
      </c>
      <c r="S819" t="s">
        <v>34</v>
      </c>
      <c r="AD819">
        <v>20170124</v>
      </c>
      <c r="AF819" t="str">
        <f>IFERROR(VLOOKUP(RIGHT(TblFeedFile1[[#This Row],[Leave Type ]],6),LkupPayType[],2,FALSE),"TBD")</f>
        <v>TBD</v>
      </c>
      <c r="AG819" t="str">
        <f>IFERROR(VLOOKUP(TblFeedFile1[[#This Row],[ Report Number ]],LkupPayrollCycle[],2,FALSE),"TBD")</f>
        <v>Bi-Weekly</v>
      </c>
      <c r="AH819" t="str">
        <f>IF(TblFeedFile1[[#This Row],[Return to Work Date ]]="","","Y")</f>
        <v/>
      </c>
    </row>
    <row r="820" spans="1:34" x14ac:dyDescent="0.25">
      <c r="A820" t="s">
        <v>29</v>
      </c>
      <c r="B820">
        <v>314304</v>
      </c>
      <c r="C820">
        <v>25444924</v>
      </c>
      <c r="D820" s="1" t="s">
        <v>1114</v>
      </c>
      <c r="E820" t="s">
        <v>1115</v>
      </c>
      <c r="F820" t="s">
        <v>1116</v>
      </c>
      <c r="G820">
        <v>20170119</v>
      </c>
      <c r="H820">
        <v>20170119</v>
      </c>
      <c r="I820" t="s">
        <v>33</v>
      </c>
      <c r="L820" t="s">
        <v>35</v>
      </c>
      <c r="AD820">
        <v>20170124</v>
      </c>
      <c r="AF820" t="str">
        <f>IFERROR(VLOOKUP(RIGHT(TblFeedFile1[[#This Row],[Leave Type ]],6),LkupPayType[],2,FALSE),"TBD")</f>
        <v>TBD</v>
      </c>
      <c r="AG820" t="str">
        <f>IFERROR(VLOOKUP(TblFeedFile1[[#This Row],[ Report Number ]],LkupPayrollCycle[],2,FALSE),"TBD")</f>
        <v>Bi-Weekly</v>
      </c>
      <c r="AH820" t="str">
        <f>IF(TblFeedFile1[[#This Row],[Return to Work Date ]]="","","Y")</f>
        <v/>
      </c>
    </row>
    <row r="821" spans="1:34" x14ac:dyDescent="0.25">
      <c r="A821" t="s">
        <v>37</v>
      </c>
      <c r="B821">
        <v>314304</v>
      </c>
      <c r="C821">
        <v>25444924</v>
      </c>
      <c r="D821" s="1" t="s">
        <v>1114</v>
      </c>
      <c r="E821" t="s">
        <v>1115</v>
      </c>
      <c r="F821" t="s">
        <v>1116</v>
      </c>
      <c r="G821">
        <v>20170105</v>
      </c>
      <c r="H821">
        <v>20170118</v>
      </c>
      <c r="I821" t="s">
        <v>223</v>
      </c>
      <c r="L821" t="s">
        <v>35</v>
      </c>
      <c r="T821">
        <v>20170119</v>
      </c>
      <c r="AD821">
        <v>20170124</v>
      </c>
      <c r="AF821" t="str">
        <f>IFERROR(VLOOKUP(RIGHT(TblFeedFile1[[#This Row],[Leave Type ]],6),LkupPayType[],2,FALSE),"TBD")</f>
        <v>TBD</v>
      </c>
      <c r="AG821" t="str">
        <f>IFERROR(VLOOKUP(TblFeedFile1[[#This Row],[ Report Number ]],LkupPayrollCycle[],2,FALSE),"TBD")</f>
        <v>Bi-Weekly</v>
      </c>
      <c r="AH821" t="str">
        <f>IF(TblFeedFile1[[#This Row],[Return to Work Date ]]="","","Y")</f>
        <v>Y</v>
      </c>
    </row>
    <row r="822" spans="1:34" x14ac:dyDescent="0.25">
      <c r="A822" t="s">
        <v>37</v>
      </c>
      <c r="B822">
        <v>314304</v>
      </c>
      <c r="C822">
        <v>25445422</v>
      </c>
      <c r="D822" s="1">
        <v>571701048047</v>
      </c>
      <c r="E822" t="s">
        <v>107</v>
      </c>
      <c r="F822" t="s">
        <v>1117</v>
      </c>
      <c r="G822">
        <v>20170123</v>
      </c>
      <c r="H822">
        <v>20170226</v>
      </c>
      <c r="I822" t="s">
        <v>40</v>
      </c>
      <c r="L822" t="s">
        <v>34</v>
      </c>
      <c r="M822" t="s">
        <v>34</v>
      </c>
      <c r="N822" t="s">
        <v>35</v>
      </c>
      <c r="O822" t="s">
        <v>35</v>
      </c>
      <c r="P822" t="s">
        <v>35</v>
      </c>
      <c r="Q822" t="s">
        <v>35</v>
      </c>
      <c r="R822" t="s">
        <v>35</v>
      </c>
      <c r="S822" t="s">
        <v>34</v>
      </c>
      <c r="AD822">
        <v>20170124</v>
      </c>
      <c r="AF822" t="str">
        <f>IFERROR(VLOOKUP(RIGHT(TblFeedFile1[[#This Row],[Leave Type ]],6),LkupPayType[],2,FALSE),"TBD")</f>
        <v>TBD</v>
      </c>
      <c r="AG822" t="str">
        <f>IFERROR(VLOOKUP(TblFeedFile1[[#This Row],[ Report Number ]],LkupPayrollCycle[],2,FALSE),"TBD")</f>
        <v>Bi-Weekly</v>
      </c>
      <c r="AH822" t="str">
        <f>IF(TblFeedFile1[[#This Row],[Return to Work Date ]]="","","Y")</f>
        <v/>
      </c>
    </row>
    <row r="823" spans="1:34" x14ac:dyDescent="0.25">
      <c r="A823" t="s">
        <v>29</v>
      </c>
      <c r="B823">
        <v>314304</v>
      </c>
      <c r="C823">
        <v>25461739</v>
      </c>
      <c r="D823" s="1">
        <v>551701198825</v>
      </c>
      <c r="E823" t="s">
        <v>354</v>
      </c>
      <c r="F823" t="s">
        <v>1118</v>
      </c>
      <c r="G823">
        <v>20170119</v>
      </c>
      <c r="I823" t="s">
        <v>53</v>
      </c>
      <c r="L823" t="s">
        <v>34</v>
      </c>
      <c r="M823" t="s">
        <v>34</v>
      </c>
      <c r="N823" t="s">
        <v>35</v>
      </c>
      <c r="O823" t="s">
        <v>35</v>
      </c>
      <c r="P823" t="s">
        <v>35</v>
      </c>
      <c r="Q823" t="s">
        <v>35</v>
      </c>
      <c r="R823" t="s">
        <v>35</v>
      </c>
      <c r="S823" t="s">
        <v>34</v>
      </c>
      <c r="AD823">
        <v>20170124</v>
      </c>
      <c r="AF823" t="str">
        <f>IFERROR(VLOOKUP(RIGHT(TblFeedFile1[[#This Row],[Leave Type ]],6),LkupPayType[],2,FALSE),"TBD")</f>
        <v>TBD</v>
      </c>
      <c r="AG823" t="str">
        <f>IFERROR(VLOOKUP(TblFeedFile1[[#This Row],[ Report Number ]],LkupPayrollCycle[],2,FALSE),"TBD")</f>
        <v>Bi-Weekly</v>
      </c>
      <c r="AH823" t="str">
        <f>IF(TblFeedFile1[[#This Row],[Return to Work Date ]]="","","Y")</f>
        <v/>
      </c>
    </row>
    <row r="824" spans="1:34" x14ac:dyDescent="0.25">
      <c r="A824" t="s">
        <v>37</v>
      </c>
      <c r="B824">
        <v>314304</v>
      </c>
      <c r="C824">
        <v>25461739</v>
      </c>
      <c r="D824" s="1">
        <v>551701198825</v>
      </c>
      <c r="E824" t="s">
        <v>354</v>
      </c>
      <c r="F824" t="s">
        <v>1118</v>
      </c>
      <c r="G824">
        <v>20170119</v>
      </c>
      <c r="H824">
        <v>20170206</v>
      </c>
      <c r="I824" t="s">
        <v>53</v>
      </c>
      <c r="L824" t="s">
        <v>34</v>
      </c>
      <c r="M824" t="s">
        <v>34</v>
      </c>
      <c r="N824" t="s">
        <v>35</v>
      </c>
      <c r="O824" t="s">
        <v>35</v>
      </c>
      <c r="P824" t="s">
        <v>35</v>
      </c>
      <c r="Q824" t="s">
        <v>35</v>
      </c>
      <c r="R824" t="s">
        <v>35</v>
      </c>
      <c r="S824" t="s">
        <v>34</v>
      </c>
      <c r="AD824">
        <v>20170124</v>
      </c>
      <c r="AF824" t="str">
        <f>IFERROR(VLOOKUP(RIGHT(TblFeedFile1[[#This Row],[Leave Type ]],6),LkupPayType[],2,FALSE),"TBD")</f>
        <v>TBD</v>
      </c>
      <c r="AG824" t="str">
        <f>IFERROR(VLOOKUP(TblFeedFile1[[#This Row],[ Report Number ]],LkupPayrollCycle[],2,FALSE),"TBD")</f>
        <v>Bi-Weekly</v>
      </c>
      <c r="AH824" t="str">
        <f>IF(TblFeedFile1[[#This Row],[Return to Work Date ]]="","","Y")</f>
        <v/>
      </c>
    </row>
    <row r="825" spans="1:34" x14ac:dyDescent="0.25">
      <c r="A825" t="s">
        <v>29</v>
      </c>
      <c r="B825">
        <v>314304</v>
      </c>
      <c r="C825">
        <v>25462078</v>
      </c>
      <c r="D825" s="1" t="s">
        <v>1119</v>
      </c>
      <c r="E825" t="s">
        <v>1022</v>
      </c>
      <c r="F825" t="s">
        <v>1120</v>
      </c>
      <c r="G825">
        <v>20170109</v>
      </c>
      <c r="H825">
        <v>20170220</v>
      </c>
      <c r="I825" t="s">
        <v>36</v>
      </c>
      <c r="L825" t="s">
        <v>34</v>
      </c>
      <c r="M825" t="s">
        <v>34</v>
      </c>
      <c r="N825" t="s">
        <v>35</v>
      </c>
      <c r="O825" t="s">
        <v>35</v>
      </c>
      <c r="P825" t="s">
        <v>35</v>
      </c>
      <c r="Q825" t="s">
        <v>35</v>
      </c>
      <c r="R825" t="s">
        <v>35</v>
      </c>
      <c r="S825" t="s">
        <v>34</v>
      </c>
      <c r="AD825">
        <v>20170124</v>
      </c>
      <c r="AF825" t="str">
        <f>IFERROR(VLOOKUP(RIGHT(TblFeedFile1[[#This Row],[Leave Type ]],6),LkupPayType[],2,FALSE),"TBD")</f>
        <v>TBD</v>
      </c>
      <c r="AG825" t="str">
        <f>IFERROR(VLOOKUP(TblFeedFile1[[#This Row],[ Report Number ]],LkupPayrollCycle[],2,FALSE),"TBD")</f>
        <v>Bi-Weekly</v>
      </c>
      <c r="AH825" t="str">
        <f>IF(TblFeedFile1[[#This Row],[Return to Work Date ]]="","","Y")</f>
        <v/>
      </c>
    </row>
    <row r="826" spans="1:34" x14ac:dyDescent="0.25">
      <c r="A826" t="s">
        <v>37</v>
      </c>
      <c r="B826">
        <v>314304</v>
      </c>
      <c r="C826">
        <v>25462078</v>
      </c>
      <c r="D826" s="1" t="s">
        <v>1119</v>
      </c>
      <c r="E826" t="s">
        <v>1022</v>
      </c>
      <c r="F826" t="s">
        <v>1120</v>
      </c>
      <c r="G826">
        <v>20170124</v>
      </c>
      <c r="H826">
        <v>20170219</v>
      </c>
      <c r="I826" t="s">
        <v>36</v>
      </c>
      <c r="L826" t="s">
        <v>34</v>
      </c>
      <c r="M826" t="s">
        <v>34</v>
      </c>
      <c r="N826" t="s">
        <v>35</v>
      </c>
      <c r="O826" t="s">
        <v>35</v>
      </c>
      <c r="P826" t="s">
        <v>35</v>
      </c>
      <c r="Q826" t="s">
        <v>35</v>
      </c>
      <c r="R826" t="s">
        <v>35</v>
      </c>
      <c r="S826" t="s">
        <v>34</v>
      </c>
      <c r="AD826">
        <v>20170124</v>
      </c>
      <c r="AF826" t="str">
        <f>IFERROR(VLOOKUP(RIGHT(TblFeedFile1[[#This Row],[Leave Type ]],6),LkupPayType[],2,FALSE),"TBD")</f>
        <v>TBD</v>
      </c>
      <c r="AG826" t="str">
        <f>IFERROR(VLOOKUP(TblFeedFile1[[#This Row],[ Report Number ]],LkupPayrollCycle[],2,FALSE),"TBD")</f>
        <v>Bi-Weekly</v>
      </c>
      <c r="AH826" t="str">
        <f>IF(TblFeedFile1[[#This Row],[Return to Work Date ]]="","","Y")</f>
        <v/>
      </c>
    </row>
    <row r="827" spans="1:34" x14ac:dyDescent="0.25">
      <c r="A827" t="s">
        <v>37</v>
      </c>
      <c r="B827">
        <v>314304</v>
      </c>
      <c r="C827">
        <v>25465718</v>
      </c>
      <c r="D827" s="1">
        <v>561701048106</v>
      </c>
      <c r="E827" t="s">
        <v>1121</v>
      </c>
      <c r="F827" t="s">
        <v>1033</v>
      </c>
      <c r="G827">
        <v>20170123</v>
      </c>
      <c r="H827">
        <v>20170223</v>
      </c>
      <c r="I827" t="s">
        <v>53</v>
      </c>
      <c r="L827" t="s">
        <v>35</v>
      </c>
      <c r="AD827">
        <v>20170124</v>
      </c>
      <c r="AF827" t="str">
        <f>IFERROR(VLOOKUP(RIGHT(TblFeedFile1[[#This Row],[Leave Type ]],6),LkupPayType[],2,FALSE),"TBD")</f>
        <v>TBD</v>
      </c>
      <c r="AG827" t="str">
        <f>IFERROR(VLOOKUP(TblFeedFile1[[#This Row],[ Report Number ]],LkupPayrollCycle[],2,FALSE),"TBD")</f>
        <v>Bi-Weekly</v>
      </c>
      <c r="AH827" t="str">
        <f>IF(TblFeedFile1[[#This Row],[Return to Work Date ]]="","","Y")</f>
        <v/>
      </c>
    </row>
    <row r="828" spans="1:34" x14ac:dyDescent="0.25">
      <c r="A828" t="s">
        <v>37</v>
      </c>
      <c r="B828">
        <v>314304</v>
      </c>
      <c r="C828">
        <v>25482552</v>
      </c>
      <c r="D828" s="1">
        <v>541701238314</v>
      </c>
      <c r="E828" t="s">
        <v>1122</v>
      </c>
      <c r="F828" t="s">
        <v>1123</v>
      </c>
      <c r="G828">
        <v>20170124</v>
      </c>
      <c r="H828">
        <v>20170224</v>
      </c>
      <c r="I828" t="s">
        <v>53</v>
      </c>
      <c r="L828" t="s">
        <v>34</v>
      </c>
      <c r="M828" t="s">
        <v>34</v>
      </c>
      <c r="N828" t="s">
        <v>35</v>
      </c>
      <c r="O828" t="s">
        <v>35</v>
      </c>
      <c r="P828" t="s">
        <v>35</v>
      </c>
      <c r="Q828" t="s">
        <v>35</v>
      </c>
      <c r="R828" t="s">
        <v>35</v>
      </c>
      <c r="S828" t="s">
        <v>34</v>
      </c>
      <c r="AD828">
        <v>20170124</v>
      </c>
      <c r="AF828" t="str">
        <f>IFERROR(VLOOKUP(RIGHT(TblFeedFile1[[#This Row],[Leave Type ]],6),LkupPayType[],2,FALSE),"TBD")</f>
        <v>TBD</v>
      </c>
      <c r="AG828" t="str">
        <f>IFERROR(VLOOKUP(TblFeedFile1[[#This Row],[ Report Number ]],LkupPayrollCycle[],2,FALSE),"TBD")</f>
        <v>Bi-Weekly</v>
      </c>
      <c r="AH828" t="str">
        <f>IF(TblFeedFile1[[#This Row],[Return to Work Date ]]="","","Y")</f>
        <v/>
      </c>
    </row>
    <row r="829" spans="1:34" x14ac:dyDescent="0.25">
      <c r="A829" t="s">
        <v>37</v>
      </c>
      <c r="B829">
        <v>314304</v>
      </c>
      <c r="C829">
        <v>25488556</v>
      </c>
      <c r="D829" s="1" t="s">
        <v>1124</v>
      </c>
      <c r="E829" t="s">
        <v>1125</v>
      </c>
      <c r="F829" t="s">
        <v>1126</v>
      </c>
      <c r="G829">
        <v>20150803</v>
      </c>
      <c r="H829">
        <v>20150817</v>
      </c>
      <c r="I829" t="s">
        <v>36</v>
      </c>
      <c r="L829" t="s">
        <v>34</v>
      </c>
      <c r="M829" t="s">
        <v>34</v>
      </c>
      <c r="N829" t="s">
        <v>35</v>
      </c>
      <c r="O829" t="s">
        <v>35</v>
      </c>
      <c r="P829" t="s">
        <v>35</v>
      </c>
      <c r="Q829" t="s">
        <v>35</v>
      </c>
      <c r="R829" t="s">
        <v>35</v>
      </c>
      <c r="S829" t="s">
        <v>34</v>
      </c>
      <c r="AD829">
        <v>20170124</v>
      </c>
      <c r="AF829" t="str">
        <f>IFERROR(VLOOKUP(RIGHT(TblFeedFile1[[#This Row],[Leave Type ]],6),LkupPayType[],2,FALSE),"TBD")</f>
        <v>TBD</v>
      </c>
      <c r="AG829" t="str">
        <f>IFERROR(VLOOKUP(TblFeedFile1[[#This Row],[ Report Number ]],LkupPayrollCycle[],2,FALSE),"TBD")</f>
        <v>Bi-Weekly</v>
      </c>
      <c r="AH829" t="str">
        <f>IF(TblFeedFile1[[#This Row],[Return to Work Date ]]="","","Y")</f>
        <v/>
      </c>
    </row>
    <row r="830" spans="1:34" x14ac:dyDescent="0.25">
      <c r="A830" t="s">
        <v>37</v>
      </c>
      <c r="B830">
        <v>314304</v>
      </c>
      <c r="C830">
        <v>25498997</v>
      </c>
      <c r="D830" s="1" t="s">
        <v>1127</v>
      </c>
      <c r="E830" t="s">
        <v>1128</v>
      </c>
      <c r="F830" t="s">
        <v>1129</v>
      </c>
      <c r="G830">
        <v>20170109</v>
      </c>
      <c r="H830">
        <v>20170109</v>
      </c>
      <c r="I830" t="s">
        <v>43</v>
      </c>
      <c r="L830" t="s">
        <v>34</v>
      </c>
      <c r="M830" t="s">
        <v>34</v>
      </c>
      <c r="N830" t="s">
        <v>35</v>
      </c>
      <c r="O830" t="s">
        <v>35</v>
      </c>
      <c r="P830" t="s">
        <v>35</v>
      </c>
      <c r="Q830" t="s">
        <v>35</v>
      </c>
      <c r="R830" t="s">
        <v>35</v>
      </c>
      <c r="S830" t="s">
        <v>34</v>
      </c>
      <c r="AD830">
        <v>20170124</v>
      </c>
      <c r="AF830" t="str">
        <f>IFERROR(VLOOKUP(RIGHT(TblFeedFile1[[#This Row],[Leave Type ]],6),LkupPayType[],2,FALSE),"TBD")</f>
        <v>TBD</v>
      </c>
      <c r="AG830" t="str">
        <f>IFERROR(VLOOKUP(TblFeedFile1[[#This Row],[ Report Number ]],LkupPayrollCycle[],2,FALSE),"TBD")</f>
        <v>Bi-Weekly</v>
      </c>
      <c r="AH830" t="str">
        <f>IF(TblFeedFile1[[#This Row],[Return to Work Date ]]="","","Y")</f>
        <v/>
      </c>
    </row>
    <row r="831" spans="1:34" x14ac:dyDescent="0.25">
      <c r="A831" t="s">
        <v>29</v>
      </c>
      <c r="B831">
        <v>314304</v>
      </c>
      <c r="C831">
        <v>25508429</v>
      </c>
      <c r="D831" s="1" t="s">
        <v>1130</v>
      </c>
      <c r="E831" t="s">
        <v>1131</v>
      </c>
      <c r="F831" t="s">
        <v>363</v>
      </c>
      <c r="G831">
        <v>20170107</v>
      </c>
      <c r="H831">
        <v>20170313</v>
      </c>
      <c r="I831" t="s">
        <v>156</v>
      </c>
      <c r="L831" t="s">
        <v>34</v>
      </c>
      <c r="M831" t="s">
        <v>34</v>
      </c>
      <c r="N831" t="s">
        <v>35</v>
      </c>
      <c r="O831" t="s">
        <v>35</v>
      </c>
      <c r="P831" t="s">
        <v>35</v>
      </c>
      <c r="Q831" t="s">
        <v>35</v>
      </c>
      <c r="R831" t="s">
        <v>35</v>
      </c>
      <c r="S831" t="s">
        <v>34</v>
      </c>
      <c r="AD831">
        <v>20170124</v>
      </c>
      <c r="AF831" t="str">
        <f>IFERROR(VLOOKUP(RIGHT(TblFeedFile1[[#This Row],[Leave Type ]],6),LkupPayType[],2,FALSE),"TBD")</f>
        <v>TBD</v>
      </c>
      <c r="AG831" t="str">
        <f>IFERROR(VLOOKUP(TblFeedFile1[[#This Row],[ Report Number ]],LkupPayrollCycle[],2,FALSE),"TBD")</f>
        <v>Bi-Weekly</v>
      </c>
      <c r="AH831" t="str">
        <f>IF(TblFeedFile1[[#This Row],[Return to Work Date ]]="","","Y")</f>
        <v/>
      </c>
    </row>
    <row r="832" spans="1:34" x14ac:dyDescent="0.25">
      <c r="A832" t="s">
        <v>37</v>
      </c>
      <c r="B832">
        <v>314304</v>
      </c>
      <c r="C832">
        <v>25508429</v>
      </c>
      <c r="D832" s="1">
        <v>521701038772</v>
      </c>
      <c r="E832" t="s">
        <v>1131</v>
      </c>
      <c r="F832" t="s">
        <v>363</v>
      </c>
      <c r="G832">
        <v>20170106</v>
      </c>
      <c r="H832">
        <v>20170313</v>
      </c>
      <c r="I832" t="s">
        <v>53</v>
      </c>
      <c r="L832" t="s">
        <v>34</v>
      </c>
      <c r="M832" t="s">
        <v>34</v>
      </c>
      <c r="N832" t="s">
        <v>35</v>
      </c>
      <c r="O832" t="s">
        <v>35</v>
      </c>
      <c r="P832" t="s">
        <v>35</v>
      </c>
      <c r="Q832" t="s">
        <v>35</v>
      </c>
      <c r="R832" t="s">
        <v>35</v>
      </c>
      <c r="S832" t="s">
        <v>34</v>
      </c>
      <c r="AD832">
        <v>20170124</v>
      </c>
      <c r="AF832" t="str">
        <f>IFERROR(VLOOKUP(RIGHT(TblFeedFile1[[#This Row],[Leave Type ]],6),LkupPayType[],2,FALSE),"TBD")</f>
        <v>TBD</v>
      </c>
      <c r="AG832" t="str">
        <f>IFERROR(VLOOKUP(TblFeedFile1[[#This Row],[ Report Number ]],LkupPayrollCycle[],2,FALSE),"TBD")</f>
        <v>Bi-Weekly</v>
      </c>
      <c r="AH832" t="str">
        <f>IF(TblFeedFile1[[#This Row],[Return to Work Date ]]="","","Y")</f>
        <v/>
      </c>
    </row>
    <row r="833" spans="1:34" x14ac:dyDescent="0.25">
      <c r="A833" t="s">
        <v>37</v>
      </c>
      <c r="B833">
        <v>314304</v>
      </c>
      <c r="C833">
        <v>25508429</v>
      </c>
      <c r="D833" s="1" t="s">
        <v>1130</v>
      </c>
      <c r="E833" t="s">
        <v>1131</v>
      </c>
      <c r="F833" t="s">
        <v>363</v>
      </c>
      <c r="G833">
        <v>20170113</v>
      </c>
      <c r="H833">
        <v>20170313</v>
      </c>
      <c r="I833" t="s">
        <v>36</v>
      </c>
      <c r="L833" t="s">
        <v>34</v>
      </c>
      <c r="M833" t="s">
        <v>34</v>
      </c>
      <c r="N833" t="s">
        <v>35</v>
      </c>
      <c r="O833" t="s">
        <v>35</v>
      </c>
      <c r="P833" t="s">
        <v>35</v>
      </c>
      <c r="Q833" t="s">
        <v>35</v>
      </c>
      <c r="R833" t="s">
        <v>35</v>
      </c>
      <c r="S833" t="s">
        <v>34</v>
      </c>
      <c r="AD833">
        <v>20170124</v>
      </c>
      <c r="AF833" t="str">
        <f>IFERROR(VLOOKUP(RIGHT(TblFeedFile1[[#This Row],[Leave Type ]],6),LkupPayType[],2,FALSE),"TBD")</f>
        <v>TBD</v>
      </c>
      <c r="AG833" t="str">
        <f>IFERROR(VLOOKUP(TblFeedFile1[[#This Row],[ Report Number ]],LkupPayrollCycle[],2,FALSE),"TBD")</f>
        <v>Bi-Weekly</v>
      </c>
      <c r="AH833" t="str">
        <f>IF(TblFeedFile1[[#This Row],[Return to Work Date ]]="","","Y")</f>
        <v/>
      </c>
    </row>
    <row r="834" spans="1:34" x14ac:dyDescent="0.25">
      <c r="A834" t="s">
        <v>37</v>
      </c>
      <c r="B834">
        <v>314305</v>
      </c>
      <c r="C834">
        <v>25515355</v>
      </c>
      <c r="D834" s="1">
        <v>521701038852</v>
      </c>
      <c r="E834" t="s">
        <v>824</v>
      </c>
      <c r="F834" t="s">
        <v>1132</v>
      </c>
      <c r="G834">
        <v>20170123</v>
      </c>
      <c r="H834">
        <v>20170410</v>
      </c>
      <c r="I834" t="s">
        <v>40</v>
      </c>
      <c r="L834" t="s">
        <v>35</v>
      </c>
      <c r="AD834">
        <v>20170124</v>
      </c>
      <c r="AF834" t="str">
        <f>IFERROR(VLOOKUP(RIGHT(TblFeedFile1[[#This Row],[Leave Type ]],6),LkupPayType[],2,FALSE),"TBD")</f>
        <v>TBD</v>
      </c>
      <c r="AG834" t="str">
        <f>IFERROR(VLOOKUP(TblFeedFile1[[#This Row],[ Report Number ]],LkupPayrollCycle[],2,FALSE),"TBD")</f>
        <v>Bi-Weekly</v>
      </c>
      <c r="AH834" t="str">
        <f>IF(TblFeedFile1[[#This Row],[Return to Work Date ]]="","","Y")</f>
        <v/>
      </c>
    </row>
    <row r="835" spans="1:34" x14ac:dyDescent="0.25">
      <c r="A835" t="s">
        <v>37</v>
      </c>
      <c r="B835">
        <v>314304</v>
      </c>
      <c r="C835">
        <v>25533412</v>
      </c>
      <c r="D835" s="1">
        <v>511701048109</v>
      </c>
      <c r="E835" t="s">
        <v>586</v>
      </c>
      <c r="F835" t="s">
        <v>1133</v>
      </c>
      <c r="G835">
        <v>20170109</v>
      </c>
      <c r="H835">
        <v>20170430</v>
      </c>
      <c r="I835" t="s">
        <v>40</v>
      </c>
      <c r="L835" t="s">
        <v>34</v>
      </c>
      <c r="M835" t="s">
        <v>34</v>
      </c>
      <c r="N835" t="s">
        <v>35</v>
      </c>
      <c r="O835" t="s">
        <v>35</v>
      </c>
      <c r="P835" t="s">
        <v>35</v>
      </c>
      <c r="Q835" t="s">
        <v>35</v>
      </c>
      <c r="R835" t="s">
        <v>35</v>
      </c>
      <c r="S835" t="s">
        <v>34</v>
      </c>
      <c r="AD835">
        <v>20170124</v>
      </c>
      <c r="AF835" t="str">
        <f>IFERROR(VLOOKUP(RIGHT(TblFeedFile1[[#This Row],[Leave Type ]],6),LkupPayType[],2,FALSE),"TBD")</f>
        <v>TBD</v>
      </c>
      <c r="AG835" t="str">
        <f>IFERROR(VLOOKUP(TblFeedFile1[[#This Row],[ Report Number ]],LkupPayrollCycle[],2,FALSE),"TBD")</f>
        <v>Bi-Weekly</v>
      </c>
      <c r="AH835" t="str">
        <f>IF(TblFeedFile1[[#This Row],[Return to Work Date ]]="","","Y")</f>
        <v/>
      </c>
    </row>
    <row r="836" spans="1:34" x14ac:dyDescent="0.25">
      <c r="A836" t="s">
        <v>37</v>
      </c>
      <c r="B836">
        <v>314304</v>
      </c>
      <c r="C836">
        <v>25557630</v>
      </c>
      <c r="D836" s="1">
        <v>541701188474</v>
      </c>
      <c r="E836" t="s">
        <v>1134</v>
      </c>
      <c r="F836" t="s">
        <v>1135</v>
      </c>
      <c r="G836">
        <v>20170123</v>
      </c>
      <c r="H836">
        <v>20170507</v>
      </c>
      <c r="I836" t="s">
        <v>40</v>
      </c>
      <c r="L836" t="s">
        <v>34</v>
      </c>
      <c r="M836" t="s">
        <v>34</v>
      </c>
      <c r="N836" t="s">
        <v>35</v>
      </c>
      <c r="O836" t="s">
        <v>35</v>
      </c>
      <c r="P836" t="s">
        <v>35</v>
      </c>
      <c r="Q836" t="s">
        <v>35</v>
      </c>
      <c r="R836" t="s">
        <v>35</v>
      </c>
      <c r="S836" t="s">
        <v>34</v>
      </c>
      <c r="AD836">
        <v>20170124</v>
      </c>
      <c r="AF836" t="str">
        <f>IFERROR(VLOOKUP(RIGHT(TblFeedFile1[[#This Row],[Leave Type ]],6),LkupPayType[],2,FALSE),"TBD")</f>
        <v>TBD</v>
      </c>
      <c r="AG836" t="str">
        <f>IFERROR(VLOOKUP(TblFeedFile1[[#This Row],[ Report Number ]],LkupPayrollCycle[],2,FALSE),"TBD")</f>
        <v>Bi-Weekly</v>
      </c>
      <c r="AH836" t="str">
        <f>IF(TblFeedFile1[[#This Row],[Return to Work Date ]]="","","Y")</f>
        <v/>
      </c>
    </row>
    <row r="837" spans="1:34" x14ac:dyDescent="0.25">
      <c r="A837" t="s">
        <v>37</v>
      </c>
      <c r="B837">
        <v>314304</v>
      </c>
      <c r="C837">
        <v>25563491</v>
      </c>
      <c r="D837" s="1" t="s">
        <v>1136</v>
      </c>
      <c r="E837" t="s">
        <v>1137</v>
      </c>
      <c r="F837" t="s">
        <v>1138</v>
      </c>
      <c r="G837">
        <v>20170115</v>
      </c>
      <c r="H837">
        <v>20170715</v>
      </c>
      <c r="I837" t="s">
        <v>78</v>
      </c>
      <c r="K837" t="s">
        <v>79</v>
      </c>
      <c r="L837" t="s">
        <v>34</v>
      </c>
      <c r="M837" t="s">
        <v>34</v>
      </c>
      <c r="N837" t="s">
        <v>35</v>
      </c>
      <c r="O837" t="s">
        <v>35</v>
      </c>
      <c r="P837" t="s">
        <v>35</v>
      </c>
      <c r="Q837" t="s">
        <v>35</v>
      </c>
      <c r="R837" t="s">
        <v>35</v>
      </c>
      <c r="S837" t="s">
        <v>34</v>
      </c>
      <c r="AD837">
        <v>20170124</v>
      </c>
      <c r="AF837" t="str">
        <f>IFERROR(VLOOKUP(RIGHT(TblFeedFile1[[#This Row],[Leave Type ]],6),LkupPayType[],2,FALSE),"TBD")</f>
        <v>TBD</v>
      </c>
      <c r="AG837" t="str">
        <f>IFERROR(VLOOKUP(TblFeedFile1[[#This Row],[ Report Number ]],LkupPayrollCycle[],2,FALSE),"TBD")</f>
        <v>Bi-Weekly</v>
      </c>
      <c r="AH837" t="str">
        <f>IF(TblFeedFile1[[#This Row],[Return to Work Date ]]="","","Y")</f>
        <v/>
      </c>
    </row>
    <row r="838" spans="1:34" x14ac:dyDescent="0.25">
      <c r="A838" t="s">
        <v>37</v>
      </c>
      <c r="B838">
        <v>314304</v>
      </c>
      <c r="C838">
        <v>25563491</v>
      </c>
      <c r="D838" s="1">
        <v>561701118326</v>
      </c>
      <c r="E838" t="s">
        <v>1137</v>
      </c>
      <c r="F838" t="s">
        <v>1138</v>
      </c>
      <c r="G838">
        <v>20170123</v>
      </c>
      <c r="H838">
        <v>20170715</v>
      </c>
      <c r="I838" t="s">
        <v>459</v>
      </c>
      <c r="L838" t="s">
        <v>34</v>
      </c>
      <c r="M838" t="s">
        <v>34</v>
      </c>
      <c r="N838" t="s">
        <v>35</v>
      </c>
      <c r="O838" t="s">
        <v>35</v>
      </c>
      <c r="P838" t="s">
        <v>35</v>
      </c>
      <c r="Q838" t="s">
        <v>35</v>
      </c>
      <c r="R838" t="s">
        <v>35</v>
      </c>
      <c r="S838" t="s">
        <v>34</v>
      </c>
      <c r="AD838">
        <v>20170124</v>
      </c>
      <c r="AF838" t="str">
        <f>IFERROR(VLOOKUP(RIGHT(TblFeedFile1[[#This Row],[Leave Type ]],6),LkupPayType[],2,FALSE),"TBD")</f>
        <v>TBD</v>
      </c>
      <c r="AG838" t="str">
        <f>IFERROR(VLOOKUP(TblFeedFile1[[#This Row],[ Report Number ]],LkupPayrollCycle[],2,FALSE),"TBD")</f>
        <v>Bi-Weekly</v>
      </c>
      <c r="AH838" t="str">
        <f>IF(TblFeedFile1[[#This Row],[Return to Work Date ]]="","","Y")</f>
        <v/>
      </c>
    </row>
    <row r="839" spans="1:34" x14ac:dyDescent="0.25">
      <c r="A839" t="s">
        <v>37</v>
      </c>
      <c r="B839">
        <v>314304</v>
      </c>
      <c r="C839">
        <v>25567301</v>
      </c>
      <c r="D839" s="1" t="s">
        <v>1139</v>
      </c>
      <c r="E839" t="s">
        <v>1140</v>
      </c>
      <c r="F839" t="s">
        <v>1141</v>
      </c>
      <c r="G839">
        <v>20170124</v>
      </c>
      <c r="H839">
        <v>20170219</v>
      </c>
      <c r="I839" t="s">
        <v>78</v>
      </c>
      <c r="K839" t="s">
        <v>79</v>
      </c>
      <c r="L839" t="s">
        <v>34</v>
      </c>
      <c r="M839" t="s">
        <v>34</v>
      </c>
      <c r="N839" t="s">
        <v>35</v>
      </c>
      <c r="O839" t="s">
        <v>35</v>
      </c>
      <c r="P839" t="s">
        <v>35</v>
      </c>
      <c r="Q839" t="s">
        <v>35</v>
      </c>
      <c r="R839" t="s">
        <v>35</v>
      </c>
      <c r="S839" t="s">
        <v>34</v>
      </c>
      <c r="AD839">
        <v>20170124</v>
      </c>
      <c r="AF839" t="str">
        <f>IFERROR(VLOOKUP(RIGHT(TblFeedFile1[[#This Row],[Leave Type ]],6),LkupPayType[],2,FALSE),"TBD")</f>
        <v>TBD</v>
      </c>
      <c r="AG839" t="str">
        <f>IFERROR(VLOOKUP(TblFeedFile1[[#This Row],[ Report Number ]],LkupPayrollCycle[],2,FALSE),"TBD")</f>
        <v>Bi-Weekly</v>
      </c>
      <c r="AH839" t="str">
        <f>IF(TblFeedFile1[[#This Row],[Return to Work Date ]]="","","Y")</f>
        <v/>
      </c>
    </row>
    <row r="840" spans="1:34" x14ac:dyDescent="0.25">
      <c r="A840" t="s">
        <v>29</v>
      </c>
      <c r="B840">
        <v>314304</v>
      </c>
      <c r="C840">
        <v>25580771</v>
      </c>
      <c r="D840" s="1">
        <v>511701178081</v>
      </c>
      <c r="E840" t="s">
        <v>1142</v>
      </c>
      <c r="F840" t="s">
        <v>1143</v>
      </c>
      <c r="G840">
        <v>20170112</v>
      </c>
      <c r="H840">
        <v>20170227</v>
      </c>
      <c r="I840" t="s">
        <v>40</v>
      </c>
      <c r="L840" t="s">
        <v>34</v>
      </c>
      <c r="M840" t="s">
        <v>34</v>
      </c>
      <c r="N840" t="s">
        <v>35</v>
      </c>
      <c r="O840" t="s">
        <v>35</v>
      </c>
      <c r="P840" t="s">
        <v>35</v>
      </c>
      <c r="Q840" t="s">
        <v>35</v>
      </c>
      <c r="R840" t="s">
        <v>35</v>
      </c>
      <c r="S840" t="s">
        <v>34</v>
      </c>
      <c r="AD840">
        <v>20170124</v>
      </c>
      <c r="AF840" t="str">
        <f>IFERROR(VLOOKUP(RIGHT(TblFeedFile1[[#This Row],[Leave Type ]],6),LkupPayType[],2,FALSE),"TBD")</f>
        <v>TBD</v>
      </c>
      <c r="AG840" t="str">
        <f>IFERROR(VLOOKUP(TblFeedFile1[[#This Row],[ Report Number ]],LkupPayrollCycle[],2,FALSE),"TBD")</f>
        <v>Bi-Weekly</v>
      </c>
      <c r="AH840" t="str">
        <f>IF(TblFeedFile1[[#This Row],[Return to Work Date ]]="","","Y")</f>
        <v/>
      </c>
    </row>
    <row r="841" spans="1:34" x14ac:dyDescent="0.25">
      <c r="A841" t="s">
        <v>37</v>
      </c>
      <c r="B841">
        <v>314304</v>
      </c>
      <c r="C841">
        <v>25580771</v>
      </c>
      <c r="D841" s="1">
        <v>511701178081</v>
      </c>
      <c r="E841" t="s">
        <v>1142</v>
      </c>
      <c r="F841" t="s">
        <v>1143</v>
      </c>
      <c r="G841">
        <v>20170112</v>
      </c>
      <c r="H841">
        <v>20170202</v>
      </c>
      <c r="I841" t="s">
        <v>40</v>
      </c>
      <c r="L841" t="s">
        <v>34</v>
      </c>
      <c r="M841" t="s">
        <v>34</v>
      </c>
      <c r="N841" t="s">
        <v>35</v>
      </c>
      <c r="O841" t="s">
        <v>35</v>
      </c>
      <c r="P841" t="s">
        <v>35</v>
      </c>
      <c r="Q841" t="s">
        <v>35</v>
      </c>
      <c r="R841" t="s">
        <v>35</v>
      </c>
      <c r="S841" t="s">
        <v>34</v>
      </c>
      <c r="AD841">
        <v>20170124</v>
      </c>
      <c r="AF841" t="str">
        <f>IFERROR(VLOOKUP(RIGHT(TblFeedFile1[[#This Row],[Leave Type ]],6),LkupPayType[],2,FALSE),"TBD")</f>
        <v>TBD</v>
      </c>
      <c r="AG841" t="str">
        <f>IFERROR(VLOOKUP(TblFeedFile1[[#This Row],[ Report Number ]],LkupPayrollCycle[],2,FALSE),"TBD")</f>
        <v>Bi-Weekly</v>
      </c>
      <c r="AH841" t="str">
        <f>IF(TblFeedFile1[[#This Row],[Return to Work Date ]]="","","Y")</f>
        <v/>
      </c>
    </row>
    <row r="842" spans="1:34" x14ac:dyDescent="0.25">
      <c r="A842" t="s">
        <v>37</v>
      </c>
      <c r="B842">
        <v>314304</v>
      </c>
      <c r="C842">
        <v>25585793</v>
      </c>
      <c r="D842" s="1" t="s">
        <v>1144</v>
      </c>
      <c r="E842" t="s">
        <v>1145</v>
      </c>
      <c r="F842" t="s">
        <v>1146</v>
      </c>
      <c r="G842">
        <v>20170123</v>
      </c>
      <c r="H842">
        <v>20170207</v>
      </c>
      <c r="I842" t="s">
        <v>49</v>
      </c>
      <c r="L842" t="s">
        <v>34</v>
      </c>
      <c r="M842" t="s">
        <v>34</v>
      </c>
      <c r="N842" t="s">
        <v>35</v>
      </c>
      <c r="O842" t="s">
        <v>35</v>
      </c>
      <c r="P842" t="s">
        <v>35</v>
      </c>
      <c r="Q842" t="s">
        <v>35</v>
      </c>
      <c r="R842" t="s">
        <v>35</v>
      </c>
      <c r="S842" t="s">
        <v>34</v>
      </c>
      <c r="AD842">
        <v>20170124</v>
      </c>
      <c r="AF842" t="str">
        <f>IFERROR(VLOOKUP(RIGHT(TblFeedFile1[[#This Row],[Leave Type ]],6),LkupPayType[],2,FALSE),"TBD")</f>
        <v>TBD</v>
      </c>
      <c r="AG842" t="str">
        <f>IFERROR(VLOOKUP(TblFeedFile1[[#This Row],[ Report Number ]],LkupPayrollCycle[],2,FALSE),"TBD")</f>
        <v>Bi-Weekly</v>
      </c>
      <c r="AH842" t="str">
        <f>IF(TblFeedFile1[[#This Row],[Return to Work Date ]]="","","Y")</f>
        <v/>
      </c>
    </row>
    <row r="843" spans="1:34" x14ac:dyDescent="0.25">
      <c r="A843" t="s">
        <v>37</v>
      </c>
      <c r="B843">
        <v>314304</v>
      </c>
      <c r="C843">
        <v>25596787</v>
      </c>
      <c r="D843" s="1" t="s">
        <v>1147</v>
      </c>
      <c r="E843" t="s">
        <v>775</v>
      </c>
      <c r="F843" t="s">
        <v>1148</v>
      </c>
      <c r="G843">
        <v>20161130</v>
      </c>
      <c r="H843">
        <v>20170212</v>
      </c>
      <c r="I843" t="s">
        <v>78</v>
      </c>
      <c r="K843" t="s">
        <v>79</v>
      </c>
      <c r="L843" t="s">
        <v>34</v>
      </c>
      <c r="M843" t="s">
        <v>34</v>
      </c>
      <c r="N843" t="s">
        <v>35</v>
      </c>
      <c r="O843" t="s">
        <v>35</v>
      </c>
      <c r="P843" t="s">
        <v>35</v>
      </c>
      <c r="Q843" t="s">
        <v>35</v>
      </c>
      <c r="R843" t="s">
        <v>35</v>
      </c>
      <c r="S843" t="s">
        <v>34</v>
      </c>
      <c r="AD843">
        <v>20170124</v>
      </c>
      <c r="AF843" t="str">
        <f>IFERROR(VLOOKUP(RIGHT(TblFeedFile1[[#This Row],[Leave Type ]],6),LkupPayType[],2,FALSE),"TBD")</f>
        <v>TBD</v>
      </c>
      <c r="AG843" t="str">
        <f>IFERROR(VLOOKUP(TblFeedFile1[[#This Row],[ Report Number ]],LkupPayrollCycle[],2,FALSE),"TBD")</f>
        <v>Bi-Weekly</v>
      </c>
      <c r="AH843" t="str">
        <f>IF(TblFeedFile1[[#This Row],[Return to Work Date ]]="","","Y")</f>
        <v/>
      </c>
    </row>
    <row r="844" spans="1:34" x14ac:dyDescent="0.25">
      <c r="A844" t="s">
        <v>37</v>
      </c>
      <c r="B844">
        <v>314304</v>
      </c>
      <c r="C844">
        <v>25596787</v>
      </c>
      <c r="D844" s="1">
        <v>551701248405</v>
      </c>
      <c r="E844" t="s">
        <v>775</v>
      </c>
      <c r="F844" t="s">
        <v>1148</v>
      </c>
      <c r="G844">
        <v>20170102</v>
      </c>
      <c r="H844">
        <v>20170212</v>
      </c>
      <c r="I844" t="s">
        <v>53</v>
      </c>
      <c r="L844" t="s">
        <v>34</v>
      </c>
      <c r="M844" t="s">
        <v>34</v>
      </c>
      <c r="N844" t="s">
        <v>35</v>
      </c>
      <c r="O844" t="s">
        <v>35</v>
      </c>
      <c r="P844" t="s">
        <v>35</v>
      </c>
      <c r="Q844" t="s">
        <v>35</v>
      </c>
      <c r="R844" t="s">
        <v>35</v>
      </c>
      <c r="S844" t="s">
        <v>34</v>
      </c>
      <c r="X844" t="s">
        <v>35</v>
      </c>
      <c r="AD844">
        <v>20170124</v>
      </c>
      <c r="AF844" t="str">
        <f>IFERROR(VLOOKUP(RIGHT(TblFeedFile1[[#This Row],[Leave Type ]],6),LkupPayType[],2,FALSE),"TBD")</f>
        <v>TBD</v>
      </c>
      <c r="AG844" t="str">
        <f>IFERROR(VLOOKUP(TblFeedFile1[[#This Row],[ Report Number ]],LkupPayrollCycle[],2,FALSE),"TBD")</f>
        <v>Bi-Weekly</v>
      </c>
      <c r="AH844" t="str">
        <f>IF(TblFeedFile1[[#This Row],[Return to Work Date ]]="","","Y")</f>
        <v/>
      </c>
    </row>
    <row r="845" spans="1:34" x14ac:dyDescent="0.25">
      <c r="A845" t="s">
        <v>37</v>
      </c>
      <c r="B845">
        <v>314304</v>
      </c>
      <c r="C845">
        <v>25596787</v>
      </c>
      <c r="D845" s="1">
        <v>551701248405</v>
      </c>
      <c r="E845" t="s">
        <v>775</v>
      </c>
      <c r="F845" t="s">
        <v>1148</v>
      </c>
      <c r="G845">
        <v>20170109</v>
      </c>
      <c r="H845">
        <v>20170212</v>
      </c>
      <c r="I845" t="s">
        <v>40</v>
      </c>
      <c r="L845" t="s">
        <v>34</v>
      </c>
      <c r="M845" t="s">
        <v>34</v>
      </c>
      <c r="N845" t="s">
        <v>35</v>
      </c>
      <c r="O845" t="s">
        <v>35</v>
      </c>
      <c r="P845" t="s">
        <v>35</v>
      </c>
      <c r="Q845" t="s">
        <v>35</v>
      </c>
      <c r="R845" t="s">
        <v>35</v>
      </c>
      <c r="S845" t="s">
        <v>34</v>
      </c>
      <c r="X845" t="s">
        <v>35</v>
      </c>
      <c r="AD845">
        <v>20170124</v>
      </c>
      <c r="AF845" t="str">
        <f>IFERROR(VLOOKUP(RIGHT(TblFeedFile1[[#This Row],[Leave Type ]],6),LkupPayType[],2,FALSE),"TBD")</f>
        <v>TBD</v>
      </c>
      <c r="AG845" t="str">
        <f>IFERROR(VLOOKUP(TblFeedFile1[[#This Row],[ Report Number ]],LkupPayrollCycle[],2,FALSE),"TBD")</f>
        <v>Bi-Weekly</v>
      </c>
      <c r="AH845" t="str">
        <f>IF(TblFeedFile1[[#This Row],[Return to Work Date ]]="","","Y")</f>
        <v/>
      </c>
    </row>
    <row r="846" spans="1:34" x14ac:dyDescent="0.25">
      <c r="A846" t="s">
        <v>37</v>
      </c>
      <c r="B846">
        <v>314304</v>
      </c>
      <c r="C846">
        <v>25602176</v>
      </c>
      <c r="D846" s="1" t="s">
        <v>1149</v>
      </c>
      <c r="E846" t="s">
        <v>1125</v>
      </c>
      <c r="F846" t="s">
        <v>1150</v>
      </c>
      <c r="G846">
        <v>20170123</v>
      </c>
      <c r="H846">
        <v>20170203</v>
      </c>
      <c r="I846" t="s">
        <v>49</v>
      </c>
      <c r="L846" t="s">
        <v>34</v>
      </c>
      <c r="M846" t="s">
        <v>34</v>
      </c>
      <c r="N846" t="s">
        <v>35</v>
      </c>
      <c r="O846" t="s">
        <v>35</v>
      </c>
      <c r="P846" t="s">
        <v>35</v>
      </c>
      <c r="Q846" t="s">
        <v>35</v>
      </c>
      <c r="R846" t="s">
        <v>35</v>
      </c>
      <c r="S846" t="s">
        <v>34</v>
      </c>
      <c r="AD846">
        <v>20170124</v>
      </c>
      <c r="AF846" t="str">
        <f>IFERROR(VLOOKUP(RIGHT(TblFeedFile1[[#This Row],[Leave Type ]],6),LkupPayType[],2,FALSE),"TBD")</f>
        <v>TBD</v>
      </c>
      <c r="AG846" t="str">
        <f>IFERROR(VLOOKUP(TblFeedFile1[[#This Row],[ Report Number ]],LkupPayrollCycle[],2,FALSE),"TBD")</f>
        <v>Bi-Weekly</v>
      </c>
      <c r="AH846" t="str">
        <f>IF(TblFeedFile1[[#This Row],[Return to Work Date ]]="","","Y")</f>
        <v/>
      </c>
    </row>
    <row r="847" spans="1:34" x14ac:dyDescent="0.25">
      <c r="A847" t="s">
        <v>37</v>
      </c>
      <c r="B847">
        <v>314304</v>
      </c>
      <c r="C847">
        <v>25604900</v>
      </c>
      <c r="D847" s="1">
        <v>561701118226</v>
      </c>
      <c r="E847" t="s">
        <v>1151</v>
      </c>
      <c r="F847" t="s">
        <v>1152</v>
      </c>
      <c r="G847">
        <v>20170124</v>
      </c>
      <c r="H847">
        <v>20170228</v>
      </c>
      <c r="I847" t="s">
        <v>40</v>
      </c>
      <c r="L847" t="s">
        <v>34</v>
      </c>
      <c r="M847" t="s">
        <v>34</v>
      </c>
      <c r="N847" t="s">
        <v>35</v>
      </c>
      <c r="O847" t="s">
        <v>35</v>
      </c>
      <c r="P847" t="s">
        <v>35</v>
      </c>
      <c r="Q847" t="s">
        <v>35</v>
      </c>
      <c r="R847" t="s">
        <v>35</v>
      </c>
      <c r="S847" t="s">
        <v>34</v>
      </c>
      <c r="AD847">
        <v>20170124</v>
      </c>
      <c r="AF847" t="str">
        <f>IFERROR(VLOOKUP(RIGHT(TblFeedFile1[[#This Row],[Leave Type ]],6),LkupPayType[],2,FALSE),"TBD")</f>
        <v>TBD</v>
      </c>
      <c r="AG847" t="str">
        <f>IFERROR(VLOOKUP(TblFeedFile1[[#This Row],[ Report Number ]],LkupPayrollCycle[],2,FALSE),"TBD")</f>
        <v>Bi-Weekly</v>
      </c>
      <c r="AH847" t="str">
        <f>IF(TblFeedFile1[[#This Row],[Return to Work Date ]]="","","Y")</f>
        <v/>
      </c>
    </row>
    <row r="848" spans="1:34" x14ac:dyDescent="0.25">
      <c r="A848" t="s">
        <v>29</v>
      </c>
      <c r="B848">
        <v>314304</v>
      </c>
      <c r="C848">
        <v>25609335</v>
      </c>
      <c r="D848" s="1" t="s">
        <v>1153</v>
      </c>
      <c r="E848" t="s">
        <v>1154</v>
      </c>
      <c r="F848" t="s">
        <v>1155</v>
      </c>
      <c r="G848">
        <v>20161116</v>
      </c>
      <c r="H848">
        <v>20170331</v>
      </c>
      <c r="I848" t="s">
        <v>201</v>
      </c>
      <c r="L848" t="s">
        <v>34</v>
      </c>
      <c r="M848" t="s">
        <v>34</v>
      </c>
      <c r="N848" t="s">
        <v>35</v>
      </c>
      <c r="O848" t="s">
        <v>35</v>
      </c>
      <c r="P848" t="s">
        <v>35</v>
      </c>
      <c r="Q848" t="s">
        <v>35</v>
      </c>
      <c r="R848" t="s">
        <v>35</v>
      </c>
      <c r="S848" t="s">
        <v>34</v>
      </c>
      <c r="U848">
        <v>3271.65</v>
      </c>
      <c r="V848" t="s">
        <v>1156</v>
      </c>
      <c r="W848">
        <v>20170103</v>
      </c>
      <c r="AC848" t="s">
        <v>35</v>
      </c>
      <c r="AD848">
        <v>20170124</v>
      </c>
      <c r="AF848" t="str">
        <f>IFERROR(VLOOKUP(RIGHT(TblFeedFile1[[#This Row],[Leave Type ]],6),LkupPayType[],2,FALSE),"TBD")</f>
        <v>TBD</v>
      </c>
      <c r="AG848" t="str">
        <f>IFERROR(VLOOKUP(TblFeedFile1[[#This Row],[ Report Number ]],LkupPayrollCycle[],2,FALSE),"TBD")</f>
        <v>Bi-Weekly</v>
      </c>
      <c r="AH848" t="str">
        <f>IF(TblFeedFile1[[#This Row],[Return to Work Date ]]="","","Y")</f>
        <v/>
      </c>
    </row>
    <row r="849" spans="1:34" x14ac:dyDescent="0.25">
      <c r="A849" t="s">
        <v>37</v>
      </c>
      <c r="B849">
        <v>314304</v>
      </c>
      <c r="C849">
        <v>25609335</v>
      </c>
      <c r="D849" s="1" t="s">
        <v>1153</v>
      </c>
      <c r="E849" t="s">
        <v>1154</v>
      </c>
      <c r="F849" t="s">
        <v>1155</v>
      </c>
      <c r="G849">
        <v>20170115</v>
      </c>
      <c r="H849">
        <v>20170331</v>
      </c>
      <c r="I849" t="s">
        <v>201</v>
      </c>
      <c r="L849" t="s">
        <v>34</v>
      </c>
      <c r="M849" t="s">
        <v>34</v>
      </c>
      <c r="N849" t="s">
        <v>35</v>
      </c>
      <c r="O849" t="s">
        <v>35</v>
      </c>
      <c r="P849" t="s">
        <v>35</v>
      </c>
      <c r="Q849" t="s">
        <v>35</v>
      </c>
      <c r="R849" t="s">
        <v>35</v>
      </c>
      <c r="S849" t="s">
        <v>34</v>
      </c>
      <c r="U849">
        <v>3271.65</v>
      </c>
      <c r="V849" t="s">
        <v>1156</v>
      </c>
      <c r="W849">
        <v>20170103</v>
      </c>
      <c r="AC849" t="s">
        <v>35</v>
      </c>
      <c r="AD849">
        <v>20170124</v>
      </c>
      <c r="AF849" t="str">
        <f>IFERROR(VLOOKUP(RIGHT(TblFeedFile1[[#This Row],[Leave Type ]],6),LkupPayType[],2,FALSE),"TBD")</f>
        <v>TBD</v>
      </c>
      <c r="AG849" t="str">
        <f>IFERROR(VLOOKUP(TblFeedFile1[[#This Row],[ Report Number ]],LkupPayrollCycle[],2,FALSE),"TBD")</f>
        <v>Bi-Weekly</v>
      </c>
      <c r="AH849" t="str">
        <f>IF(TblFeedFile1[[#This Row],[Return to Work Date ]]="","","Y")</f>
        <v/>
      </c>
    </row>
    <row r="850" spans="1:34" x14ac:dyDescent="0.25">
      <c r="A850" t="s">
        <v>29</v>
      </c>
      <c r="B850">
        <v>314305</v>
      </c>
      <c r="C850">
        <v>25617194</v>
      </c>
      <c r="D850" s="1" t="s">
        <v>1157</v>
      </c>
      <c r="E850" t="s">
        <v>1158</v>
      </c>
      <c r="F850" t="s">
        <v>1159</v>
      </c>
      <c r="G850">
        <v>20161123</v>
      </c>
      <c r="H850">
        <v>20161123</v>
      </c>
      <c r="I850" t="s">
        <v>33</v>
      </c>
      <c r="L850" t="s">
        <v>34</v>
      </c>
      <c r="M850" t="s">
        <v>34</v>
      </c>
      <c r="N850" t="s">
        <v>35</v>
      </c>
      <c r="O850" t="s">
        <v>35</v>
      </c>
      <c r="P850" t="s">
        <v>35</v>
      </c>
      <c r="Q850" t="s">
        <v>35</v>
      </c>
      <c r="R850" t="s">
        <v>35</v>
      </c>
      <c r="S850" t="s">
        <v>34</v>
      </c>
      <c r="AC850" t="s">
        <v>35</v>
      </c>
      <c r="AD850">
        <v>20170124</v>
      </c>
      <c r="AF850" t="str">
        <f>IFERROR(VLOOKUP(RIGHT(TblFeedFile1[[#This Row],[Leave Type ]],6),LkupPayType[],2,FALSE),"TBD")</f>
        <v>TBD</v>
      </c>
      <c r="AG850" t="str">
        <f>IFERROR(VLOOKUP(TblFeedFile1[[#This Row],[ Report Number ]],LkupPayrollCycle[],2,FALSE),"TBD")</f>
        <v>Bi-Weekly</v>
      </c>
      <c r="AH850" t="str">
        <f>IF(TblFeedFile1[[#This Row],[Return to Work Date ]]="","","Y")</f>
        <v/>
      </c>
    </row>
    <row r="851" spans="1:34" x14ac:dyDescent="0.25">
      <c r="A851" t="s">
        <v>29</v>
      </c>
      <c r="B851">
        <v>314305</v>
      </c>
      <c r="C851">
        <v>25617194</v>
      </c>
      <c r="D851" s="1" t="s">
        <v>1157</v>
      </c>
      <c r="E851" t="s">
        <v>1158</v>
      </c>
      <c r="F851" t="s">
        <v>1159</v>
      </c>
      <c r="G851">
        <v>20151107</v>
      </c>
      <c r="H851">
        <v>20161122</v>
      </c>
      <c r="I851" t="s">
        <v>36</v>
      </c>
      <c r="L851" t="s">
        <v>34</v>
      </c>
      <c r="M851" t="s">
        <v>34</v>
      </c>
      <c r="N851" t="s">
        <v>35</v>
      </c>
      <c r="O851" t="s">
        <v>35</v>
      </c>
      <c r="P851" t="s">
        <v>35</v>
      </c>
      <c r="Q851" t="s">
        <v>35</v>
      </c>
      <c r="R851" t="s">
        <v>35</v>
      </c>
      <c r="S851" t="s">
        <v>34</v>
      </c>
      <c r="AC851" t="s">
        <v>35</v>
      </c>
      <c r="AD851">
        <v>20170124</v>
      </c>
      <c r="AF851" t="str">
        <f>IFERROR(VLOOKUP(RIGHT(TblFeedFile1[[#This Row],[Leave Type ]],6),LkupPayType[],2,FALSE),"TBD")</f>
        <v>TBD</v>
      </c>
      <c r="AG851" t="str">
        <f>IFERROR(VLOOKUP(TblFeedFile1[[#This Row],[ Report Number ]],LkupPayrollCycle[],2,FALSE),"TBD")</f>
        <v>Bi-Weekly</v>
      </c>
      <c r="AH851" t="str">
        <f>IF(TblFeedFile1[[#This Row],[Return to Work Date ]]="","","Y")</f>
        <v/>
      </c>
    </row>
    <row r="852" spans="1:34" x14ac:dyDescent="0.25">
      <c r="A852" t="s">
        <v>37</v>
      </c>
      <c r="B852">
        <v>314305</v>
      </c>
      <c r="C852">
        <v>25617194</v>
      </c>
      <c r="D852" s="1" t="s">
        <v>1157</v>
      </c>
      <c r="E852" t="s">
        <v>1158</v>
      </c>
      <c r="F852" t="s">
        <v>1159</v>
      </c>
      <c r="G852">
        <v>20151107</v>
      </c>
      <c r="H852">
        <v>20170219</v>
      </c>
      <c r="I852" t="s">
        <v>36</v>
      </c>
      <c r="L852" t="s">
        <v>34</v>
      </c>
      <c r="M852" t="s">
        <v>34</v>
      </c>
      <c r="N852" t="s">
        <v>35</v>
      </c>
      <c r="O852" t="s">
        <v>35</v>
      </c>
      <c r="P852" t="s">
        <v>35</v>
      </c>
      <c r="Q852" t="s">
        <v>35</v>
      </c>
      <c r="R852" t="s">
        <v>35</v>
      </c>
      <c r="S852" t="s">
        <v>34</v>
      </c>
      <c r="AC852" t="s">
        <v>35</v>
      </c>
      <c r="AD852">
        <v>20170124</v>
      </c>
      <c r="AF852" t="str">
        <f>IFERROR(VLOOKUP(RIGHT(TblFeedFile1[[#This Row],[Leave Type ]],6),LkupPayType[],2,FALSE),"TBD")</f>
        <v>TBD</v>
      </c>
      <c r="AG852" t="str">
        <f>IFERROR(VLOOKUP(TblFeedFile1[[#This Row],[ Report Number ]],LkupPayrollCycle[],2,FALSE),"TBD")</f>
        <v>Bi-Weekly</v>
      </c>
      <c r="AH852" t="str">
        <f>IF(TblFeedFile1[[#This Row],[Return to Work Date ]]="","","Y")</f>
        <v/>
      </c>
    </row>
    <row r="853" spans="1:34" x14ac:dyDescent="0.25">
      <c r="A853" t="s">
        <v>29</v>
      </c>
      <c r="B853">
        <v>314304</v>
      </c>
      <c r="C853">
        <v>25618082</v>
      </c>
      <c r="D853" s="1">
        <v>511701178889</v>
      </c>
      <c r="E853" t="s">
        <v>1160</v>
      </c>
      <c r="F853" t="s">
        <v>1161</v>
      </c>
      <c r="G853">
        <v>20170117</v>
      </c>
      <c r="H853">
        <v>20170710</v>
      </c>
      <c r="I853" t="s">
        <v>53</v>
      </c>
      <c r="L853" t="s">
        <v>34</v>
      </c>
      <c r="M853" t="s">
        <v>34</v>
      </c>
      <c r="N853" t="s">
        <v>35</v>
      </c>
      <c r="O853" t="s">
        <v>35</v>
      </c>
      <c r="P853" t="s">
        <v>35</v>
      </c>
      <c r="Q853" t="s">
        <v>35</v>
      </c>
      <c r="R853" t="s">
        <v>34</v>
      </c>
      <c r="S853" t="s">
        <v>34</v>
      </c>
      <c r="AD853">
        <v>20170124</v>
      </c>
      <c r="AF853" t="str">
        <f>IFERROR(VLOOKUP(RIGHT(TblFeedFile1[[#This Row],[Leave Type ]],6),LkupPayType[],2,FALSE),"TBD")</f>
        <v>TBD</v>
      </c>
      <c r="AG853" t="str">
        <f>IFERROR(VLOOKUP(TblFeedFile1[[#This Row],[ Report Number ]],LkupPayrollCycle[],2,FALSE),"TBD")</f>
        <v>Bi-Weekly</v>
      </c>
      <c r="AH853" t="str">
        <f>IF(TblFeedFile1[[#This Row],[Return to Work Date ]]="","","Y")</f>
        <v/>
      </c>
    </row>
    <row r="854" spans="1:34" x14ac:dyDescent="0.25">
      <c r="A854" t="s">
        <v>37</v>
      </c>
      <c r="B854">
        <v>314304</v>
      </c>
      <c r="C854">
        <v>25618082</v>
      </c>
      <c r="D854" s="1">
        <v>511701178889</v>
      </c>
      <c r="E854" t="s">
        <v>1160</v>
      </c>
      <c r="F854" t="s">
        <v>1161</v>
      </c>
      <c r="G854">
        <v>20170117</v>
      </c>
      <c r="H854">
        <v>20170710</v>
      </c>
      <c r="I854" t="s">
        <v>53</v>
      </c>
      <c r="L854" t="s">
        <v>34</v>
      </c>
      <c r="M854" t="s">
        <v>35</v>
      </c>
      <c r="N854" t="s">
        <v>35</v>
      </c>
      <c r="O854" t="s">
        <v>35</v>
      </c>
      <c r="P854" t="s">
        <v>35</v>
      </c>
      <c r="Q854" t="s">
        <v>35</v>
      </c>
      <c r="R854" t="s">
        <v>34</v>
      </c>
      <c r="S854" t="s">
        <v>34</v>
      </c>
      <c r="AD854">
        <v>20170124</v>
      </c>
      <c r="AF854" t="str">
        <f>IFERROR(VLOOKUP(RIGHT(TblFeedFile1[[#This Row],[Leave Type ]],6),LkupPayType[],2,FALSE),"TBD")</f>
        <v>TBD</v>
      </c>
      <c r="AG854" t="str">
        <f>IFERROR(VLOOKUP(TblFeedFile1[[#This Row],[ Report Number ]],LkupPayrollCycle[],2,FALSE),"TBD")</f>
        <v>Bi-Weekly</v>
      </c>
      <c r="AH854" t="str">
        <f>IF(TblFeedFile1[[#This Row],[Return to Work Date ]]="","","Y")</f>
        <v/>
      </c>
    </row>
    <row r="855" spans="1:34" x14ac:dyDescent="0.25">
      <c r="A855" t="s">
        <v>37</v>
      </c>
      <c r="B855">
        <v>314304</v>
      </c>
      <c r="C855">
        <v>25618082</v>
      </c>
      <c r="D855" s="1">
        <v>511701178889</v>
      </c>
      <c r="E855" t="s">
        <v>1160</v>
      </c>
      <c r="F855" t="s">
        <v>1161</v>
      </c>
      <c r="G855">
        <v>20170124</v>
      </c>
      <c r="H855">
        <v>20170710</v>
      </c>
      <c r="I855" t="s">
        <v>40</v>
      </c>
      <c r="L855" t="s">
        <v>34</v>
      </c>
      <c r="M855" t="s">
        <v>35</v>
      </c>
      <c r="N855" t="s">
        <v>35</v>
      </c>
      <c r="O855" t="s">
        <v>35</v>
      </c>
      <c r="P855" t="s">
        <v>35</v>
      </c>
      <c r="Q855" t="s">
        <v>35</v>
      </c>
      <c r="R855" t="s">
        <v>34</v>
      </c>
      <c r="S855" t="s">
        <v>34</v>
      </c>
      <c r="AD855">
        <v>20170124</v>
      </c>
      <c r="AF855" t="str">
        <f>IFERROR(VLOOKUP(RIGHT(TblFeedFile1[[#This Row],[Leave Type ]],6),LkupPayType[],2,FALSE),"TBD")</f>
        <v>TBD</v>
      </c>
      <c r="AG855" t="str">
        <f>IFERROR(VLOOKUP(TblFeedFile1[[#This Row],[ Report Number ]],LkupPayrollCycle[],2,FALSE),"TBD")</f>
        <v>Bi-Weekly</v>
      </c>
      <c r="AH855" t="str">
        <f>IF(TblFeedFile1[[#This Row],[Return to Work Date ]]="","","Y")</f>
        <v/>
      </c>
    </row>
    <row r="856" spans="1:34" x14ac:dyDescent="0.25">
      <c r="A856" t="s">
        <v>29</v>
      </c>
      <c r="B856">
        <v>314304</v>
      </c>
      <c r="C856">
        <v>25638593</v>
      </c>
      <c r="D856" s="1" t="s">
        <v>1162</v>
      </c>
      <c r="E856" t="s">
        <v>1163</v>
      </c>
      <c r="F856" t="s">
        <v>1164</v>
      </c>
      <c r="G856">
        <v>20170112</v>
      </c>
      <c r="H856">
        <v>20170112</v>
      </c>
      <c r="I856" t="s">
        <v>33</v>
      </c>
      <c r="L856" t="s">
        <v>34</v>
      </c>
      <c r="M856" t="s">
        <v>34</v>
      </c>
      <c r="N856" t="s">
        <v>35</v>
      </c>
      <c r="O856" t="s">
        <v>35</v>
      </c>
      <c r="P856" t="s">
        <v>35</v>
      </c>
      <c r="Q856" t="s">
        <v>35</v>
      </c>
      <c r="R856" t="s">
        <v>35</v>
      </c>
      <c r="S856" t="s">
        <v>34</v>
      </c>
      <c r="AC856" t="s">
        <v>35</v>
      </c>
      <c r="AD856">
        <v>20170124</v>
      </c>
      <c r="AF856" t="str">
        <f>IFERROR(VLOOKUP(RIGHT(TblFeedFile1[[#This Row],[Leave Type ]],6),LkupPayType[],2,FALSE),"TBD")</f>
        <v>TBD</v>
      </c>
      <c r="AG856" t="str">
        <f>IFERROR(VLOOKUP(TblFeedFile1[[#This Row],[ Report Number ]],LkupPayrollCycle[],2,FALSE),"TBD")</f>
        <v>Bi-Weekly</v>
      </c>
      <c r="AH856" t="str">
        <f>IF(TblFeedFile1[[#This Row],[Return to Work Date ]]="","","Y")</f>
        <v/>
      </c>
    </row>
    <row r="857" spans="1:34" x14ac:dyDescent="0.25">
      <c r="A857" t="s">
        <v>29</v>
      </c>
      <c r="B857">
        <v>314304</v>
      </c>
      <c r="C857">
        <v>25638593</v>
      </c>
      <c r="D857" s="1" t="s">
        <v>1162</v>
      </c>
      <c r="E857" t="s">
        <v>1163</v>
      </c>
      <c r="F857" t="s">
        <v>1164</v>
      </c>
      <c r="G857">
        <v>20161224</v>
      </c>
      <c r="H857">
        <v>20170111</v>
      </c>
      <c r="I857" t="s">
        <v>223</v>
      </c>
      <c r="L857" t="s">
        <v>34</v>
      </c>
      <c r="M857" t="s">
        <v>34</v>
      </c>
      <c r="N857" t="s">
        <v>35</v>
      </c>
      <c r="O857" t="s">
        <v>35</v>
      </c>
      <c r="P857" t="s">
        <v>35</v>
      </c>
      <c r="Q857" t="s">
        <v>35</v>
      </c>
      <c r="R857" t="s">
        <v>35</v>
      </c>
      <c r="S857" t="s">
        <v>34</v>
      </c>
      <c r="AC857" t="s">
        <v>35</v>
      </c>
      <c r="AD857">
        <v>20170124</v>
      </c>
      <c r="AF857" t="str">
        <f>IFERROR(VLOOKUP(RIGHT(TblFeedFile1[[#This Row],[Leave Type ]],6),LkupPayType[],2,FALSE),"TBD")</f>
        <v>TBD</v>
      </c>
      <c r="AG857" t="str">
        <f>IFERROR(VLOOKUP(TblFeedFile1[[#This Row],[ Report Number ]],LkupPayrollCycle[],2,FALSE),"TBD")</f>
        <v>Bi-Weekly</v>
      </c>
      <c r="AH857" t="str">
        <f>IF(TblFeedFile1[[#This Row],[Return to Work Date ]]="","","Y")</f>
        <v/>
      </c>
    </row>
    <row r="858" spans="1:34" x14ac:dyDescent="0.25">
      <c r="A858" t="s">
        <v>37</v>
      </c>
      <c r="B858">
        <v>314304</v>
      </c>
      <c r="C858">
        <v>25638593</v>
      </c>
      <c r="D858" s="1" t="s">
        <v>1162</v>
      </c>
      <c r="E858" t="s">
        <v>1163</v>
      </c>
      <c r="F858" t="s">
        <v>1164</v>
      </c>
      <c r="G858">
        <v>20161224</v>
      </c>
      <c r="H858">
        <v>20170120</v>
      </c>
      <c r="I858" t="s">
        <v>223</v>
      </c>
      <c r="L858" t="s">
        <v>34</v>
      </c>
      <c r="M858" t="s">
        <v>34</v>
      </c>
      <c r="N858" t="s">
        <v>35</v>
      </c>
      <c r="O858" t="s">
        <v>35</v>
      </c>
      <c r="P858" t="s">
        <v>35</v>
      </c>
      <c r="Q858" t="s">
        <v>35</v>
      </c>
      <c r="R858" t="s">
        <v>35</v>
      </c>
      <c r="S858" t="s">
        <v>34</v>
      </c>
      <c r="AC858" t="s">
        <v>35</v>
      </c>
      <c r="AD858">
        <v>20170124</v>
      </c>
      <c r="AF858" t="str">
        <f>IFERROR(VLOOKUP(RIGHT(TblFeedFile1[[#This Row],[Leave Type ]],6),LkupPayType[],2,FALSE),"TBD")</f>
        <v>TBD</v>
      </c>
      <c r="AG858" t="str">
        <f>IFERROR(VLOOKUP(TblFeedFile1[[#This Row],[ Report Number ]],LkupPayrollCycle[],2,FALSE),"TBD")</f>
        <v>Bi-Weekly</v>
      </c>
      <c r="AH858" t="str">
        <f>IF(TblFeedFile1[[#This Row],[Return to Work Date ]]="","","Y")</f>
        <v/>
      </c>
    </row>
    <row r="859" spans="1:34" x14ac:dyDescent="0.25">
      <c r="A859" t="s">
        <v>37</v>
      </c>
      <c r="B859">
        <v>314304</v>
      </c>
      <c r="C859">
        <v>25638593</v>
      </c>
      <c r="D859" s="1" t="s">
        <v>1162</v>
      </c>
      <c r="E859" t="s">
        <v>1163</v>
      </c>
      <c r="F859" t="s">
        <v>1164</v>
      </c>
      <c r="G859">
        <v>20170121</v>
      </c>
      <c r="H859">
        <v>20170121</v>
      </c>
      <c r="I859" t="s">
        <v>33</v>
      </c>
      <c r="L859" t="s">
        <v>34</v>
      </c>
      <c r="M859" t="s">
        <v>34</v>
      </c>
      <c r="N859" t="s">
        <v>35</v>
      </c>
      <c r="O859" t="s">
        <v>35</v>
      </c>
      <c r="P859" t="s">
        <v>35</v>
      </c>
      <c r="Q859" t="s">
        <v>35</v>
      </c>
      <c r="R859" t="s">
        <v>35</v>
      </c>
      <c r="S859" t="s">
        <v>34</v>
      </c>
      <c r="AC859" t="s">
        <v>35</v>
      </c>
      <c r="AD859">
        <v>20170124</v>
      </c>
      <c r="AF859" t="str">
        <f>IFERROR(VLOOKUP(RIGHT(TblFeedFile1[[#This Row],[Leave Type ]],6),LkupPayType[],2,FALSE),"TBD")</f>
        <v>TBD</v>
      </c>
      <c r="AG859" t="str">
        <f>IFERROR(VLOOKUP(TblFeedFile1[[#This Row],[ Report Number ]],LkupPayrollCycle[],2,FALSE),"TBD")</f>
        <v>Bi-Weekly</v>
      </c>
      <c r="AH859" t="str">
        <f>IF(TblFeedFile1[[#This Row],[Return to Work Date ]]="","","Y")</f>
        <v/>
      </c>
    </row>
    <row r="860" spans="1:34" x14ac:dyDescent="0.25">
      <c r="A860" t="s">
        <v>37</v>
      </c>
      <c r="B860">
        <v>314305</v>
      </c>
      <c r="C860">
        <v>25659730</v>
      </c>
      <c r="D860" s="1" t="s">
        <v>1165</v>
      </c>
      <c r="E860" t="s">
        <v>1166</v>
      </c>
      <c r="F860" t="s">
        <v>1167</v>
      </c>
      <c r="G860">
        <v>20170123</v>
      </c>
      <c r="H860">
        <v>20170206</v>
      </c>
      <c r="I860" t="s">
        <v>36</v>
      </c>
      <c r="L860" t="s">
        <v>34</v>
      </c>
      <c r="M860" t="s">
        <v>34</v>
      </c>
      <c r="N860" t="s">
        <v>35</v>
      </c>
      <c r="O860" t="s">
        <v>35</v>
      </c>
      <c r="P860" t="s">
        <v>35</v>
      </c>
      <c r="Q860" t="s">
        <v>35</v>
      </c>
      <c r="R860" t="s">
        <v>35</v>
      </c>
      <c r="S860" t="s">
        <v>34</v>
      </c>
      <c r="AD860">
        <v>20170124</v>
      </c>
      <c r="AF860" t="str">
        <f>IFERROR(VLOOKUP(RIGHT(TblFeedFile1[[#This Row],[Leave Type ]],6),LkupPayType[],2,FALSE),"TBD")</f>
        <v>TBD</v>
      </c>
      <c r="AG860" t="str">
        <f>IFERROR(VLOOKUP(TblFeedFile1[[#This Row],[ Report Number ]],LkupPayrollCycle[],2,FALSE),"TBD")</f>
        <v>Bi-Weekly</v>
      </c>
      <c r="AH860" t="str">
        <f>IF(TblFeedFile1[[#This Row],[Return to Work Date ]]="","","Y")</f>
        <v/>
      </c>
    </row>
    <row r="861" spans="1:34" x14ac:dyDescent="0.25">
      <c r="A861" t="s">
        <v>37</v>
      </c>
      <c r="B861">
        <v>314304</v>
      </c>
      <c r="C861">
        <v>25687436</v>
      </c>
      <c r="D861" s="1" t="s">
        <v>1168</v>
      </c>
      <c r="E861" t="s">
        <v>1169</v>
      </c>
      <c r="F861" t="s">
        <v>1170</v>
      </c>
      <c r="G861">
        <v>20170124</v>
      </c>
      <c r="H861">
        <v>20170307</v>
      </c>
      <c r="I861" t="s">
        <v>36</v>
      </c>
      <c r="L861" t="s">
        <v>34</v>
      </c>
      <c r="M861" t="s">
        <v>34</v>
      </c>
      <c r="N861" t="s">
        <v>35</v>
      </c>
      <c r="O861" t="s">
        <v>35</v>
      </c>
      <c r="P861" t="s">
        <v>35</v>
      </c>
      <c r="Q861" t="s">
        <v>35</v>
      </c>
      <c r="R861" t="s">
        <v>35</v>
      </c>
      <c r="S861" t="s">
        <v>34</v>
      </c>
      <c r="AD861">
        <v>20170124</v>
      </c>
      <c r="AF861" t="str">
        <f>IFERROR(VLOOKUP(RIGHT(TblFeedFile1[[#This Row],[Leave Type ]],6),LkupPayType[],2,FALSE),"TBD")</f>
        <v>TBD</v>
      </c>
      <c r="AG861" t="str">
        <f>IFERROR(VLOOKUP(TblFeedFile1[[#This Row],[ Report Number ]],LkupPayrollCycle[],2,FALSE),"TBD")</f>
        <v>Bi-Weekly</v>
      </c>
      <c r="AH861" t="str">
        <f>IF(TblFeedFile1[[#This Row],[Return to Work Date ]]="","","Y")</f>
        <v/>
      </c>
    </row>
    <row r="862" spans="1:34" x14ac:dyDescent="0.25">
      <c r="A862" t="s">
        <v>29</v>
      </c>
      <c r="B862">
        <v>314301</v>
      </c>
      <c r="C862">
        <v>25702375</v>
      </c>
      <c r="D862" s="1">
        <v>501701208990</v>
      </c>
      <c r="E862" t="s">
        <v>1171</v>
      </c>
      <c r="F862" t="s">
        <v>1172</v>
      </c>
      <c r="G862">
        <v>20170114</v>
      </c>
      <c r="I862" t="s">
        <v>53</v>
      </c>
      <c r="L862" t="s">
        <v>34</v>
      </c>
      <c r="M862" t="s">
        <v>34</v>
      </c>
      <c r="N862" t="s">
        <v>35</v>
      </c>
      <c r="O862" t="s">
        <v>35</v>
      </c>
      <c r="P862" t="s">
        <v>35</v>
      </c>
      <c r="Q862" t="s">
        <v>35</v>
      </c>
      <c r="R862" t="s">
        <v>35</v>
      </c>
      <c r="S862" t="s">
        <v>34</v>
      </c>
      <c r="AD862">
        <v>20170124</v>
      </c>
      <c r="AF862" t="str">
        <f>IFERROR(VLOOKUP(RIGHT(TblFeedFile1[[#This Row],[Leave Type ]],6),LkupPayType[],2,FALSE),"TBD")</f>
        <v>TBD</v>
      </c>
      <c r="AG862" t="str">
        <f>IFERROR(VLOOKUP(TblFeedFile1[[#This Row],[ Report Number ]],LkupPayrollCycle[],2,FALSE),"TBD")</f>
        <v>Semi-Monthly</v>
      </c>
      <c r="AH862" t="str">
        <f>IF(TblFeedFile1[[#This Row],[Return to Work Date ]]="","","Y")</f>
        <v/>
      </c>
    </row>
    <row r="863" spans="1:34" x14ac:dyDescent="0.25">
      <c r="A863" t="s">
        <v>37</v>
      </c>
      <c r="B863">
        <v>314301</v>
      </c>
      <c r="C863">
        <v>25702375</v>
      </c>
      <c r="D863" s="1">
        <v>501701208990</v>
      </c>
      <c r="E863" t="s">
        <v>1171</v>
      </c>
      <c r="F863" t="s">
        <v>1172</v>
      </c>
      <c r="G863">
        <v>20170116</v>
      </c>
      <c r="H863">
        <v>20170409</v>
      </c>
      <c r="I863" t="s">
        <v>53</v>
      </c>
      <c r="L863" t="s">
        <v>34</v>
      </c>
      <c r="M863" t="s">
        <v>34</v>
      </c>
      <c r="N863" t="s">
        <v>35</v>
      </c>
      <c r="O863" t="s">
        <v>35</v>
      </c>
      <c r="P863" t="s">
        <v>35</v>
      </c>
      <c r="Q863" t="s">
        <v>35</v>
      </c>
      <c r="R863" t="s">
        <v>35</v>
      </c>
      <c r="S863" t="s">
        <v>34</v>
      </c>
      <c r="AD863">
        <v>20170124</v>
      </c>
      <c r="AF863" t="str">
        <f>IFERROR(VLOOKUP(RIGHT(TblFeedFile1[[#This Row],[Leave Type ]],6),LkupPayType[],2,FALSE),"TBD")</f>
        <v>TBD</v>
      </c>
      <c r="AG863" t="str">
        <f>IFERROR(VLOOKUP(TblFeedFile1[[#This Row],[ Report Number ]],LkupPayrollCycle[],2,FALSE),"TBD")</f>
        <v>Semi-Monthly</v>
      </c>
      <c r="AH863" t="str">
        <f>IF(TblFeedFile1[[#This Row],[Return to Work Date ]]="","","Y")</f>
        <v/>
      </c>
    </row>
    <row r="864" spans="1:34" x14ac:dyDescent="0.25">
      <c r="A864" t="s">
        <v>37</v>
      </c>
      <c r="B864">
        <v>314301</v>
      </c>
      <c r="C864">
        <v>25702375</v>
      </c>
      <c r="D864" s="1">
        <v>501701208990</v>
      </c>
      <c r="E864" t="s">
        <v>1171</v>
      </c>
      <c r="F864" t="s">
        <v>1172</v>
      </c>
      <c r="G864">
        <v>20170123</v>
      </c>
      <c r="H864">
        <v>20170409</v>
      </c>
      <c r="I864" t="s">
        <v>40</v>
      </c>
      <c r="L864" t="s">
        <v>34</v>
      </c>
      <c r="M864" t="s">
        <v>34</v>
      </c>
      <c r="N864" t="s">
        <v>35</v>
      </c>
      <c r="O864" t="s">
        <v>35</v>
      </c>
      <c r="P864" t="s">
        <v>35</v>
      </c>
      <c r="Q864" t="s">
        <v>35</v>
      </c>
      <c r="R864" t="s">
        <v>35</v>
      </c>
      <c r="S864" t="s">
        <v>34</v>
      </c>
      <c r="AD864">
        <v>20170124</v>
      </c>
      <c r="AF864" t="str">
        <f>IFERROR(VLOOKUP(RIGHT(TblFeedFile1[[#This Row],[Leave Type ]],6),LkupPayType[],2,FALSE),"TBD")</f>
        <v>TBD</v>
      </c>
      <c r="AG864" t="str">
        <f>IFERROR(VLOOKUP(TblFeedFile1[[#This Row],[ Report Number ]],LkupPayrollCycle[],2,FALSE),"TBD")</f>
        <v>Semi-Monthly</v>
      </c>
      <c r="AH864" t="str">
        <f>IF(TblFeedFile1[[#This Row],[Return to Work Date ]]="","","Y")</f>
        <v/>
      </c>
    </row>
    <row r="865" spans="1:34" x14ac:dyDescent="0.25">
      <c r="A865" t="s">
        <v>37</v>
      </c>
      <c r="B865">
        <v>314304</v>
      </c>
      <c r="C865">
        <v>25705116</v>
      </c>
      <c r="D865" s="1">
        <v>551701068575</v>
      </c>
      <c r="E865" t="s">
        <v>430</v>
      </c>
      <c r="F865" t="s">
        <v>1173</v>
      </c>
      <c r="G865">
        <v>20170124</v>
      </c>
      <c r="H865">
        <v>20170525</v>
      </c>
      <c r="I865" t="s">
        <v>40</v>
      </c>
      <c r="L865" t="s">
        <v>34</v>
      </c>
      <c r="M865" t="s">
        <v>34</v>
      </c>
      <c r="N865" t="s">
        <v>35</v>
      </c>
      <c r="O865" t="s">
        <v>35</v>
      </c>
      <c r="P865" t="s">
        <v>35</v>
      </c>
      <c r="Q865" t="s">
        <v>35</v>
      </c>
      <c r="R865" t="s">
        <v>35</v>
      </c>
      <c r="S865" t="s">
        <v>34</v>
      </c>
      <c r="AD865">
        <v>20170124</v>
      </c>
      <c r="AF865" t="str">
        <f>IFERROR(VLOOKUP(RIGHT(TblFeedFile1[[#This Row],[Leave Type ]],6),LkupPayType[],2,FALSE),"TBD")</f>
        <v>TBD</v>
      </c>
      <c r="AG865" t="str">
        <f>IFERROR(VLOOKUP(TblFeedFile1[[#This Row],[ Report Number ]],LkupPayrollCycle[],2,FALSE),"TBD")</f>
        <v>Bi-Weekly</v>
      </c>
      <c r="AH865" t="str">
        <f>IF(TblFeedFile1[[#This Row],[Return to Work Date ]]="","","Y")</f>
        <v/>
      </c>
    </row>
    <row r="866" spans="1:34" x14ac:dyDescent="0.25">
      <c r="A866" t="s">
        <v>29</v>
      </c>
      <c r="B866">
        <v>314301</v>
      </c>
      <c r="C866">
        <v>25728797</v>
      </c>
      <c r="D866" s="1" t="s">
        <v>1174</v>
      </c>
      <c r="E866" t="s">
        <v>895</v>
      </c>
      <c r="F866" t="s">
        <v>1175</v>
      </c>
      <c r="G866">
        <v>20170103</v>
      </c>
      <c r="H866">
        <v>20170228</v>
      </c>
      <c r="I866" t="s">
        <v>185</v>
      </c>
      <c r="L866" t="s">
        <v>35</v>
      </c>
      <c r="AD866">
        <v>20170124</v>
      </c>
      <c r="AF866" t="str">
        <f>IFERROR(VLOOKUP(RIGHT(TblFeedFile1[[#This Row],[Leave Type ]],6),LkupPayType[],2,FALSE),"TBD")</f>
        <v>TBD</v>
      </c>
      <c r="AG866" t="str">
        <f>IFERROR(VLOOKUP(TblFeedFile1[[#This Row],[ Report Number ]],LkupPayrollCycle[],2,FALSE),"TBD")</f>
        <v>Semi-Monthly</v>
      </c>
      <c r="AH866" t="str">
        <f>IF(TblFeedFile1[[#This Row],[Return to Work Date ]]="","","Y")</f>
        <v/>
      </c>
    </row>
    <row r="867" spans="1:34" x14ac:dyDescent="0.25">
      <c r="A867" t="s">
        <v>37</v>
      </c>
      <c r="B867">
        <v>314304</v>
      </c>
      <c r="C867">
        <v>25728809</v>
      </c>
      <c r="D867" s="1">
        <v>501701248510</v>
      </c>
      <c r="E867" t="s">
        <v>1176</v>
      </c>
      <c r="F867" t="s">
        <v>1177</v>
      </c>
      <c r="G867">
        <v>20170114</v>
      </c>
      <c r="I867" t="s">
        <v>53</v>
      </c>
      <c r="L867" t="s">
        <v>34</v>
      </c>
      <c r="M867" t="s">
        <v>34</v>
      </c>
      <c r="N867" t="s">
        <v>35</v>
      </c>
      <c r="O867" t="s">
        <v>35</v>
      </c>
      <c r="P867" t="s">
        <v>35</v>
      </c>
      <c r="Q867" t="s">
        <v>35</v>
      </c>
      <c r="R867" t="s">
        <v>35</v>
      </c>
      <c r="S867" t="s">
        <v>34</v>
      </c>
      <c r="AD867">
        <v>20170124</v>
      </c>
      <c r="AF867" t="str">
        <f>IFERROR(VLOOKUP(RIGHT(TblFeedFile1[[#This Row],[Leave Type ]],6),LkupPayType[],2,FALSE),"TBD")</f>
        <v>TBD</v>
      </c>
      <c r="AG867" t="str">
        <f>IFERROR(VLOOKUP(TblFeedFile1[[#This Row],[ Report Number ]],LkupPayrollCycle[],2,FALSE),"TBD")</f>
        <v>Bi-Weekly</v>
      </c>
      <c r="AH867" t="str">
        <f>IF(TblFeedFile1[[#This Row],[Return to Work Date ]]="","","Y")</f>
        <v/>
      </c>
    </row>
    <row r="868" spans="1:34" x14ac:dyDescent="0.25">
      <c r="A868" t="s">
        <v>37</v>
      </c>
      <c r="B868">
        <v>314304</v>
      </c>
      <c r="C868">
        <v>25728809</v>
      </c>
      <c r="D868" s="1" t="s">
        <v>1178</v>
      </c>
      <c r="E868" t="s">
        <v>1176</v>
      </c>
      <c r="F868" t="s">
        <v>1177</v>
      </c>
      <c r="G868">
        <v>20170116</v>
      </c>
      <c r="H868">
        <v>20170227</v>
      </c>
      <c r="I868" t="s">
        <v>78</v>
      </c>
      <c r="K868" t="s">
        <v>79</v>
      </c>
      <c r="L868" t="s">
        <v>34</v>
      </c>
      <c r="M868" t="s">
        <v>34</v>
      </c>
      <c r="N868" t="s">
        <v>35</v>
      </c>
      <c r="O868" t="s">
        <v>35</v>
      </c>
      <c r="P868" t="s">
        <v>35</v>
      </c>
      <c r="Q868" t="s">
        <v>35</v>
      </c>
      <c r="R868" t="s">
        <v>35</v>
      </c>
      <c r="S868" t="s">
        <v>34</v>
      </c>
      <c r="AD868">
        <v>20170124</v>
      </c>
      <c r="AF868" t="str">
        <f>IFERROR(VLOOKUP(RIGHT(TblFeedFile1[[#This Row],[Leave Type ]],6),LkupPayType[],2,FALSE),"TBD")</f>
        <v>TBD</v>
      </c>
      <c r="AG868" t="str">
        <f>IFERROR(VLOOKUP(TblFeedFile1[[#This Row],[ Report Number ]],LkupPayrollCycle[],2,FALSE),"TBD")</f>
        <v>Bi-Weekly</v>
      </c>
      <c r="AH868" t="str">
        <f>IF(TblFeedFile1[[#This Row],[Return to Work Date ]]="","","Y")</f>
        <v/>
      </c>
    </row>
    <row r="869" spans="1:34" x14ac:dyDescent="0.25">
      <c r="A869" t="s">
        <v>29</v>
      </c>
      <c r="B869">
        <v>314304</v>
      </c>
      <c r="C869">
        <v>25730309</v>
      </c>
      <c r="D869" s="1" t="s">
        <v>1179</v>
      </c>
      <c r="E869" t="s">
        <v>171</v>
      </c>
      <c r="F869" t="s">
        <v>1180</v>
      </c>
      <c r="G869">
        <v>20161219</v>
      </c>
      <c r="H869">
        <v>20161219</v>
      </c>
      <c r="I869" t="s">
        <v>33</v>
      </c>
      <c r="L869" t="s">
        <v>34</v>
      </c>
      <c r="M869" t="s">
        <v>34</v>
      </c>
      <c r="N869" t="s">
        <v>35</v>
      </c>
      <c r="O869" t="s">
        <v>35</v>
      </c>
      <c r="P869" t="s">
        <v>35</v>
      </c>
      <c r="Q869" t="s">
        <v>35</v>
      </c>
      <c r="R869" t="s">
        <v>35</v>
      </c>
      <c r="S869" t="s">
        <v>34</v>
      </c>
      <c r="AC869" t="s">
        <v>35</v>
      </c>
      <c r="AD869">
        <v>20170124</v>
      </c>
      <c r="AF869" t="str">
        <f>IFERROR(VLOOKUP(RIGHT(TblFeedFile1[[#This Row],[Leave Type ]],6),LkupPayType[],2,FALSE),"TBD")</f>
        <v>TBD</v>
      </c>
      <c r="AG869" t="str">
        <f>IFERROR(VLOOKUP(TblFeedFile1[[#This Row],[ Report Number ]],LkupPayrollCycle[],2,FALSE),"TBD")</f>
        <v>Bi-Weekly</v>
      </c>
      <c r="AH869" t="str">
        <f>IF(TblFeedFile1[[#This Row],[Return to Work Date ]]="","","Y")</f>
        <v/>
      </c>
    </row>
    <row r="870" spans="1:34" x14ac:dyDescent="0.25">
      <c r="A870" t="s">
        <v>29</v>
      </c>
      <c r="B870">
        <v>314304</v>
      </c>
      <c r="C870">
        <v>25730309</v>
      </c>
      <c r="D870" s="1" t="s">
        <v>1179</v>
      </c>
      <c r="E870" t="s">
        <v>171</v>
      </c>
      <c r="F870" t="s">
        <v>1180</v>
      </c>
      <c r="G870">
        <v>20141218</v>
      </c>
      <c r="H870">
        <v>20161218</v>
      </c>
      <c r="I870" t="s">
        <v>36</v>
      </c>
      <c r="L870" t="s">
        <v>34</v>
      </c>
      <c r="M870" t="s">
        <v>34</v>
      </c>
      <c r="N870" t="s">
        <v>35</v>
      </c>
      <c r="O870" t="s">
        <v>35</v>
      </c>
      <c r="P870" t="s">
        <v>35</v>
      </c>
      <c r="Q870" t="s">
        <v>35</v>
      </c>
      <c r="R870" t="s">
        <v>35</v>
      </c>
      <c r="S870" t="s">
        <v>34</v>
      </c>
      <c r="AC870" t="s">
        <v>35</v>
      </c>
      <c r="AD870">
        <v>20170124</v>
      </c>
      <c r="AF870" t="str">
        <f>IFERROR(VLOOKUP(RIGHT(TblFeedFile1[[#This Row],[Leave Type ]],6),LkupPayType[],2,FALSE),"TBD")</f>
        <v>TBD</v>
      </c>
      <c r="AG870" t="str">
        <f>IFERROR(VLOOKUP(TblFeedFile1[[#This Row],[ Report Number ]],LkupPayrollCycle[],2,FALSE),"TBD")</f>
        <v>Bi-Weekly</v>
      </c>
      <c r="AH870" t="str">
        <f>IF(TblFeedFile1[[#This Row],[Return to Work Date ]]="","","Y")</f>
        <v/>
      </c>
    </row>
    <row r="871" spans="1:34" x14ac:dyDescent="0.25">
      <c r="A871" t="s">
        <v>37</v>
      </c>
      <c r="B871">
        <v>314304</v>
      </c>
      <c r="C871">
        <v>25730309</v>
      </c>
      <c r="D871" s="1" t="s">
        <v>1179</v>
      </c>
      <c r="E871" t="s">
        <v>171</v>
      </c>
      <c r="F871" t="s">
        <v>1180</v>
      </c>
      <c r="G871">
        <v>20141218</v>
      </c>
      <c r="H871">
        <v>20170131</v>
      </c>
      <c r="I871" t="s">
        <v>36</v>
      </c>
      <c r="L871" t="s">
        <v>34</v>
      </c>
      <c r="M871" t="s">
        <v>34</v>
      </c>
      <c r="N871" t="s">
        <v>35</v>
      </c>
      <c r="O871" t="s">
        <v>35</v>
      </c>
      <c r="P871" t="s">
        <v>35</v>
      </c>
      <c r="Q871" t="s">
        <v>35</v>
      </c>
      <c r="R871" t="s">
        <v>35</v>
      </c>
      <c r="S871" t="s">
        <v>34</v>
      </c>
      <c r="AC871" t="s">
        <v>35</v>
      </c>
      <c r="AD871">
        <v>20170124</v>
      </c>
      <c r="AF871" t="str">
        <f>IFERROR(VLOOKUP(RIGHT(TblFeedFile1[[#This Row],[Leave Type ]],6),LkupPayType[],2,FALSE),"TBD")</f>
        <v>TBD</v>
      </c>
      <c r="AG871" t="str">
        <f>IFERROR(VLOOKUP(TblFeedFile1[[#This Row],[ Report Number ]],LkupPayrollCycle[],2,FALSE),"TBD")</f>
        <v>Bi-Weekly</v>
      </c>
      <c r="AH871" t="str">
        <f>IF(TblFeedFile1[[#This Row],[Return to Work Date ]]="","","Y")</f>
        <v/>
      </c>
    </row>
    <row r="872" spans="1:34" x14ac:dyDescent="0.25">
      <c r="A872" t="s">
        <v>29</v>
      </c>
      <c r="B872">
        <v>314304</v>
      </c>
      <c r="C872">
        <v>25746229</v>
      </c>
      <c r="D872" s="1">
        <v>521701038842</v>
      </c>
      <c r="E872" t="s">
        <v>1181</v>
      </c>
      <c r="F872" t="s">
        <v>1182</v>
      </c>
      <c r="G872">
        <v>20170108</v>
      </c>
      <c r="H872">
        <v>20170422</v>
      </c>
      <c r="I872" t="s">
        <v>40</v>
      </c>
      <c r="L872" t="s">
        <v>34</v>
      </c>
      <c r="M872" t="s">
        <v>34</v>
      </c>
      <c r="N872" t="s">
        <v>35</v>
      </c>
      <c r="O872" t="s">
        <v>35</v>
      </c>
      <c r="P872" t="s">
        <v>35</v>
      </c>
      <c r="Q872" t="s">
        <v>35</v>
      </c>
      <c r="R872" t="s">
        <v>35</v>
      </c>
      <c r="S872" t="s">
        <v>34</v>
      </c>
      <c r="AD872">
        <v>20170124</v>
      </c>
      <c r="AF872" t="str">
        <f>IFERROR(VLOOKUP(RIGHT(TblFeedFile1[[#This Row],[Leave Type ]],6),LkupPayType[],2,FALSE),"TBD")</f>
        <v>TBD</v>
      </c>
      <c r="AG872" t="str">
        <f>IFERROR(VLOOKUP(TblFeedFile1[[#This Row],[ Report Number ]],LkupPayrollCycle[],2,FALSE),"TBD")</f>
        <v>Bi-Weekly</v>
      </c>
      <c r="AH872" t="str">
        <f>IF(TblFeedFile1[[#This Row],[Return to Work Date ]]="","","Y")</f>
        <v/>
      </c>
    </row>
    <row r="873" spans="1:34" x14ac:dyDescent="0.25">
      <c r="A873" t="s">
        <v>29</v>
      </c>
      <c r="B873">
        <v>314304</v>
      </c>
      <c r="C873">
        <v>25746229</v>
      </c>
      <c r="D873" s="1" t="s">
        <v>1183</v>
      </c>
      <c r="E873" t="s">
        <v>1181</v>
      </c>
      <c r="F873" t="s">
        <v>1182</v>
      </c>
      <c r="G873">
        <v>20170102</v>
      </c>
      <c r="H873">
        <v>20170414</v>
      </c>
      <c r="I873" t="s">
        <v>78</v>
      </c>
      <c r="K873" t="s">
        <v>79</v>
      </c>
      <c r="L873" t="s">
        <v>34</v>
      </c>
      <c r="M873" t="s">
        <v>34</v>
      </c>
      <c r="N873" t="s">
        <v>35</v>
      </c>
      <c r="O873" t="s">
        <v>35</v>
      </c>
      <c r="P873" t="s">
        <v>35</v>
      </c>
      <c r="Q873" t="s">
        <v>35</v>
      </c>
      <c r="R873" t="s">
        <v>35</v>
      </c>
      <c r="S873" t="s">
        <v>34</v>
      </c>
      <c r="AD873">
        <v>20170124</v>
      </c>
      <c r="AF873" t="str">
        <f>IFERROR(VLOOKUP(RIGHT(TblFeedFile1[[#This Row],[Leave Type ]],6),LkupPayType[],2,FALSE),"TBD")</f>
        <v>TBD</v>
      </c>
      <c r="AG873" t="str">
        <f>IFERROR(VLOOKUP(TblFeedFile1[[#This Row],[ Report Number ]],LkupPayrollCycle[],2,FALSE),"TBD")</f>
        <v>Bi-Weekly</v>
      </c>
      <c r="AH873" t="str">
        <f>IF(TblFeedFile1[[#This Row],[Return to Work Date ]]="","","Y")</f>
        <v/>
      </c>
    </row>
    <row r="874" spans="1:34" x14ac:dyDescent="0.25">
      <c r="A874" t="s">
        <v>37</v>
      </c>
      <c r="B874">
        <v>314304</v>
      </c>
      <c r="C874">
        <v>25746229</v>
      </c>
      <c r="D874" s="1" t="s">
        <v>1184</v>
      </c>
      <c r="E874" t="s">
        <v>1181</v>
      </c>
      <c r="F874" t="s">
        <v>1182</v>
      </c>
      <c r="G874">
        <v>20170101</v>
      </c>
      <c r="H874">
        <v>20170422</v>
      </c>
      <c r="I874" t="s">
        <v>78</v>
      </c>
      <c r="K874" t="s">
        <v>79</v>
      </c>
      <c r="L874" t="s">
        <v>34</v>
      </c>
      <c r="M874" t="s">
        <v>34</v>
      </c>
      <c r="N874" t="s">
        <v>35</v>
      </c>
      <c r="O874" t="s">
        <v>35</v>
      </c>
      <c r="P874" t="s">
        <v>35</v>
      </c>
      <c r="Q874" t="s">
        <v>35</v>
      </c>
      <c r="R874" t="s">
        <v>35</v>
      </c>
      <c r="S874" t="s">
        <v>34</v>
      </c>
      <c r="AD874">
        <v>20170124</v>
      </c>
      <c r="AF874" t="str">
        <f>IFERROR(VLOOKUP(RIGHT(TblFeedFile1[[#This Row],[Leave Type ]],6),LkupPayType[],2,FALSE),"TBD")</f>
        <v>TBD</v>
      </c>
      <c r="AG874" t="str">
        <f>IFERROR(VLOOKUP(TblFeedFile1[[#This Row],[ Report Number ]],LkupPayrollCycle[],2,FALSE),"TBD")</f>
        <v>Bi-Weekly</v>
      </c>
      <c r="AH874" t="str">
        <f>IF(TblFeedFile1[[#This Row],[Return to Work Date ]]="","","Y")</f>
        <v/>
      </c>
    </row>
    <row r="875" spans="1:34" x14ac:dyDescent="0.25">
      <c r="A875" t="s">
        <v>37</v>
      </c>
      <c r="B875">
        <v>314304</v>
      </c>
      <c r="C875">
        <v>25746229</v>
      </c>
      <c r="D875" s="1" t="s">
        <v>1183</v>
      </c>
      <c r="E875" t="s">
        <v>1181</v>
      </c>
      <c r="F875" t="s">
        <v>1182</v>
      </c>
      <c r="G875">
        <v>20170108</v>
      </c>
      <c r="H875">
        <v>20170422</v>
      </c>
      <c r="I875" t="s">
        <v>36</v>
      </c>
      <c r="L875" t="s">
        <v>34</v>
      </c>
      <c r="M875" t="s">
        <v>34</v>
      </c>
      <c r="N875" t="s">
        <v>35</v>
      </c>
      <c r="O875" t="s">
        <v>35</v>
      </c>
      <c r="P875" t="s">
        <v>35</v>
      </c>
      <c r="Q875" t="s">
        <v>35</v>
      </c>
      <c r="R875" t="s">
        <v>35</v>
      </c>
      <c r="S875" t="s">
        <v>34</v>
      </c>
      <c r="AD875">
        <v>20170124</v>
      </c>
      <c r="AF875" t="str">
        <f>IFERROR(VLOOKUP(RIGHT(TblFeedFile1[[#This Row],[Leave Type ]],6),LkupPayType[],2,FALSE),"TBD")</f>
        <v>TBD</v>
      </c>
      <c r="AG875" t="str">
        <f>IFERROR(VLOOKUP(TblFeedFile1[[#This Row],[ Report Number ]],LkupPayrollCycle[],2,FALSE),"TBD")</f>
        <v>Bi-Weekly</v>
      </c>
      <c r="AH875" t="str">
        <f>IF(TblFeedFile1[[#This Row],[Return to Work Date ]]="","","Y")</f>
        <v/>
      </c>
    </row>
    <row r="876" spans="1:34" x14ac:dyDescent="0.25">
      <c r="A876" t="s">
        <v>37</v>
      </c>
      <c r="B876">
        <v>314310</v>
      </c>
      <c r="C876">
        <v>25772242</v>
      </c>
      <c r="D876" s="1" t="s">
        <v>1185</v>
      </c>
      <c r="E876" t="s">
        <v>368</v>
      </c>
      <c r="F876" t="s">
        <v>1186</v>
      </c>
      <c r="G876">
        <v>20170123</v>
      </c>
      <c r="H876">
        <v>20170417</v>
      </c>
      <c r="I876" t="s">
        <v>36</v>
      </c>
      <c r="L876" t="s">
        <v>34</v>
      </c>
      <c r="M876" t="s">
        <v>34</v>
      </c>
      <c r="N876" t="s">
        <v>35</v>
      </c>
      <c r="O876" t="s">
        <v>35</v>
      </c>
      <c r="P876" t="s">
        <v>35</v>
      </c>
      <c r="Q876" t="s">
        <v>35</v>
      </c>
      <c r="R876" t="s">
        <v>35</v>
      </c>
      <c r="S876" t="s">
        <v>34</v>
      </c>
      <c r="AD876">
        <v>20170124</v>
      </c>
      <c r="AF876" t="str">
        <f>IFERROR(VLOOKUP(RIGHT(TblFeedFile1[[#This Row],[Leave Type ]],6),LkupPayType[],2,FALSE),"TBD")</f>
        <v>TBD</v>
      </c>
      <c r="AG876" t="str">
        <f>IFERROR(VLOOKUP(TblFeedFile1[[#This Row],[ Report Number ]],LkupPayrollCycle[],2,FALSE),"TBD")</f>
        <v>Bi-Weekly</v>
      </c>
      <c r="AH876" t="str">
        <f>IF(TblFeedFile1[[#This Row],[Return to Work Date ]]="","","Y")</f>
        <v/>
      </c>
    </row>
    <row r="877" spans="1:34" x14ac:dyDescent="0.25">
      <c r="A877" t="s">
        <v>37</v>
      </c>
      <c r="B877">
        <v>314304</v>
      </c>
      <c r="C877">
        <v>25775391</v>
      </c>
      <c r="D877" s="1" t="s">
        <v>1187</v>
      </c>
      <c r="E877" t="s">
        <v>959</v>
      </c>
      <c r="F877" t="s">
        <v>1188</v>
      </c>
      <c r="G877">
        <v>20170121</v>
      </c>
      <c r="H877">
        <v>20170121</v>
      </c>
      <c r="I877" t="s">
        <v>33</v>
      </c>
      <c r="L877" t="s">
        <v>34</v>
      </c>
      <c r="M877" t="s">
        <v>34</v>
      </c>
      <c r="N877" t="s">
        <v>35</v>
      </c>
      <c r="O877" t="s">
        <v>35</v>
      </c>
      <c r="P877" t="s">
        <v>35</v>
      </c>
      <c r="Q877" t="s">
        <v>35</v>
      </c>
      <c r="R877" t="s">
        <v>35</v>
      </c>
      <c r="S877" t="s">
        <v>34</v>
      </c>
      <c r="AD877">
        <v>20170124</v>
      </c>
      <c r="AF877" t="str">
        <f>IFERROR(VLOOKUP(RIGHT(TblFeedFile1[[#This Row],[Leave Type ]],6),LkupPayType[],2,FALSE),"TBD")</f>
        <v>TBD</v>
      </c>
      <c r="AG877" t="str">
        <f>IFERROR(VLOOKUP(TblFeedFile1[[#This Row],[ Report Number ]],LkupPayrollCycle[],2,FALSE),"TBD")</f>
        <v>Bi-Weekly</v>
      </c>
      <c r="AH877" t="str">
        <f>IF(TblFeedFile1[[#This Row],[Return to Work Date ]]="","","Y")</f>
        <v/>
      </c>
    </row>
    <row r="878" spans="1:34" x14ac:dyDescent="0.25">
      <c r="A878" t="s">
        <v>29</v>
      </c>
      <c r="B878">
        <v>314304</v>
      </c>
      <c r="C878">
        <v>25776986</v>
      </c>
      <c r="D878" s="1">
        <v>521701068492</v>
      </c>
      <c r="E878" t="s">
        <v>775</v>
      </c>
      <c r="F878" t="s">
        <v>1189</v>
      </c>
      <c r="G878">
        <v>20170116</v>
      </c>
      <c r="H878">
        <v>20170406</v>
      </c>
      <c r="I878" t="s">
        <v>40</v>
      </c>
      <c r="L878" t="s">
        <v>34</v>
      </c>
      <c r="M878" t="s">
        <v>34</v>
      </c>
      <c r="N878" t="s">
        <v>35</v>
      </c>
      <c r="O878" t="s">
        <v>35</v>
      </c>
      <c r="P878" t="s">
        <v>35</v>
      </c>
      <c r="Q878" t="s">
        <v>35</v>
      </c>
      <c r="R878" t="s">
        <v>35</v>
      </c>
      <c r="S878" t="s">
        <v>34</v>
      </c>
      <c r="AD878">
        <v>20170124</v>
      </c>
      <c r="AF878" t="str">
        <f>IFERROR(VLOOKUP(RIGHT(TblFeedFile1[[#This Row],[Leave Type ]],6),LkupPayType[],2,FALSE),"TBD")</f>
        <v>TBD</v>
      </c>
      <c r="AG878" t="str">
        <f>IFERROR(VLOOKUP(TblFeedFile1[[#This Row],[ Report Number ]],LkupPayrollCycle[],2,FALSE),"TBD")</f>
        <v>Bi-Weekly</v>
      </c>
      <c r="AH878" t="str">
        <f>IF(TblFeedFile1[[#This Row],[Return to Work Date ]]="","","Y")</f>
        <v/>
      </c>
    </row>
    <row r="879" spans="1:34" x14ac:dyDescent="0.25">
      <c r="A879" t="s">
        <v>29</v>
      </c>
      <c r="B879">
        <v>314304</v>
      </c>
      <c r="C879">
        <v>25776986</v>
      </c>
      <c r="D879" s="1">
        <v>521701068492</v>
      </c>
      <c r="E879" t="s">
        <v>775</v>
      </c>
      <c r="F879" t="s">
        <v>1189</v>
      </c>
      <c r="G879">
        <v>20170109</v>
      </c>
      <c r="H879">
        <v>20170406</v>
      </c>
      <c r="I879" t="s">
        <v>53</v>
      </c>
      <c r="L879" t="s">
        <v>34</v>
      </c>
      <c r="M879" t="s">
        <v>34</v>
      </c>
      <c r="N879" t="s">
        <v>35</v>
      </c>
      <c r="O879" t="s">
        <v>35</v>
      </c>
      <c r="P879" t="s">
        <v>35</v>
      </c>
      <c r="Q879" t="s">
        <v>35</v>
      </c>
      <c r="R879" t="s">
        <v>35</v>
      </c>
      <c r="S879" t="s">
        <v>34</v>
      </c>
      <c r="AD879">
        <v>20170124</v>
      </c>
      <c r="AF879" t="str">
        <f>IFERROR(VLOOKUP(RIGHT(TblFeedFile1[[#This Row],[Leave Type ]],6),LkupPayType[],2,FALSE),"TBD")</f>
        <v>TBD</v>
      </c>
      <c r="AG879" t="str">
        <f>IFERROR(VLOOKUP(TblFeedFile1[[#This Row],[ Report Number ]],LkupPayrollCycle[],2,FALSE),"TBD")</f>
        <v>Bi-Weekly</v>
      </c>
      <c r="AH879" t="str">
        <f>IF(TblFeedFile1[[#This Row],[Return to Work Date ]]="","","Y")</f>
        <v/>
      </c>
    </row>
    <row r="880" spans="1:34" x14ac:dyDescent="0.25">
      <c r="A880" t="s">
        <v>29</v>
      </c>
      <c r="B880">
        <v>314304</v>
      </c>
      <c r="C880">
        <v>25776986</v>
      </c>
      <c r="D880" s="1" t="s">
        <v>1190</v>
      </c>
      <c r="E880" t="s">
        <v>775</v>
      </c>
      <c r="F880" t="s">
        <v>1189</v>
      </c>
      <c r="G880">
        <v>20170106</v>
      </c>
      <c r="H880">
        <v>20170406</v>
      </c>
      <c r="I880" t="s">
        <v>78</v>
      </c>
      <c r="K880" t="s">
        <v>79</v>
      </c>
      <c r="L880" t="s">
        <v>34</v>
      </c>
      <c r="M880" t="s">
        <v>34</v>
      </c>
      <c r="N880" t="s">
        <v>35</v>
      </c>
      <c r="O880" t="s">
        <v>35</v>
      </c>
      <c r="P880" t="s">
        <v>35</v>
      </c>
      <c r="Q880" t="s">
        <v>35</v>
      </c>
      <c r="R880" t="s">
        <v>35</v>
      </c>
      <c r="S880" t="s">
        <v>34</v>
      </c>
      <c r="AD880">
        <v>20170124</v>
      </c>
      <c r="AF880" t="str">
        <f>IFERROR(VLOOKUP(RIGHT(TblFeedFile1[[#This Row],[Leave Type ]],6),LkupPayType[],2,FALSE),"TBD")</f>
        <v>TBD</v>
      </c>
      <c r="AG880" t="str">
        <f>IFERROR(VLOOKUP(TblFeedFile1[[#This Row],[ Report Number ]],LkupPayrollCycle[],2,FALSE),"TBD")</f>
        <v>Bi-Weekly</v>
      </c>
      <c r="AH880" t="str">
        <f>IF(TblFeedFile1[[#This Row],[Return to Work Date ]]="","","Y")</f>
        <v/>
      </c>
    </row>
    <row r="881" spans="1:34" x14ac:dyDescent="0.25">
      <c r="A881" t="s">
        <v>37</v>
      </c>
      <c r="B881">
        <v>314304</v>
      </c>
      <c r="C881">
        <v>25776986</v>
      </c>
      <c r="D881" s="1">
        <v>521701068492</v>
      </c>
      <c r="E881" t="s">
        <v>775</v>
      </c>
      <c r="F881" t="s">
        <v>1189</v>
      </c>
      <c r="G881">
        <v>20170107</v>
      </c>
      <c r="H881">
        <v>20170107</v>
      </c>
      <c r="I881" t="s">
        <v>43</v>
      </c>
      <c r="L881" t="s">
        <v>34</v>
      </c>
      <c r="M881" t="s">
        <v>34</v>
      </c>
      <c r="N881" t="s">
        <v>35</v>
      </c>
      <c r="O881" t="s">
        <v>35</v>
      </c>
      <c r="P881" t="s">
        <v>35</v>
      </c>
      <c r="Q881" t="s">
        <v>35</v>
      </c>
      <c r="R881" t="s">
        <v>35</v>
      </c>
      <c r="S881" t="s">
        <v>34</v>
      </c>
      <c r="AD881">
        <v>20170124</v>
      </c>
      <c r="AF881" t="str">
        <f>IFERROR(VLOOKUP(RIGHT(TblFeedFile1[[#This Row],[Leave Type ]],6),LkupPayType[],2,FALSE),"TBD")</f>
        <v>TBD</v>
      </c>
      <c r="AG881" t="str">
        <f>IFERROR(VLOOKUP(TblFeedFile1[[#This Row],[ Report Number ]],LkupPayrollCycle[],2,FALSE),"TBD")</f>
        <v>Bi-Weekly</v>
      </c>
      <c r="AH881" t="str">
        <f>IF(TblFeedFile1[[#This Row],[Return to Work Date ]]="","","Y")</f>
        <v/>
      </c>
    </row>
    <row r="882" spans="1:34" x14ac:dyDescent="0.25">
      <c r="A882" t="s">
        <v>29</v>
      </c>
      <c r="B882">
        <v>314304</v>
      </c>
      <c r="C882">
        <v>25783438</v>
      </c>
      <c r="D882" s="1">
        <v>501701068408</v>
      </c>
      <c r="E882" t="s">
        <v>1191</v>
      </c>
      <c r="F882" t="s">
        <v>218</v>
      </c>
      <c r="G882">
        <v>20170112</v>
      </c>
      <c r="H882">
        <v>20170127</v>
      </c>
      <c r="I882" t="s">
        <v>40</v>
      </c>
      <c r="L882" t="s">
        <v>34</v>
      </c>
      <c r="M882" t="s">
        <v>34</v>
      </c>
      <c r="N882" t="s">
        <v>35</v>
      </c>
      <c r="O882" t="s">
        <v>35</v>
      </c>
      <c r="P882" t="s">
        <v>35</v>
      </c>
      <c r="Q882" t="s">
        <v>35</v>
      </c>
      <c r="R882" t="s">
        <v>35</v>
      </c>
      <c r="S882" t="s">
        <v>34</v>
      </c>
      <c r="AD882">
        <v>20170124</v>
      </c>
      <c r="AF882" t="str">
        <f>IFERROR(VLOOKUP(RIGHT(TblFeedFile1[[#This Row],[Leave Type ]],6),LkupPayType[],2,FALSE),"TBD")</f>
        <v>TBD</v>
      </c>
      <c r="AG882" t="str">
        <f>IFERROR(VLOOKUP(TblFeedFile1[[#This Row],[ Report Number ]],LkupPayrollCycle[],2,FALSE),"TBD")</f>
        <v>Bi-Weekly</v>
      </c>
      <c r="AH882" t="str">
        <f>IF(TblFeedFile1[[#This Row],[Return to Work Date ]]="","","Y")</f>
        <v/>
      </c>
    </row>
    <row r="883" spans="1:34" x14ac:dyDescent="0.25">
      <c r="A883" t="s">
        <v>29</v>
      </c>
      <c r="B883">
        <v>314304</v>
      </c>
      <c r="C883">
        <v>25783438</v>
      </c>
      <c r="D883" s="1">
        <v>501701068408</v>
      </c>
      <c r="E883" t="s">
        <v>1191</v>
      </c>
      <c r="F883" t="s">
        <v>218</v>
      </c>
      <c r="G883">
        <v>20170105</v>
      </c>
      <c r="H883">
        <v>20170127</v>
      </c>
      <c r="I883" t="s">
        <v>53</v>
      </c>
      <c r="L883" t="s">
        <v>34</v>
      </c>
      <c r="M883" t="s">
        <v>34</v>
      </c>
      <c r="N883" t="s">
        <v>35</v>
      </c>
      <c r="O883" t="s">
        <v>35</v>
      </c>
      <c r="P883" t="s">
        <v>35</v>
      </c>
      <c r="Q883" t="s">
        <v>35</v>
      </c>
      <c r="R883" t="s">
        <v>35</v>
      </c>
      <c r="S883" t="s">
        <v>34</v>
      </c>
      <c r="AD883">
        <v>20170124</v>
      </c>
      <c r="AF883" t="str">
        <f>IFERROR(VLOOKUP(RIGHT(TblFeedFile1[[#This Row],[Leave Type ]],6),LkupPayType[],2,FALSE),"TBD")</f>
        <v>TBD</v>
      </c>
      <c r="AG883" t="str">
        <f>IFERROR(VLOOKUP(TblFeedFile1[[#This Row],[ Report Number ]],LkupPayrollCycle[],2,FALSE),"TBD")</f>
        <v>Bi-Weekly</v>
      </c>
      <c r="AH883" t="str">
        <f>IF(TblFeedFile1[[#This Row],[Return to Work Date ]]="","","Y")</f>
        <v/>
      </c>
    </row>
    <row r="884" spans="1:34" x14ac:dyDescent="0.25">
      <c r="A884" t="s">
        <v>37</v>
      </c>
      <c r="B884">
        <v>314304</v>
      </c>
      <c r="C884">
        <v>25783438</v>
      </c>
      <c r="D884" s="1">
        <v>501701068408</v>
      </c>
      <c r="E884" t="s">
        <v>1191</v>
      </c>
      <c r="F884" t="s">
        <v>218</v>
      </c>
      <c r="G884">
        <v>20170105</v>
      </c>
      <c r="H884">
        <v>20170105</v>
      </c>
      <c r="I884" t="s">
        <v>43</v>
      </c>
      <c r="L884" t="s">
        <v>34</v>
      </c>
      <c r="M884" t="s">
        <v>34</v>
      </c>
      <c r="N884" t="s">
        <v>35</v>
      </c>
      <c r="O884" t="s">
        <v>35</v>
      </c>
      <c r="P884" t="s">
        <v>35</v>
      </c>
      <c r="Q884" t="s">
        <v>35</v>
      </c>
      <c r="R884" t="s">
        <v>35</v>
      </c>
      <c r="S884" t="s">
        <v>34</v>
      </c>
      <c r="AD884">
        <v>20170124</v>
      </c>
      <c r="AF884" t="str">
        <f>IFERROR(VLOOKUP(RIGHT(TblFeedFile1[[#This Row],[Leave Type ]],6),LkupPayType[],2,FALSE),"TBD")</f>
        <v>TBD</v>
      </c>
      <c r="AG884" t="str">
        <f>IFERROR(VLOOKUP(TblFeedFile1[[#This Row],[ Report Number ]],LkupPayrollCycle[],2,FALSE),"TBD")</f>
        <v>Bi-Weekly</v>
      </c>
      <c r="AH884" t="str">
        <f>IF(TblFeedFile1[[#This Row],[Return to Work Date ]]="","","Y")</f>
        <v/>
      </c>
    </row>
    <row r="885" spans="1:34" x14ac:dyDescent="0.25">
      <c r="A885" t="s">
        <v>29</v>
      </c>
      <c r="B885">
        <v>314304</v>
      </c>
      <c r="C885">
        <v>25793919</v>
      </c>
      <c r="D885" s="1" t="s">
        <v>1192</v>
      </c>
      <c r="E885" t="s">
        <v>1193</v>
      </c>
      <c r="F885" t="s">
        <v>1194</v>
      </c>
      <c r="G885">
        <v>20161123</v>
      </c>
      <c r="H885">
        <v>20161123</v>
      </c>
      <c r="I885" t="s">
        <v>33</v>
      </c>
      <c r="L885" t="s">
        <v>34</v>
      </c>
      <c r="M885" t="s">
        <v>34</v>
      </c>
      <c r="N885" t="s">
        <v>35</v>
      </c>
      <c r="O885" t="s">
        <v>35</v>
      </c>
      <c r="P885" t="s">
        <v>35</v>
      </c>
      <c r="Q885" t="s">
        <v>35</v>
      </c>
      <c r="R885" t="s">
        <v>35</v>
      </c>
      <c r="S885" t="s">
        <v>34</v>
      </c>
      <c r="AC885" t="s">
        <v>35</v>
      </c>
      <c r="AD885">
        <v>20170124</v>
      </c>
      <c r="AF885" t="str">
        <f>IFERROR(VLOOKUP(RIGHT(TblFeedFile1[[#This Row],[Leave Type ]],6),LkupPayType[],2,FALSE),"TBD")</f>
        <v>TBD</v>
      </c>
      <c r="AG885" t="str">
        <f>IFERROR(VLOOKUP(TblFeedFile1[[#This Row],[ Report Number ]],LkupPayrollCycle[],2,FALSE),"TBD")</f>
        <v>Bi-Weekly</v>
      </c>
      <c r="AH885" t="str">
        <f>IF(TblFeedFile1[[#This Row],[Return to Work Date ]]="","","Y")</f>
        <v/>
      </c>
    </row>
    <row r="886" spans="1:34" x14ac:dyDescent="0.25">
      <c r="A886" t="s">
        <v>29</v>
      </c>
      <c r="B886">
        <v>314304</v>
      </c>
      <c r="C886">
        <v>25793919</v>
      </c>
      <c r="D886" s="1" t="s">
        <v>1192</v>
      </c>
      <c r="E886" t="s">
        <v>1193</v>
      </c>
      <c r="F886" t="s">
        <v>1194</v>
      </c>
      <c r="G886">
        <v>20160221</v>
      </c>
      <c r="H886">
        <v>20161122</v>
      </c>
      <c r="I886" t="s">
        <v>537</v>
      </c>
      <c r="L886" t="s">
        <v>34</v>
      </c>
      <c r="M886" t="s">
        <v>34</v>
      </c>
      <c r="N886" t="s">
        <v>35</v>
      </c>
      <c r="O886" t="s">
        <v>35</v>
      </c>
      <c r="P886" t="s">
        <v>35</v>
      </c>
      <c r="Q886" t="s">
        <v>35</v>
      </c>
      <c r="R886" t="s">
        <v>35</v>
      </c>
      <c r="S886" t="s">
        <v>34</v>
      </c>
      <c r="AC886" t="s">
        <v>35</v>
      </c>
      <c r="AD886">
        <v>20170124</v>
      </c>
      <c r="AF886" t="str">
        <f>IFERROR(VLOOKUP(RIGHT(TblFeedFile1[[#This Row],[Leave Type ]],6),LkupPayType[],2,FALSE),"TBD")</f>
        <v>TBD</v>
      </c>
      <c r="AG886" t="str">
        <f>IFERROR(VLOOKUP(TblFeedFile1[[#This Row],[ Report Number ]],LkupPayrollCycle[],2,FALSE),"TBD")</f>
        <v>Bi-Weekly</v>
      </c>
      <c r="AH886" t="str">
        <f>IF(TblFeedFile1[[#This Row],[Return to Work Date ]]="","","Y")</f>
        <v/>
      </c>
    </row>
    <row r="887" spans="1:34" x14ac:dyDescent="0.25">
      <c r="A887" t="s">
        <v>37</v>
      </c>
      <c r="B887">
        <v>314304</v>
      </c>
      <c r="C887">
        <v>25793919</v>
      </c>
      <c r="D887" s="1" t="s">
        <v>1192</v>
      </c>
      <c r="E887" t="s">
        <v>1193</v>
      </c>
      <c r="F887" t="s">
        <v>1194</v>
      </c>
      <c r="G887">
        <v>20160221</v>
      </c>
      <c r="H887">
        <v>20170331</v>
      </c>
      <c r="I887" t="s">
        <v>537</v>
      </c>
      <c r="L887" t="s">
        <v>34</v>
      </c>
      <c r="M887" t="s">
        <v>34</v>
      </c>
      <c r="N887" t="s">
        <v>35</v>
      </c>
      <c r="O887" t="s">
        <v>35</v>
      </c>
      <c r="P887" t="s">
        <v>35</v>
      </c>
      <c r="Q887" t="s">
        <v>35</v>
      </c>
      <c r="R887" t="s">
        <v>35</v>
      </c>
      <c r="S887" t="s">
        <v>34</v>
      </c>
      <c r="AC887" t="s">
        <v>35</v>
      </c>
      <c r="AD887">
        <v>20170124</v>
      </c>
      <c r="AF887" t="str">
        <f>IFERROR(VLOOKUP(RIGHT(TblFeedFile1[[#This Row],[Leave Type ]],6),LkupPayType[],2,FALSE),"TBD")</f>
        <v>TBD</v>
      </c>
      <c r="AG887" t="str">
        <f>IFERROR(VLOOKUP(TblFeedFile1[[#This Row],[ Report Number ]],LkupPayrollCycle[],2,FALSE),"TBD")</f>
        <v>Bi-Weekly</v>
      </c>
      <c r="AH887" t="str">
        <f>IF(TblFeedFile1[[#This Row],[Return to Work Date ]]="","","Y")</f>
        <v/>
      </c>
    </row>
    <row r="888" spans="1:34" x14ac:dyDescent="0.25">
      <c r="A888" t="s">
        <v>37</v>
      </c>
      <c r="B888">
        <v>314304</v>
      </c>
      <c r="C888">
        <v>25793919</v>
      </c>
      <c r="D888" s="1" t="s">
        <v>1192</v>
      </c>
      <c r="E888" t="s">
        <v>1193</v>
      </c>
      <c r="F888" t="s">
        <v>1194</v>
      </c>
      <c r="G888">
        <v>20161123</v>
      </c>
      <c r="H888">
        <v>20170331</v>
      </c>
      <c r="I888" t="s">
        <v>201</v>
      </c>
      <c r="L888" t="s">
        <v>34</v>
      </c>
      <c r="M888" t="s">
        <v>34</v>
      </c>
      <c r="N888" t="s">
        <v>35</v>
      </c>
      <c r="O888" t="s">
        <v>35</v>
      </c>
      <c r="P888" t="s">
        <v>35</v>
      </c>
      <c r="Q888" t="s">
        <v>35</v>
      </c>
      <c r="R888" t="s">
        <v>35</v>
      </c>
      <c r="S888" t="s">
        <v>34</v>
      </c>
      <c r="AC888" t="s">
        <v>35</v>
      </c>
      <c r="AD888">
        <v>20170124</v>
      </c>
      <c r="AF888" t="str">
        <f>IFERROR(VLOOKUP(RIGHT(TblFeedFile1[[#This Row],[Leave Type ]],6),LkupPayType[],2,FALSE),"TBD")</f>
        <v>TBD</v>
      </c>
      <c r="AG888" t="str">
        <f>IFERROR(VLOOKUP(TblFeedFile1[[#This Row],[ Report Number ]],LkupPayrollCycle[],2,FALSE),"TBD")</f>
        <v>Bi-Weekly</v>
      </c>
      <c r="AH888" t="str">
        <f>IF(TblFeedFile1[[#This Row],[Return to Work Date ]]="","","Y")</f>
        <v/>
      </c>
    </row>
    <row r="889" spans="1:34" x14ac:dyDescent="0.25">
      <c r="A889" t="s">
        <v>37</v>
      </c>
      <c r="B889">
        <v>314304</v>
      </c>
      <c r="C889">
        <v>25793919</v>
      </c>
      <c r="D889" s="1" t="s">
        <v>1192</v>
      </c>
      <c r="E889" t="s">
        <v>1193</v>
      </c>
      <c r="F889" t="s">
        <v>1194</v>
      </c>
      <c r="G889">
        <v>20161129</v>
      </c>
      <c r="H889">
        <v>20170331</v>
      </c>
      <c r="I889" t="s">
        <v>537</v>
      </c>
      <c r="L889" t="s">
        <v>34</v>
      </c>
      <c r="M889" t="s">
        <v>34</v>
      </c>
      <c r="N889" t="s">
        <v>35</v>
      </c>
      <c r="O889" t="s">
        <v>35</v>
      </c>
      <c r="P889" t="s">
        <v>35</v>
      </c>
      <c r="Q889" t="s">
        <v>35</v>
      </c>
      <c r="R889" t="s">
        <v>35</v>
      </c>
      <c r="S889" t="s">
        <v>34</v>
      </c>
      <c r="AC889" t="s">
        <v>35</v>
      </c>
      <c r="AD889">
        <v>20170124</v>
      </c>
      <c r="AF889" t="str">
        <f>IFERROR(VLOOKUP(RIGHT(TblFeedFile1[[#This Row],[Leave Type ]],6),LkupPayType[],2,FALSE),"TBD")</f>
        <v>TBD</v>
      </c>
      <c r="AG889" t="str">
        <f>IFERROR(VLOOKUP(TblFeedFile1[[#This Row],[ Report Number ]],LkupPayrollCycle[],2,FALSE),"TBD")</f>
        <v>Bi-Weekly</v>
      </c>
      <c r="AH889" t="str">
        <f>IF(TblFeedFile1[[#This Row],[Return to Work Date ]]="","","Y")</f>
        <v/>
      </c>
    </row>
    <row r="890" spans="1:34" x14ac:dyDescent="0.25">
      <c r="A890" t="s">
        <v>29</v>
      </c>
      <c r="B890">
        <v>314301</v>
      </c>
      <c r="C890">
        <v>25816198</v>
      </c>
      <c r="D890" s="1" t="s">
        <v>1195</v>
      </c>
      <c r="E890" t="s">
        <v>1196</v>
      </c>
      <c r="F890" t="s">
        <v>1197</v>
      </c>
      <c r="G890">
        <v>20170121</v>
      </c>
      <c r="H890">
        <v>20170202</v>
      </c>
      <c r="I890" t="s">
        <v>185</v>
      </c>
      <c r="L890" t="s">
        <v>34</v>
      </c>
      <c r="M890" t="s">
        <v>34</v>
      </c>
      <c r="N890" t="s">
        <v>35</v>
      </c>
      <c r="O890" t="s">
        <v>35</v>
      </c>
      <c r="P890" t="s">
        <v>35</v>
      </c>
      <c r="Q890" t="s">
        <v>35</v>
      </c>
      <c r="R890" t="s">
        <v>35</v>
      </c>
      <c r="S890" t="s">
        <v>34</v>
      </c>
      <c r="AC890" t="s">
        <v>35</v>
      </c>
      <c r="AD890">
        <v>20170124</v>
      </c>
      <c r="AF890" t="str">
        <f>IFERROR(VLOOKUP(RIGHT(TblFeedFile1[[#This Row],[Leave Type ]],6),LkupPayType[],2,FALSE),"TBD")</f>
        <v>TBD</v>
      </c>
      <c r="AG890" t="str">
        <f>IFERROR(VLOOKUP(TblFeedFile1[[#This Row],[ Report Number ]],LkupPayrollCycle[],2,FALSE),"TBD")</f>
        <v>Semi-Monthly</v>
      </c>
      <c r="AH890" t="str">
        <f>IF(TblFeedFile1[[#This Row],[Return to Work Date ]]="","","Y")</f>
        <v/>
      </c>
    </row>
    <row r="891" spans="1:34" x14ac:dyDescent="0.25">
      <c r="A891" t="s">
        <v>29</v>
      </c>
      <c r="B891">
        <v>314301</v>
      </c>
      <c r="C891">
        <v>25816198</v>
      </c>
      <c r="D891" s="1" t="s">
        <v>1195</v>
      </c>
      <c r="E891" t="s">
        <v>1196</v>
      </c>
      <c r="F891" t="s">
        <v>1197</v>
      </c>
      <c r="G891">
        <v>20161003</v>
      </c>
      <c r="H891">
        <v>20170202</v>
      </c>
      <c r="I891" t="s">
        <v>223</v>
      </c>
      <c r="L891" t="s">
        <v>34</v>
      </c>
      <c r="M891" t="s">
        <v>34</v>
      </c>
      <c r="N891" t="s">
        <v>35</v>
      </c>
      <c r="O891" t="s">
        <v>35</v>
      </c>
      <c r="P891" t="s">
        <v>35</v>
      </c>
      <c r="Q891" t="s">
        <v>35</v>
      </c>
      <c r="R891" t="s">
        <v>35</v>
      </c>
      <c r="S891" t="s">
        <v>34</v>
      </c>
      <c r="AC891" t="s">
        <v>35</v>
      </c>
      <c r="AD891">
        <v>20170124</v>
      </c>
      <c r="AF891" t="str">
        <f>IFERROR(VLOOKUP(RIGHT(TblFeedFile1[[#This Row],[Leave Type ]],6),LkupPayType[],2,FALSE),"TBD")</f>
        <v>TBD</v>
      </c>
      <c r="AG891" t="str">
        <f>IFERROR(VLOOKUP(TblFeedFile1[[#This Row],[ Report Number ]],LkupPayrollCycle[],2,FALSE),"TBD")</f>
        <v>Semi-Monthly</v>
      </c>
      <c r="AH891" t="str">
        <f>IF(TblFeedFile1[[#This Row],[Return to Work Date ]]="","","Y")</f>
        <v/>
      </c>
    </row>
    <row r="892" spans="1:34" x14ac:dyDescent="0.25">
      <c r="A892" t="s">
        <v>37</v>
      </c>
      <c r="B892">
        <v>314301</v>
      </c>
      <c r="C892">
        <v>25816198</v>
      </c>
      <c r="D892" s="1" t="s">
        <v>1195</v>
      </c>
      <c r="E892" t="s">
        <v>1196</v>
      </c>
      <c r="F892" t="s">
        <v>1197</v>
      </c>
      <c r="G892">
        <v>20161003</v>
      </c>
      <c r="H892">
        <v>20161003</v>
      </c>
      <c r="I892" t="s">
        <v>33</v>
      </c>
      <c r="L892" t="s">
        <v>34</v>
      </c>
      <c r="M892" t="s">
        <v>34</v>
      </c>
      <c r="N892" t="s">
        <v>35</v>
      </c>
      <c r="O892" t="s">
        <v>35</v>
      </c>
      <c r="P892" t="s">
        <v>35</v>
      </c>
      <c r="Q892" t="s">
        <v>35</v>
      </c>
      <c r="R892" t="s">
        <v>35</v>
      </c>
      <c r="S892" t="s">
        <v>34</v>
      </c>
      <c r="AD892">
        <v>20170124</v>
      </c>
      <c r="AF892" t="str">
        <f>IFERROR(VLOOKUP(RIGHT(TblFeedFile1[[#This Row],[Leave Type ]],6),LkupPayType[],2,FALSE),"TBD")</f>
        <v>TBD</v>
      </c>
      <c r="AG892" t="str">
        <f>IFERROR(VLOOKUP(TblFeedFile1[[#This Row],[ Report Number ]],LkupPayrollCycle[],2,FALSE),"TBD")</f>
        <v>Semi-Monthly</v>
      </c>
      <c r="AH892" t="str">
        <f>IF(TblFeedFile1[[#This Row],[Return to Work Date ]]="","","Y")</f>
        <v/>
      </c>
    </row>
    <row r="893" spans="1:34" x14ac:dyDescent="0.25">
      <c r="A893" t="s">
        <v>37</v>
      </c>
      <c r="B893">
        <v>314301</v>
      </c>
      <c r="C893">
        <v>25816198</v>
      </c>
      <c r="D893" s="1" t="s">
        <v>1195</v>
      </c>
      <c r="E893" t="s">
        <v>1196</v>
      </c>
      <c r="F893" t="s">
        <v>1197</v>
      </c>
      <c r="G893">
        <v>20161004</v>
      </c>
      <c r="H893">
        <v>20170202</v>
      </c>
      <c r="I893" t="s">
        <v>223</v>
      </c>
      <c r="L893" t="s">
        <v>34</v>
      </c>
      <c r="M893" t="s">
        <v>34</v>
      </c>
      <c r="N893" t="s">
        <v>35</v>
      </c>
      <c r="O893" t="s">
        <v>35</v>
      </c>
      <c r="P893" t="s">
        <v>35</v>
      </c>
      <c r="Q893" t="s">
        <v>35</v>
      </c>
      <c r="R893" t="s">
        <v>35</v>
      </c>
      <c r="S893" t="s">
        <v>34</v>
      </c>
      <c r="AD893">
        <v>20170124</v>
      </c>
      <c r="AF893" t="str">
        <f>IFERROR(VLOOKUP(RIGHT(TblFeedFile1[[#This Row],[Leave Type ]],6),LkupPayType[],2,FALSE),"TBD")</f>
        <v>TBD</v>
      </c>
      <c r="AG893" t="str">
        <f>IFERROR(VLOOKUP(TblFeedFile1[[#This Row],[ Report Number ]],LkupPayrollCycle[],2,FALSE),"TBD")</f>
        <v>Semi-Monthly</v>
      </c>
      <c r="AH893" t="str">
        <f>IF(TblFeedFile1[[#This Row],[Return to Work Date ]]="","","Y")</f>
        <v/>
      </c>
    </row>
    <row r="894" spans="1:34" x14ac:dyDescent="0.25">
      <c r="A894" t="s">
        <v>37</v>
      </c>
      <c r="B894">
        <v>314301</v>
      </c>
      <c r="C894">
        <v>25816198</v>
      </c>
      <c r="D894" s="1" t="s">
        <v>1195</v>
      </c>
      <c r="E894" t="s">
        <v>1196</v>
      </c>
      <c r="F894" t="s">
        <v>1197</v>
      </c>
      <c r="G894">
        <v>20170123</v>
      </c>
      <c r="H894">
        <v>20170202</v>
      </c>
      <c r="I894" t="s">
        <v>78</v>
      </c>
      <c r="K894" t="s">
        <v>219</v>
      </c>
      <c r="L894" t="s">
        <v>34</v>
      </c>
      <c r="M894" t="s">
        <v>34</v>
      </c>
      <c r="N894" t="s">
        <v>35</v>
      </c>
      <c r="O894" t="s">
        <v>35</v>
      </c>
      <c r="P894" t="s">
        <v>35</v>
      </c>
      <c r="Q894" t="s">
        <v>35</v>
      </c>
      <c r="R894" t="s">
        <v>35</v>
      </c>
      <c r="S894" t="s">
        <v>34</v>
      </c>
      <c r="AD894">
        <v>20170124</v>
      </c>
      <c r="AF894" t="str">
        <f>IFERROR(VLOOKUP(RIGHT(TblFeedFile1[[#This Row],[Leave Type ]],6),LkupPayType[],2,FALSE),"TBD")</f>
        <v>TBD</v>
      </c>
      <c r="AG894" t="str">
        <f>IFERROR(VLOOKUP(TblFeedFile1[[#This Row],[ Report Number ]],LkupPayrollCycle[],2,FALSE),"TBD")</f>
        <v>Semi-Monthly</v>
      </c>
      <c r="AH894" t="str">
        <f>IF(TblFeedFile1[[#This Row],[Return to Work Date ]]="","","Y")</f>
        <v/>
      </c>
    </row>
    <row r="895" spans="1:34" x14ac:dyDescent="0.25">
      <c r="A895" t="s">
        <v>37</v>
      </c>
      <c r="B895">
        <v>314304</v>
      </c>
      <c r="C895">
        <v>25818019</v>
      </c>
      <c r="D895" s="1">
        <v>551701238155</v>
      </c>
      <c r="E895" t="s">
        <v>1198</v>
      </c>
      <c r="F895" t="s">
        <v>1199</v>
      </c>
      <c r="G895">
        <v>20170116</v>
      </c>
      <c r="H895">
        <v>20170130</v>
      </c>
      <c r="I895" t="s">
        <v>53</v>
      </c>
      <c r="L895" t="s">
        <v>34</v>
      </c>
      <c r="M895" t="s">
        <v>34</v>
      </c>
      <c r="N895" t="s">
        <v>35</v>
      </c>
      <c r="O895" t="s">
        <v>35</v>
      </c>
      <c r="P895" t="s">
        <v>35</v>
      </c>
      <c r="Q895" t="s">
        <v>35</v>
      </c>
      <c r="R895" t="s">
        <v>35</v>
      </c>
      <c r="S895" t="s">
        <v>34</v>
      </c>
      <c r="AD895">
        <v>20170124</v>
      </c>
      <c r="AF895" t="str">
        <f>IFERROR(VLOOKUP(RIGHT(TblFeedFile1[[#This Row],[Leave Type ]],6),LkupPayType[],2,FALSE),"TBD")</f>
        <v>TBD</v>
      </c>
      <c r="AG895" t="str">
        <f>IFERROR(VLOOKUP(TblFeedFile1[[#This Row],[ Report Number ]],LkupPayrollCycle[],2,FALSE),"TBD")</f>
        <v>Bi-Weekly</v>
      </c>
      <c r="AH895" t="str">
        <f>IF(TblFeedFile1[[#This Row],[Return to Work Date ]]="","","Y")</f>
        <v/>
      </c>
    </row>
    <row r="896" spans="1:34" x14ac:dyDescent="0.25">
      <c r="A896" t="s">
        <v>37</v>
      </c>
      <c r="B896">
        <v>314304</v>
      </c>
      <c r="C896">
        <v>25818019</v>
      </c>
      <c r="D896" s="1">
        <v>551701238155</v>
      </c>
      <c r="E896" t="s">
        <v>1198</v>
      </c>
      <c r="F896" t="s">
        <v>1199</v>
      </c>
      <c r="G896">
        <v>20170123</v>
      </c>
      <c r="H896">
        <v>20170130</v>
      </c>
      <c r="I896" t="s">
        <v>40</v>
      </c>
      <c r="L896" t="s">
        <v>34</v>
      </c>
      <c r="M896" t="s">
        <v>34</v>
      </c>
      <c r="N896" t="s">
        <v>35</v>
      </c>
      <c r="O896" t="s">
        <v>35</v>
      </c>
      <c r="P896" t="s">
        <v>35</v>
      </c>
      <c r="Q896" t="s">
        <v>35</v>
      </c>
      <c r="R896" t="s">
        <v>35</v>
      </c>
      <c r="S896" t="s">
        <v>34</v>
      </c>
      <c r="AD896">
        <v>20170124</v>
      </c>
      <c r="AF896" t="str">
        <f>IFERROR(VLOOKUP(RIGHT(TblFeedFile1[[#This Row],[Leave Type ]],6),LkupPayType[],2,FALSE),"TBD")</f>
        <v>TBD</v>
      </c>
      <c r="AG896" t="str">
        <f>IFERROR(VLOOKUP(TblFeedFile1[[#This Row],[ Report Number ]],LkupPayrollCycle[],2,FALSE),"TBD")</f>
        <v>Bi-Weekly</v>
      </c>
      <c r="AH896" t="str">
        <f>IF(TblFeedFile1[[#This Row],[Return to Work Date ]]="","","Y")</f>
        <v/>
      </c>
    </row>
    <row r="897" spans="1:34" x14ac:dyDescent="0.25">
      <c r="A897" t="s">
        <v>29</v>
      </c>
      <c r="B897">
        <v>314304</v>
      </c>
      <c r="C897">
        <v>25845953</v>
      </c>
      <c r="D897" s="1" t="s">
        <v>1200</v>
      </c>
      <c r="E897" t="s">
        <v>1201</v>
      </c>
      <c r="F897" t="s">
        <v>1202</v>
      </c>
      <c r="G897">
        <v>20161213</v>
      </c>
      <c r="H897">
        <v>20161224</v>
      </c>
      <c r="I897" t="s">
        <v>49</v>
      </c>
      <c r="L897" t="s">
        <v>34</v>
      </c>
      <c r="M897" t="s">
        <v>34</v>
      </c>
      <c r="N897" t="s">
        <v>35</v>
      </c>
      <c r="O897" t="s">
        <v>35</v>
      </c>
      <c r="P897" t="s">
        <v>35</v>
      </c>
      <c r="Q897" t="s">
        <v>35</v>
      </c>
      <c r="R897" t="s">
        <v>35</v>
      </c>
      <c r="S897" t="s">
        <v>34</v>
      </c>
      <c r="T897">
        <v>20161225</v>
      </c>
      <c r="AC897" t="s">
        <v>35</v>
      </c>
      <c r="AD897">
        <v>20170124</v>
      </c>
      <c r="AF897" t="str">
        <f>IFERROR(VLOOKUP(RIGHT(TblFeedFile1[[#This Row],[Leave Type ]],6),LkupPayType[],2,FALSE),"TBD")</f>
        <v>TBD</v>
      </c>
      <c r="AG897" t="str">
        <f>IFERROR(VLOOKUP(TblFeedFile1[[#This Row],[ Report Number ]],LkupPayrollCycle[],2,FALSE),"TBD")</f>
        <v>Bi-Weekly</v>
      </c>
      <c r="AH897" t="str">
        <f>IF(TblFeedFile1[[#This Row],[Return to Work Date ]]="","","Y")</f>
        <v>Y</v>
      </c>
    </row>
    <row r="898" spans="1:34" x14ac:dyDescent="0.25">
      <c r="A898" t="s">
        <v>37</v>
      </c>
      <c r="B898">
        <v>314304</v>
      </c>
      <c r="C898">
        <v>25845953</v>
      </c>
      <c r="D898" s="1" t="s">
        <v>1200</v>
      </c>
      <c r="E898" t="s">
        <v>1201</v>
      </c>
      <c r="F898" t="s">
        <v>1202</v>
      </c>
      <c r="G898">
        <v>20161213</v>
      </c>
      <c r="H898">
        <v>20161224</v>
      </c>
      <c r="I898" t="s">
        <v>49</v>
      </c>
      <c r="L898" t="s">
        <v>34</v>
      </c>
      <c r="M898" t="s">
        <v>34</v>
      </c>
      <c r="N898" t="s">
        <v>35</v>
      </c>
      <c r="O898" t="s">
        <v>35</v>
      </c>
      <c r="P898" t="s">
        <v>35</v>
      </c>
      <c r="Q898" t="s">
        <v>35</v>
      </c>
      <c r="R898" t="s">
        <v>35</v>
      </c>
      <c r="S898" t="s">
        <v>34</v>
      </c>
      <c r="T898">
        <v>20161226</v>
      </c>
      <c r="AC898" t="s">
        <v>35</v>
      </c>
      <c r="AD898">
        <v>20170124</v>
      </c>
      <c r="AF898" t="str">
        <f>IFERROR(VLOOKUP(RIGHT(TblFeedFile1[[#This Row],[Leave Type ]],6),LkupPayType[],2,FALSE),"TBD")</f>
        <v>TBD</v>
      </c>
      <c r="AG898" t="str">
        <f>IFERROR(VLOOKUP(TblFeedFile1[[#This Row],[ Report Number ]],LkupPayrollCycle[],2,FALSE),"TBD")</f>
        <v>Bi-Weekly</v>
      </c>
      <c r="AH898" t="str">
        <f>IF(TblFeedFile1[[#This Row],[Return to Work Date ]]="","","Y")</f>
        <v>Y</v>
      </c>
    </row>
    <row r="899" spans="1:34" x14ac:dyDescent="0.25">
      <c r="A899" t="s">
        <v>37</v>
      </c>
      <c r="B899">
        <v>314304</v>
      </c>
      <c r="C899">
        <v>25858551</v>
      </c>
      <c r="D899" s="1" t="s">
        <v>1203</v>
      </c>
      <c r="E899" t="s">
        <v>1204</v>
      </c>
      <c r="F899" t="s">
        <v>1205</v>
      </c>
      <c r="G899">
        <v>20170123</v>
      </c>
      <c r="H899">
        <v>20170423</v>
      </c>
      <c r="I899" t="s">
        <v>36</v>
      </c>
      <c r="L899" t="s">
        <v>34</v>
      </c>
      <c r="M899" t="s">
        <v>34</v>
      </c>
      <c r="N899" t="s">
        <v>35</v>
      </c>
      <c r="O899" t="s">
        <v>35</v>
      </c>
      <c r="P899" t="s">
        <v>35</v>
      </c>
      <c r="Q899" t="s">
        <v>35</v>
      </c>
      <c r="R899" t="s">
        <v>35</v>
      </c>
      <c r="S899" t="s">
        <v>34</v>
      </c>
      <c r="AD899">
        <v>20170124</v>
      </c>
      <c r="AF899" t="str">
        <f>IFERROR(VLOOKUP(RIGHT(TblFeedFile1[[#This Row],[Leave Type ]],6),LkupPayType[],2,FALSE),"TBD")</f>
        <v>TBD</v>
      </c>
      <c r="AG899" t="str">
        <f>IFERROR(VLOOKUP(TblFeedFile1[[#This Row],[ Report Number ]],LkupPayrollCycle[],2,FALSE),"TBD")</f>
        <v>Bi-Weekly</v>
      </c>
      <c r="AH899" t="str">
        <f>IF(TblFeedFile1[[#This Row],[Return to Work Date ]]="","","Y")</f>
        <v/>
      </c>
    </row>
    <row r="900" spans="1:34" x14ac:dyDescent="0.25">
      <c r="A900" t="s">
        <v>37</v>
      </c>
      <c r="B900">
        <v>314304</v>
      </c>
      <c r="C900">
        <v>25885260</v>
      </c>
      <c r="D900" s="1">
        <v>501701178240</v>
      </c>
      <c r="E900" t="s">
        <v>1206</v>
      </c>
      <c r="F900" t="s">
        <v>1207</v>
      </c>
      <c r="G900">
        <v>20170124</v>
      </c>
      <c r="H900">
        <v>20170220</v>
      </c>
      <c r="I900" t="s">
        <v>40</v>
      </c>
      <c r="L900" t="s">
        <v>34</v>
      </c>
      <c r="M900" t="s">
        <v>34</v>
      </c>
      <c r="N900" t="s">
        <v>35</v>
      </c>
      <c r="O900" t="s">
        <v>35</v>
      </c>
      <c r="P900" t="s">
        <v>35</v>
      </c>
      <c r="Q900" t="s">
        <v>35</v>
      </c>
      <c r="R900" t="s">
        <v>35</v>
      </c>
      <c r="S900" t="s">
        <v>34</v>
      </c>
      <c r="AD900">
        <v>20170124</v>
      </c>
      <c r="AF900" t="str">
        <f>IFERROR(VLOOKUP(RIGHT(TblFeedFile1[[#This Row],[Leave Type ]],6),LkupPayType[],2,FALSE),"TBD")</f>
        <v>TBD</v>
      </c>
      <c r="AG900" t="str">
        <f>IFERROR(VLOOKUP(TblFeedFile1[[#This Row],[ Report Number ]],LkupPayrollCycle[],2,FALSE),"TBD")</f>
        <v>Bi-Weekly</v>
      </c>
      <c r="AH900" t="str">
        <f>IF(TblFeedFile1[[#This Row],[Return to Work Date ]]="","","Y")</f>
        <v/>
      </c>
    </row>
    <row r="901" spans="1:34" x14ac:dyDescent="0.25">
      <c r="A901" t="s">
        <v>29</v>
      </c>
      <c r="B901">
        <v>314301</v>
      </c>
      <c r="C901">
        <v>25918632</v>
      </c>
      <c r="D901" s="1">
        <v>571701178917</v>
      </c>
      <c r="E901" t="s">
        <v>1208</v>
      </c>
      <c r="F901" t="s">
        <v>1209</v>
      </c>
      <c r="G901">
        <v>20170119</v>
      </c>
      <c r="H901">
        <v>20170203</v>
      </c>
      <c r="I901" t="s">
        <v>40</v>
      </c>
      <c r="L901" t="s">
        <v>34</v>
      </c>
      <c r="M901" t="s">
        <v>34</v>
      </c>
      <c r="N901" t="s">
        <v>35</v>
      </c>
      <c r="O901" t="s">
        <v>35</v>
      </c>
      <c r="P901" t="s">
        <v>35</v>
      </c>
      <c r="Q901" t="s">
        <v>35</v>
      </c>
      <c r="R901" t="s">
        <v>35</v>
      </c>
      <c r="S901" t="s">
        <v>34</v>
      </c>
      <c r="X901" t="s">
        <v>35</v>
      </c>
      <c r="AD901">
        <v>20170124</v>
      </c>
      <c r="AF901" t="str">
        <f>IFERROR(VLOOKUP(RIGHT(TblFeedFile1[[#This Row],[Leave Type ]],6),LkupPayType[],2,FALSE),"TBD")</f>
        <v>TBD</v>
      </c>
      <c r="AG901" t="str">
        <f>IFERROR(VLOOKUP(TblFeedFile1[[#This Row],[ Report Number ]],LkupPayrollCycle[],2,FALSE),"TBD")</f>
        <v>Semi-Monthly</v>
      </c>
      <c r="AH901" t="str">
        <f>IF(TblFeedFile1[[#This Row],[Return to Work Date ]]="","","Y")</f>
        <v/>
      </c>
    </row>
    <row r="902" spans="1:34" x14ac:dyDescent="0.25">
      <c r="A902" t="s">
        <v>37</v>
      </c>
      <c r="B902">
        <v>314301</v>
      </c>
      <c r="C902">
        <v>25918632</v>
      </c>
      <c r="D902" s="1">
        <v>571701178917</v>
      </c>
      <c r="E902" t="s">
        <v>1208</v>
      </c>
      <c r="F902" t="s">
        <v>1209</v>
      </c>
      <c r="G902">
        <v>20170119</v>
      </c>
      <c r="H902">
        <v>20170202</v>
      </c>
      <c r="I902" t="s">
        <v>40</v>
      </c>
      <c r="L902" t="s">
        <v>34</v>
      </c>
      <c r="M902" t="s">
        <v>34</v>
      </c>
      <c r="N902" t="s">
        <v>35</v>
      </c>
      <c r="O902" t="s">
        <v>35</v>
      </c>
      <c r="P902" t="s">
        <v>35</v>
      </c>
      <c r="Q902" t="s">
        <v>35</v>
      </c>
      <c r="R902" t="s">
        <v>35</v>
      </c>
      <c r="S902" t="s">
        <v>34</v>
      </c>
      <c r="X902" t="s">
        <v>35</v>
      </c>
      <c r="AD902">
        <v>20170124</v>
      </c>
      <c r="AF902" t="str">
        <f>IFERROR(VLOOKUP(RIGHT(TblFeedFile1[[#This Row],[Leave Type ]],6),LkupPayType[],2,FALSE),"TBD")</f>
        <v>TBD</v>
      </c>
      <c r="AG902" t="str">
        <f>IFERROR(VLOOKUP(TblFeedFile1[[#This Row],[ Report Number ]],LkupPayrollCycle[],2,FALSE),"TBD")</f>
        <v>Semi-Monthly</v>
      </c>
      <c r="AH902" t="str">
        <f>IF(TblFeedFile1[[#This Row],[Return to Work Date ]]="","","Y")</f>
        <v/>
      </c>
    </row>
    <row r="903" spans="1:34" x14ac:dyDescent="0.25">
      <c r="A903" t="s">
        <v>37</v>
      </c>
      <c r="B903">
        <v>314301</v>
      </c>
      <c r="C903">
        <v>25927247</v>
      </c>
      <c r="D903" s="1" t="s">
        <v>1210</v>
      </c>
      <c r="E903" t="s">
        <v>221</v>
      </c>
      <c r="F903" t="s">
        <v>1211</v>
      </c>
      <c r="G903">
        <v>20170119</v>
      </c>
      <c r="H903">
        <v>20170119</v>
      </c>
      <c r="I903" t="s">
        <v>33</v>
      </c>
      <c r="L903" t="s">
        <v>34</v>
      </c>
      <c r="M903" t="s">
        <v>34</v>
      </c>
      <c r="N903" t="s">
        <v>35</v>
      </c>
      <c r="O903" t="s">
        <v>35</v>
      </c>
      <c r="P903" t="s">
        <v>35</v>
      </c>
      <c r="Q903" t="s">
        <v>35</v>
      </c>
      <c r="R903" t="s">
        <v>35</v>
      </c>
      <c r="S903" t="s">
        <v>34</v>
      </c>
      <c r="AD903">
        <v>20170124</v>
      </c>
      <c r="AF903" t="str">
        <f>IFERROR(VLOOKUP(RIGHT(TblFeedFile1[[#This Row],[Leave Type ]],6),LkupPayType[],2,FALSE),"TBD")</f>
        <v>TBD</v>
      </c>
      <c r="AG903" t="str">
        <f>IFERROR(VLOOKUP(TblFeedFile1[[#This Row],[ Report Number ]],LkupPayrollCycle[],2,FALSE),"TBD")</f>
        <v>Semi-Monthly</v>
      </c>
      <c r="AH903" t="str">
        <f>IF(TblFeedFile1[[#This Row],[Return to Work Date ]]="","","Y")</f>
        <v/>
      </c>
    </row>
    <row r="904" spans="1:34" x14ac:dyDescent="0.25">
      <c r="A904" t="s">
        <v>37</v>
      </c>
      <c r="B904">
        <v>314301</v>
      </c>
      <c r="C904">
        <v>25927784</v>
      </c>
      <c r="D904" s="1" t="s">
        <v>1212</v>
      </c>
      <c r="E904" t="s">
        <v>1213</v>
      </c>
      <c r="F904" t="s">
        <v>1214</v>
      </c>
      <c r="G904">
        <v>20170118</v>
      </c>
      <c r="H904">
        <v>20170510</v>
      </c>
      <c r="I904" t="s">
        <v>36</v>
      </c>
      <c r="L904" t="s">
        <v>34</v>
      </c>
      <c r="M904" t="s">
        <v>34</v>
      </c>
      <c r="N904" t="s">
        <v>35</v>
      </c>
      <c r="O904" t="s">
        <v>35</v>
      </c>
      <c r="P904" t="s">
        <v>35</v>
      </c>
      <c r="Q904" t="s">
        <v>35</v>
      </c>
      <c r="R904" t="s">
        <v>35</v>
      </c>
      <c r="S904" t="s">
        <v>34</v>
      </c>
      <c r="AD904">
        <v>20170124</v>
      </c>
      <c r="AF904" t="str">
        <f>IFERROR(VLOOKUP(RIGHT(TblFeedFile1[[#This Row],[Leave Type ]],6),LkupPayType[],2,FALSE),"TBD")</f>
        <v>TBD</v>
      </c>
      <c r="AG904" t="str">
        <f>IFERROR(VLOOKUP(TblFeedFile1[[#This Row],[ Report Number ]],LkupPayrollCycle[],2,FALSE),"TBD")</f>
        <v>Semi-Monthly</v>
      </c>
      <c r="AH904" t="str">
        <f>IF(TblFeedFile1[[#This Row],[Return to Work Date ]]="","","Y")</f>
        <v/>
      </c>
    </row>
    <row r="905" spans="1:34" x14ac:dyDescent="0.25">
      <c r="A905" t="s">
        <v>29</v>
      </c>
      <c r="B905">
        <v>314301</v>
      </c>
      <c r="C905">
        <v>25933029</v>
      </c>
      <c r="D905" s="1" t="s">
        <v>1215</v>
      </c>
      <c r="E905" t="s">
        <v>1216</v>
      </c>
      <c r="F905" t="s">
        <v>421</v>
      </c>
      <c r="G905">
        <v>20170121</v>
      </c>
      <c r="H905">
        <v>20170306</v>
      </c>
      <c r="I905" t="s">
        <v>36</v>
      </c>
      <c r="L905" t="s">
        <v>34</v>
      </c>
      <c r="M905" t="s">
        <v>34</v>
      </c>
      <c r="N905" t="s">
        <v>35</v>
      </c>
      <c r="O905" t="s">
        <v>35</v>
      </c>
      <c r="P905" t="s">
        <v>35</v>
      </c>
      <c r="Q905" t="s">
        <v>35</v>
      </c>
      <c r="R905" t="s">
        <v>35</v>
      </c>
      <c r="S905" t="s">
        <v>35</v>
      </c>
      <c r="AD905">
        <v>20170124</v>
      </c>
      <c r="AF905" t="str">
        <f>IFERROR(VLOOKUP(RIGHT(TblFeedFile1[[#This Row],[Leave Type ]],6),LkupPayType[],2,FALSE),"TBD")</f>
        <v>TBD</v>
      </c>
      <c r="AG905" t="str">
        <f>IFERROR(VLOOKUP(TblFeedFile1[[#This Row],[ Report Number ]],LkupPayrollCycle[],2,FALSE),"TBD")</f>
        <v>Semi-Monthly</v>
      </c>
      <c r="AH905" t="str">
        <f>IF(TblFeedFile1[[#This Row],[Return to Work Date ]]="","","Y")</f>
        <v/>
      </c>
    </row>
    <row r="906" spans="1:34" x14ac:dyDescent="0.25">
      <c r="A906" t="s">
        <v>37</v>
      </c>
      <c r="B906">
        <v>314301</v>
      </c>
      <c r="C906">
        <v>25933029</v>
      </c>
      <c r="D906" s="1" t="s">
        <v>1215</v>
      </c>
      <c r="E906" t="s">
        <v>1216</v>
      </c>
      <c r="F906" t="s">
        <v>421</v>
      </c>
      <c r="G906">
        <v>20170121</v>
      </c>
      <c r="H906">
        <v>20170306</v>
      </c>
      <c r="I906" t="s">
        <v>78</v>
      </c>
      <c r="K906" t="s">
        <v>79</v>
      </c>
      <c r="L906" t="s">
        <v>34</v>
      </c>
      <c r="M906" t="s">
        <v>34</v>
      </c>
      <c r="N906" t="s">
        <v>35</v>
      </c>
      <c r="O906" t="s">
        <v>35</v>
      </c>
      <c r="P906" t="s">
        <v>35</v>
      </c>
      <c r="Q906" t="s">
        <v>35</v>
      </c>
      <c r="R906" t="s">
        <v>35</v>
      </c>
      <c r="S906" t="s">
        <v>34</v>
      </c>
      <c r="AD906">
        <v>20170124</v>
      </c>
      <c r="AF906" t="str">
        <f>IFERROR(VLOOKUP(RIGHT(TblFeedFile1[[#This Row],[Leave Type ]],6),LkupPayType[],2,FALSE),"TBD")</f>
        <v>TBD</v>
      </c>
      <c r="AG906" t="str">
        <f>IFERROR(VLOOKUP(TblFeedFile1[[#This Row],[ Report Number ]],LkupPayrollCycle[],2,FALSE),"TBD")</f>
        <v>Semi-Monthly</v>
      </c>
      <c r="AH906" t="str">
        <f>IF(TblFeedFile1[[#This Row],[Return to Work Date ]]="","","Y")</f>
        <v/>
      </c>
    </row>
    <row r="907" spans="1:34" x14ac:dyDescent="0.25">
      <c r="A907" t="s">
        <v>37</v>
      </c>
      <c r="B907">
        <v>314301</v>
      </c>
      <c r="C907">
        <v>25933029</v>
      </c>
      <c r="D907" s="1">
        <v>551701208055</v>
      </c>
      <c r="E907" t="s">
        <v>1216</v>
      </c>
      <c r="F907" t="s">
        <v>421</v>
      </c>
      <c r="G907">
        <v>20170123</v>
      </c>
      <c r="H907">
        <v>20170306</v>
      </c>
      <c r="I907" t="s">
        <v>53</v>
      </c>
      <c r="L907" t="s">
        <v>34</v>
      </c>
      <c r="M907" t="s">
        <v>34</v>
      </c>
      <c r="N907" t="s">
        <v>35</v>
      </c>
      <c r="O907" t="s">
        <v>35</v>
      </c>
      <c r="P907" t="s">
        <v>35</v>
      </c>
      <c r="Q907" t="s">
        <v>35</v>
      </c>
      <c r="R907" t="s">
        <v>35</v>
      </c>
      <c r="S907" t="s">
        <v>34</v>
      </c>
      <c r="AD907">
        <v>20170124</v>
      </c>
      <c r="AF907" t="str">
        <f>IFERROR(VLOOKUP(RIGHT(TblFeedFile1[[#This Row],[Leave Type ]],6),LkupPayType[],2,FALSE),"TBD")</f>
        <v>TBD</v>
      </c>
      <c r="AG907" t="str">
        <f>IFERROR(VLOOKUP(TblFeedFile1[[#This Row],[ Report Number ]],LkupPayrollCycle[],2,FALSE),"TBD")</f>
        <v>Semi-Monthly</v>
      </c>
      <c r="AH907" t="str">
        <f>IF(TblFeedFile1[[#This Row],[Return to Work Date ]]="","","Y")</f>
        <v/>
      </c>
    </row>
    <row r="908" spans="1:34" x14ac:dyDescent="0.25">
      <c r="A908" t="s">
        <v>37</v>
      </c>
      <c r="B908">
        <v>314301</v>
      </c>
      <c r="C908">
        <v>25933029</v>
      </c>
      <c r="D908" s="1">
        <v>551701208055</v>
      </c>
      <c r="E908" t="s">
        <v>1216</v>
      </c>
      <c r="F908" t="s">
        <v>421</v>
      </c>
      <c r="G908">
        <v>20170130</v>
      </c>
      <c r="H908">
        <v>20170306</v>
      </c>
      <c r="I908" t="s">
        <v>40</v>
      </c>
      <c r="L908" t="s">
        <v>34</v>
      </c>
      <c r="M908" t="s">
        <v>34</v>
      </c>
      <c r="N908" t="s">
        <v>35</v>
      </c>
      <c r="O908" t="s">
        <v>35</v>
      </c>
      <c r="P908" t="s">
        <v>35</v>
      </c>
      <c r="Q908" t="s">
        <v>35</v>
      </c>
      <c r="R908" t="s">
        <v>35</v>
      </c>
      <c r="S908" t="s">
        <v>34</v>
      </c>
      <c r="AD908">
        <v>20170124</v>
      </c>
      <c r="AF908" t="str">
        <f>IFERROR(VLOOKUP(RIGHT(TblFeedFile1[[#This Row],[Leave Type ]],6),LkupPayType[],2,FALSE),"TBD")</f>
        <v>TBD</v>
      </c>
      <c r="AG908" t="str">
        <f>IFERROR(VLOOKUP(TblFeedFile1[[#This Row],[ Report Number ]],LkupPayrollCycle[],2,FALSE),"TBD")</f>
        <v>Semi-Monthly</v>
      </c>
      <c r="AH908" t="str">
        <f>IF(TblFeedFile1[[#This Row],[Return to Work Date ]]="","","Y")</f>
        <v/>
      </c>
    </row>
    <row r="909" spans="1:34" x14ac:dyDescent="0.25">
      <c r="A909" t="s">
        <v>29</v>
      </c>
      <c r="B909">
        <v>314304</v>
      </c>
      <c r="C909">
        <v>25945191</v>
      </c>
      <c r="D909" s="1">
        <v>501701208958</v>
      </c>
      <c r="E909" t="s">
        <v>1217</v>
      </c>
      <c r="F909" t="s">
        <v>1218</v>
      </c>
      <c r="G909">
        <v>20170116</v>
      </c>
      <c r="H909">
        <v>20170219</v>
      </c>
      <c r="I909" t="s">
        <v>53</v>
      </c>
      <c r="L909" t="s">
        <v>34</v>
      </c>
      <c r="M909" t="s">
        <v>34</v>
      </c>
      <c r="N909" t="s">
        <v>35</v>
      </c>
      <c r="O909" t="s">
        <v>35</v>
      </c>
      <c r="P909" t="s">
        <v>35</v>
      </c>
      <c r="Q909" t="s">
        <v>35</v>
      </c>
      <c r="R909" t="s">
        <v>35</v>
      </c>
      <c r="S909" t="s">
        <v>34</v>
      </c>
      <c r="AD909">
        <v>20170124</v>
      </c>
      <c r="AF909" t="str">
        <f>IFERROR(VLOOKUP(RIGHT(TblFeedFile1[[#This Row],[Leave Type ]],6),LkupPayType[],2,FALSE),"TBD")</f>
        <v>TBD</v>
      </c>
      <c r="AG909" t="str">
        <f>IFERROR(VLOOKUP(TblFeedFile1[[#This Row],[ Report Number ]],LkupPayrollCycle[],2,FALSE),"TBD")</f>
        <v>Bi-Weekly</v>
      </c>
      <c r="AH909" t="str">
        <f>IF(TblFeedFile1[[#This Row],[Return to Work Date ]]="","","Y")</f>
        <v/>
      </c>
    </row>
    <row r="910" spans="1:34" x14ac:dyDescent="0.25">
      <c r="A910" t="s">
        <v>37</v>
      </c>
      <c r="B910">
        <v>314304</v>
      </c>
      <c r="C910">
        <v>25945191</v>
      </c>
      <c r="D910" s="1">
        <v>501701208958</v>
      </c>
      <c r="E910" t="s">
        <v>1217</v>
      </c>
      <c r="F910" t="s">
        <v>1218</v>
      </c>
      <c r="G910">
        <v>20170116</v>
      </c>
      <c r="H910">
        <v>20170219</v>
      </c>
      <c r="I910" t="s">
        <v>53</v>
      </c>
      <c r="L910" t="s">
        <v>34</v>
      </c>
      <c r="M910" t="s">
        <v>34</v>
      </c>
      <c r="N910" t="s">
        <v>35</v>
      </c>
      <c r="O910" t="s">
        <v>34</v>
      </c>
      <c r="P910" t="s">
        <v>34</v>
      </c>
      <c r="Q910" t="s">
        <v>35</v>
      </c>
      <c r="R910" t="s">
        <v>35</v>
      </c>
      <c r="S910" t="s">
        <v>34</v>
      </c>
      <c r="AD910">
        <v>20170124</v>
      </c>
      <c r="AF910" t="str">
        <f>IFERROR(VLOOKUP(RIGHT(TblFeedFile1[[#This Row],[Leave Type ]],6),LkupPayType[],2,FALSE),"TBD")</f>
        <v>TBD</v>
      </c>
      <c r="AG910" t="str">
        <f>IFERROR(VLOOKUP(TblFeedFile1[[#This Row],[ Report Number ]],LkupPayrollCycle[],2,FALSE),"TBD")</f>
        <v>Bi-Weekly</v>
      </c>
      <c r="AH910" t="str">
        <f>IF(TblFeedFile1[[#This Row],[Return to Work Date ]]="","","Y")</f>
        <v/>
      </c>
    </row>
    <row r="911" spans="1:34" x14ac:dyDescent="0.25">
      <c r="A911" t="s">
        <v>37</v>
      </c>
      <c r="B911">
        <v>314304</v>
      </c>
      <c r="C911">
        <v>25945191</v>
      </c>
      <c r="D911" s="1">
        <v>501701208958</v>
      </c>
      <c r="E911" t="s">
        <v>1217</v>
      </c>
      <c r="F911" t="s">
        <v>1218</v>
      </c>
      <c r="G911">
        <v>20170123</v>
      </c>
      <c r="H911">
        <v>20170219</v>
      </c>
      <c r="I911" t="s">
        <v>40</v>
      </c>
      <c r="L911" t="s">
        <v>34</v>
      </c>
      <c r="M911" t="s">
        <v>34</v>
      </c>
      <c r="N911" t="s">
        <v>35</v>
      </c>
      <c r="O911" t="s">
        <v>34</v>
      </c>
      <c r="P911" t="s">
        <v>34</v>
      </c>
      <c r="Q911" t="s">
        <v>35</v>
      </c>
      <c r="R911" t="s">
        <v>35</v>
      </c>
      <c r="S911" t="s">
        <v>34</v>
      </c>
      <c r="AD911">
        <v>20170124</v>
      </c>
      <c r="AF911" t="str">
        <f>IFERROR(VLOOKUP(RIGHT(TblFeedFile1[[#This Row],[Leave Type ]],6),LkupPayType[],2,FALSE),"TBD")</f>
        <v>TBD</v>
      </c>
      <c r="AG911" t="str">
        <f>IFERROR(VLOOKUP(TblFeedFile1[[#This Row],[ Report Number ]],LkupPayrollCycle[],2,FALSE),"TBD")</f>
        <v>Bi-Weekly</v>
      </c>
      <c r="AH911" t="str">
        <f>IF(TblFeedFile1[[#This Row],[Return to Work Date ]]="","","Y")</f>
        <v/>
      </c>
    </row>
    <row r="912" spans="1:34" x14ac:dyDescent="0.25">
      <c r="A912" t="s">
        <v>29</v>
      </c>
      <c r="B912">
        <v>314304</v>
      </c>
      <c r="C912">
        <v>25974917</v>
      </c>
      <c r="D912" s="1">
        <v>541612288104</v>
      </c>
      <c r="E912" t="s">
        <v>1219</v>
      </c>
      <c r="F912" t="s">
        <v>951</v>
      </c>
      <c r="G912">
        <v>20170118</v>
      </c>
      <c r="H912">
        <v>20170315</v>
      </c>
      <c r="I912" t="s">
        <v>53</v>
      </c>
      <c r="L912" t="s">
        <v>34</v>
      </c>
      <c r="M912" t="s">
        <v>34</v>
      </c>
      <c r="N912" t="s">
        <v>35</v>
      </c>
      <c r="O912" t="s">
        <v>35</v>
      </c>
      <c r="P912" t="s">
        <v>35</v>
      </c>
      <c r="Q912" t="s">
        <v>35</v>
      </c>
      <c r="R912" t="s">
        <v>35</v>
      </c>
      <c r="S912" t="s">
        <v>34</v>
      </c>
      <c r="AD912">
        <v>20170124</v>
      </c>
      <c r="AF912" t="str">
        <f>IFERROR(VLOOKUP(RIGHT(TblFeedFile1[[#This Row],[Leave Type ]],6),LkupPayType[],2,FALSE),"TBD")</f>
        <v>TBD</v>
      </c>
      <c r="AG912" t="str">
        <f>IFERROR(VLOOKUP(TblFeedFile1[[#This Row],[ Report Number ]],LkupPayrollCycle[],2,FALSE),"TBD")</f>
        <v>Bi-Weekly</v>
      </c>
      <c r="AH912" t="str">
        <f>IF(TblFeedFile1[[#This Row],[Return to Work Date ]]="","","Y")</f>
        <v/>
      </c>
    </row>
    <row r="913" spans="1:34" x14ac:dyDescent="0.25">
      <c r="A913" t="s">
        <v>37</v>
      </c>
      <c r="B913">
        <v>314304</v>
      </c>
      <c r="C913">
        <v>25974917</v>
      </c>
      <c r="D913" s="1">
        <v>541612288104</v>
      </c>
      <c r="E913" t="s">
        <v>1219</v>
      </c>
      <c r="F913" t="s">
        <v>951</v>
      </c>
      <c r="G913">
        <v>20170118</v>
      </c>
      <c r="H913">
        <v>20170228</v>
      </c>
      <c r="I913" t="s">
        <v>53</v>
      </c>
      <c r="L913" t="s">
        <v>34</v>
      </c>
      <c r="M913" t="s">
        <v>34</v>
      </c>
      <c r="N913" t="s">
        <v>35</v>
      </c>
      <c r="O913" t="s">
        <v>35</v>
      </c>
      <c r="P913" t="s">
        <v>35</v>
      </c>
      <c r="Q913" t="s">
        <v>35</v>
      </c>
      <c r="R913" t="s">
        <v>35</v>
      </c>
      <c r="S913" t="s">
        <v>34</v>
      </c>
      <c r="AD913">
        <v>20170124</v>
      </c>
      <c r="AF913" t="str">
        <f>IFERROR(VLOOKUP(RIGHT(TblFeedFile1[[#This Row],[Leave Type ]],6),LkupPayType[],2,FALSE),"TBD")</f>
        <v>TBD</v>
      </c>
      <c r="AG913" t="str">
        <f>IFERROR(VLOOKUP(TblFeedFile1[[#This Row],[ Report Number ]],LkupPayrollCycle[],2,FALSE),"TBD")</f>
        <v>Bi-Weekly</v>
      </c>
      <c r="AH913" t="str">
        <f>IF(TblFeedFile1[[#This Row],[Return to Work Date ]]="","","Y")</f>
        <v/>
      </c>
    </row>
    <row r="914" spans="1:34" x14ac:dyDescent="0.25">
      <c r="A914" t="s">
        <v>29</v>
      </c>
      <c r="B914">
        <v>314301</v>
      </c>
      <c r="C914">
        <v>25984258</v>
      </c>
      <c r="D914" s="1" t="s">
        <v>1220</v>
      </c>
      <c r="E914" t="s">
        <v>824</v>
      </c>
      <c r="F914" t="s">
        <v>1221</v>
      </c>
      <c r="G914">
        <v>20170103</v>
      </c>
      <c r="H914">
        <v>20170103</v>
      </c>
      <c r="I914" t="s">
        <v>33</v>
      </c>
      <c r="L914" t="s">
        <v>34</v>
      </c>
      <c r="M914" t="s">
        <v>34</v>
      </c>
      <c r="N914" t="s">
        <v>35</v>
      </c>
      <c r="O914" t="s">
        <v>35</v>
      </c>
      <c r="P914" t="s">
        <v>35</v>
      </c>
      <c r="Q914" t="s">
        <v>35</v>
      </c>
      <c r="R914" t="s">
        <v>35</v>
      </c>
      <c r="S914" t="s">
        <v>34</v>
      </c>
      <c r="AC914" t="s">
        <v>35</v>
      </c>
      <c r="AD914">
        <v>20170124</v>
      </c>
      <c r="AF914" t="str">
        <f>IFERROR(VLOOKUP(RIGHT(TblFeedFile1[[#This Row],[Leave Type ]],6),LkupPayType[],2,FALSE),"TBD")</f>
        <v>TBD</v>
      </c>
      <c r="AG914" t="str">
        <f>IFERROR(VLOOKUP(TblFeedFile1[[#This Row],[ Report Number ]],LkupPayrollCycle[],2,FALSE),"TBD")</f>
        <v>Semi-Monthly</v>
      </c>
      <c r="AH914" t="str">
        <f>IF(TblFeedFile1[[#This Row],[Return to Work Date ]]="","","Y")</f>
        <v/>
      </c>
    </row>
    <row r="915" spans="1:34" x14ac:dyDescent="0.25">
      <c r="A915" t="s">
        <v>29</v>
      </c>
      <c r="B915">
        <v>314301</v>
      </c>
      <c r="C915">
        <v>25984258</v>
      </c>
      <c r="D915" s="1" t="s">
        <v>1220</v>
      </c>
      <c r="E915" t="s">
        <v>824</v>
      </c>
      <c r="F915" t="s">
        <v>1221</v>
      </c>
      <c r="G915">
        <v>20161025</v>
      </c>
      <c r="H915">
        <v>20170102</v>
      </c>
      <c r="I915" t="s">
        <v>36</v>
      </c>
      <c r="L915" t="s">
        <v>34</v>
      </c>
      <c r="M915" t="s">
        <v>34</v>
      </c>
      <c r="N915" t="s">
        <v>35</v>
      </c>
      <c r="O915" t="s">
        <v>35</v>
      </c>
      <c r="P915" t="s">
        <v>35</v>
      </c>
      <c r="Q915" t="s">
        <v>35</v>
      </c>
      <c r="R915" t="s">
        <v>35</v>
      </c>
      <c r="S915" t="s">
        <v>34</v>
      </c>
      <c r="AC915" t="s">
        <v>35</v>
      </c>
      <c r="AD915">
        <v>20170124</v>
      </c>
      <c r="AF915" t="str">
        <f>IFERROR(VLOOKUP(RIGHT(TblFeedFile1[[#This Row],[Leave Type ]],6),LkupPayType[],2,FALSE),"TBD")</f>
        <v>TBD</v>
      </c>
      <c r="AG915" t="str">
        <f>IFERROR(VLOOKUP(TblFeedFile1[[#This Row],[ Report Number ]],LkupPayrollCycle[],2,FALSE),"TBD")</f>
        <v>Semi-Monthly</v>
      </c>
      <c r="AH915" t="str">
        <f>IF(TblFeedFile1[[#This Row],[Return to Work Date ]]="","","Y")</f>
        <v/>
      </c>
    </row>
    <row r="916" spans="1:34" x14ac:dyDescent="0.25">
      <c r="A916" t="s">
        <v>29</v>
      </c>
      <c r="B916">
        <v>314301</v>
      </c>
      <c r="C916">
        <v>25984258</v>
      </c>
      <c r="D916" s="1" t="s">
        <v>1220</v>
      </c>
      <c r="E916" t="s">
        <v>824</v>
      </c>
      <c r="F916" t="s">
        <v>1221</v>
      </c>
      <c r="G916">
        <v>20160913</v>
      </c>
      <c r="H916">
        <v>20170102</v>
      </c>
      <c r="I916" t="s">
        <v>155</v>
      </c>
      <c r="L916" t="s">
        <v>34</v>
      </c>
      <c r="M916" t="s">
        <v>34</v>
      </c>
      <c r="N916" t="s">
        <v>35</v>
      </c>
      <c r="O916" t="s">
        <v>35</v>
      </c>
      <c r="P916" t="s">
        <v>35</v>
      </c>
      <c r="Q916" t="s">
        <v>35</v>
      </c>
      <c r="R916" t="s">
        <v>35</v>
      </c>
      <c r="S916" t="s">
        <v>34</v>
      </c>
      <c r="AC916" t="s">
        <v>35</v>
      </c>
      <c r="AD916">
        <v>20170124</v>
      </c>
      <c r="AF916" t="str">
        <f>IFERROR(VLOOKUP(RIGHT(TblFeedFile1[[#This Row],[Leave Type ]],6),LkupPayType[],2,FALSE),"TBD")</f>
        <v>TBD</v>
      </c>
      <c r="AG916" t="str">
        <f>IFERROR(VLOOKUP(TblFeedFile1[[#This Row],[ Report Number ]],LkupPayrollCycle[],2,FALSE),"TBD")</f>
        <v>Semi-Monthly</v>
      </c>
      <c r="AH916" t="str">
        <f>IF(TblFeedFile1[[#This Row],[Return to Work Date ]]="","","Y")</f>
        <v/>
      </c>
    </row>
    <row r="917" spans="1:34" x14ac:dyDescent="0.25">
      <c r="A917" t="s">
        <v>37</v>
      </c>
      <c r="B917">
        <v>314301</v>
      </c>
      <c r="C917">
        <v>25984258</v>
      </c>
      <c r="D917" s="1" t="s">
        <v>1220</v>
      </c>
      <c r="E917" t="s">
        <v>824</v>
      </c>
      <c r="F917" t="s">
        <v>1221</v>
      </c>
      <c r="G917">
        <v>20161025</v>
      </c>
      <c r="H917">
        <v>20170113</v>
      </c>
      <c r="I917" t="s">
        <v>36</v>
      </c>
      <c r="L917" t="s">
        <v>34</v>
      </c>
      <c r="M917" t="s">
        <v>34</v>
      </c>
      <c r="N917" t="s">
        <v>35</v>
      </c>
      <c r="O917" t="s">
        <v>35</v>
      </c>
      <c r="P917" t="s">
        <v>35</v>
      </c>
      <c r="Q917" t="s">
        <v>35</v>
      </c>
      <c r="R917" t="s">
        <v>35</v>
      </c>
      <c r="S917" t="s">
        <v>34</v>
      </c>
      <c r="AC917" t="s">
        <v>35</v>
      </c>
      <c r="AD917">
        <v>20170124</v>
      </c>
      <c r="AF917" t="str">
        <f>IFERROR(VLOOKUP(RIGHT(TblFeedFile1[[#This Row],[Leave Type ]],6),LkupPayType[],2,FALSE),"TBD")</f>
        <v>TBD</v>
      </c>
      <c r="AG917" t="str">
        <f>IFERROR(VLOOKUP(TblFeedFile1[[#This Row],[ Report Number ]],LkupPayrollCycle[],2,FALSE),"TBD")</f>
        <v>Semi-Monthly</v>
      </c>
      <c r="AH917" t="str">
        <f>IF(TblFeedFile1[[#This Row],[Return to Work Date ]]="","","Y")</f>
        <v/>
      </c>
    </row>
    <row r="918" spans="1:34" x14ac:dyDescent="0.25">
      <c r="A918" t="s">
        <v>37</v>
      </c>
      <c r="B918">
        <v>314301</v>
      </c>
      <c r="C918">
        <v>25984258</v>
      </c>
      <c r="D918" s="1" t="s">
        <v>1220</v>
      </c>
      <c r="E918" t="s">
        <v>824</v>
      </c>
      <c r="F918" t="s">
        <v>1221</v>
      </c>
      <c r="G918">
        <v>20170114</v>
      </c>
      <c r="H918">
        <v>20170114</v>
      </c>
      <c r="I918" t="s">
        <v>33</v>
      </c>
      <c r="L918" t="s">
        <v>34</v>
      </c>
      <c r="M918" t="s">
        <v>34</v>
      </c>
      <c r="N918" t="s">
        <v>35</v>
      </c>
      <c r="O918" t="s">
        <v>35</v>
      </c>
      <c r="P918" t="s">
        <v>35</v>
      </c>
      <c r="Q918" t="s">
        <v>35</v>
      </c>
      <c r="R918" t="s">
        <v>35</v>
      </c>
      <c r="S918" t="s">
        <v>34</v>
      </c>
      <c r="AC918" t="s">
        <v>35</v>
      </c>
      <c r="AD918">
        <v>20170124</v>
      </c>
      <c r="AF918" t="str">
        <f>IFERROR(VLOOKUP(RIGHT(TblFeedFile1[[#This Row],[Leave Type ]],6),LkupPayType[],2,FALSE),"TBD")</f>
        <v>TBD</v>
      </c>
      <c r="AG918" t="str">
        <f>IFERROR(VLOOKUP(TblFeedFile1[[#This Row],[ Report Number ]],LkupPayrollCycle[],2,FALSE),"TBD")</f>
        <v>Semi-Monthly</v>
      </c>
      <c r="AH918" t="str">
        <f>IF(TblFeedFile1[[#This Row],[Return to Work Date ]]="","","Y")</f>
        <v/>
      </c>
    </row>
    <row r="919" spans="1:34" x14ac:dyDescent="0.25">
      <c r="A919" t="s">
        <v>37</v>
      </c>
      <c r="B919">
        <v>314304</v>
      </c>
      <c r="C919">
        <v>25988860</v>
      </c>
      <c r="D919" s="1">
        <v>511701098881</v>
      </c>
      <c r="E919" t="s">
        <v>1222</v>
      </c>
      <c r="F919" t="s">
        <v>1223</v>
      </c>
      <c r="G919">
        <v>20170123</v>
      </c>
      <c r="H919">
        <v>20170208</v>
      </c>
      <c r="I919" t="s">
        <v>53</v>
      </c>
      <c r="L919" t="s">
        <v>34</v>
      </c>
      <c r="M919" t="s">
        <v>34</v>
      </c>
      <c r="N919" t="s">
        <v>35</v>
      </c>
      <c r="O919" t="s">
        <v>35</v>
      </c>
      <c r="P919" t="s">
        <v>35</v>
      </c>
      <c r="Q919" t="s">
        <v>35</v>
      </c>
      <c r="R919" t="s">
        <v>35</v>
      </c>
      <c r="S919" t="s">
        <v>34</v>
      </c>
      <c r="AD919">
        <v>20170124</v>
      </c>
      <c r="AF919" t="str">
        <f>IFERROR(VLOOKUP(RIGHT(TblFeedFile1[[#This Row],[Leave Type ]],6),LkupPayType[],2,FALSE),"TBD")</f>
        <v>TBD</v>
      </c>
      <c r="AG919" t="str">
        <f>IFERROR(VLOOKUP(TblFeedFile1[[#This Row],[ Report Number ]],LkupPayrollCycle[],2,FALSE),"TBD")</f>
        <v>Bi-Weekly</v>
      </c>
      <c r="AH919" t="str">
        <f>IF(TblFeedFile1[[#This Row],[Return to Work Date ]]="","","Y")</f>
        <v/>
      </c>
    </row>
    <row r="920" spans="1:34" x14ac:dyDescent="0.25">
      <c r="A920" t="s">
        <v>29</v>
      </c>
      <c r="B920">
        <v>314304</v>
      </c>
      <c r="C920">
        <v>25993469</v>
      </c>
      <c r="D920" s="1" t="s">
        <v>1224</v>
      </c>
      <c r="E920" t="s">
        <v>1225</v>
      </c>
      <c r="F920" t="s">
        <v>1226</v>
      </c>
      <c r="G920">
        <v>20161003</v>
      </c>
      <c r="H920">
        <v>20170120</v>
      </c>
      <c r="I920" t="s">
        <v>223</v>
      </c>
      <c r="L920" t="s">
        <v>34</v>
      </c>
      <c r="M920" t="s">
        <v>34</v>
      </c>
      <c r="N920" t="s">
        <v>35</v>
      </c>
      <c r="O920" t="s">
        <v>35</v>
      </c>
      <c r="P920" t="s">
        <v>35</v>
      </c>
      <c r="Q920" t="s">
        <v>35</v>
      </c>
      <c r="R920" t="s">
        <v>35</v>
      </c>
      <c r="S920" t="s">
        <v>34</v>
      </c>
      <c r="AC920" t="s">
        <v>35</v>
      </c>
      <c r="AD920">
        <v>20170124</v>
      </c>
      <c r="AF920" t="str">
        <f>IFERROR(VLOOKUP(RIGHT(TblFeedFile1[[#This Row],[Leave Type ]],6),LkupPayType[],2,FALSE),"TBD")</f>
        <v>TBD</v>
      </c>
      <c r="AG920" t="str">
        <f>IFERROR(VLOOKUP(TblFeedFile1[[#This Row],[ Report Number ]],LkupPayrollCycle[],2,FALSE),"TBD")</f>
        <v>Bi-Weekly</v>
      </c>
      <c r="AH920" t="str">
        <f>IF(TblFeedFile1[[#This Row],[Return to Work Date ]]="","","Y")</f>
        <v/>
      </c>
    </row>
    <row r="921" spans="1:34" x14ac:dyDescent="0.25">
      <c r="A921" t="s">
        <v>37</v>
      </c>
      <c r="B921">
        <v>314304</v>
      </c>
      <c r="C921">
        <v>25993469</v>
      </c>
      <c r="D921" s="1" t="s">
        <v>1224</v>
      </c>
      <c r="E921" t="s">
        <v>1225</v>
      </c>
      <c r="F921" t="s">
        <v>1226</v>
      </c>
      <c r="G921">
        <v>20161003</v>
      </c>
      <c r="H921">
        <v>20170122</v>
      </c>
      <c r="I921" t="s">
        <v>223</v>
      </c>
      <c r="L921" t="s">
        <v>34</v>
      </c>
      <c r="M921" t="s">
        <v>34</v>
      </c>
      <c r="N921" t="s">
        <v>35</v>
      </c>
      <c r="O921" t="s">
        <v>35</v>
      </c>
      <c r="P921" t="s">
        <v>35</v>
      </c>
      <c r="Q921" t="s">
        <v>35</v>
      </c>
      <c r="R921" t="s">
        <v>35</v>
      </c>
      <c r="S921" t="s">
        <v>34</v>
      </c>
      <c r="AC921" t="s">
        <v>35</v>
      </c>
      <c r="AD921">
        <v>20170124</v>
      </c>
      <c r="AF921" t="str">
        <f>IFERROR(VLOOKUP(RIGHT(TblFeedFile1[[#This Row],[Leave Type ]],6),LkupPayType[],2,FALSE),"TBD")</f>
        <v>TBD</v>
      </c>
      <c r="AG921" t="str">
        <f>IFERROR(VLOOKUP(TblFeedFile1[[#This Row],[ Report Number ]],LkupPayrollCycle[],2,FALSE),"TBD")</f>
        <v>Bi-Weekly</v>
      </c>
      <c r="AH921" t="str">
        <f>IF(TblFeedFile1[[#This Row],[Return to Work Date ]]="","","Y")</f>
        <v/>
      </c>
    </row>
    <row r="922" spans="1:34" x14ac:dyDescent="0.25">
      <c r="A922" t="s">
        <v>37</v>
      </c>
      <c r="B922">
        <v>314304</v>
      </c>
      <c r="C922">
        <v>25993469</v>
      </c>
      <c r="D922" s="1" t="s">
        <v>1224</v>
      </c>
      <c r="E922" t="s">
        <v>1225</v>
      </c>
      <c r="F922" t="s">
        <v>1226</v>
      </c>
      <c r="G922">
        <v>20170123</v>
      </c>
      <c r="H922">
        <v>20170123</v>
      </c>
      <c r="I922" t="s">
        <v>33</v>
      </c>
      <c r="L922" t="s">
        <v>34</v>
      </c>
      <c r="M922" t="s">
        <v>34</v>
      </c>
      <c r="N922" t="s">
        <v>35</v>
      </c>
      <c r="O922" t="s">
        <v>35</v>
      </c>
      <c r="P922" t="s">
        <v>35</v>
      </c>
      <c r="Q922" t="s">
        <v>35</v>
      </c>
      <c r="R922" t="s">
        <v>35</v>
      </c>
      <c r="S922" t="s">
        <v>34</v>
      </c>
      <c r="AC922" t="s">
        <v>35</v>
      </c>
      <c r="AD922">
        <v>20170124</v>
      </c>
      <c r="AF922" t="str">
        <f>IFERROR(VLOOKUP(RIGHT(TblFeedFile1[[#This Row],[Leave Type ]],6),LkupPayType[],2,FALSE),"TBD")</f>
        <v>TBD</v>
      </c>
      <c r="AG922" t="str">
        <f>IFERROR(VLOOKUP(TblFeedFile1[[#This Row],[ Report Number ]],LkupPayrollCycle[],2,FALSE),"TBD")</f>
        <v>Bi-Weekly</v>
      </c>
      <c r="AH922" t="str">
        <f>IF(TblFeedFile1[[#This Row],[Return to Work Date ]]="","","Y")</f>
        <v/>
      </c>
    </row>
    <row r="923" spans="1:34" x14ac:dyDescent="0.25">
      <c r="A923" t="s">
        <v>37</v>
      </c>
      <c r="B923">
        <v>314304</v>
      </c>
      <c r="C923">
        <v>26013044</v>
      </c>
      <c r="D923" s="1">
        <v>501701038680</v>
      </c>
      <c r="E923" t="s">
        <v>1227</v>
      </c>
      <c r="F923" t="s">
        <v>1228</v>
      </c>
      <c r="G923">
        <v>20170123</v>
      </c>
      <c r="H923">
        <v>20170508</v>
      </c>
      <c r="I923" t="s">
        <v>40</v>
      </c>
      <c r="L923" t="s">
        <v>35</v>
      </c>
      <c r="AD923">
        <v>20170124</v>
      </c>
      <c r="AF923" t="str">
        <f>IFERROR(VLOOKUP(RIGHT(TblFeedFile1[[#This Row],[Leave Type ]],6),LkupPayType[],2,FALSE),"TBD")</f>
        <v>TBD</v>
      </c>
      <c r="AG923" t="str">
        <f>IFERROR(VLOOKUP(TblFeedFile1[[#This Row],[ Report Number ]],LkupPayrollCycle[],2,FALSE),"TBD")</f>
        <v>Bi-Weekly</v>
      </c>
      <c r="AH923" t="str">
        <f>IF(TblFeedFile1[[#This Row],[Return to Work Date ]]="","","Y")</f>
        <v/>
      </c>
    </row>
    <row r="924" spans="1:34" x14ac:dyDescent="0.25">
      <c r="A924" t="s">
        <v>29</v>
      </c>
      <c r="B924">
        <v>314304</v>
      </c>
      <c r="C924">
        <v>26021574</v>
      </c>
      <c r="D924" s="1" t="s">
        <v>1229</v>
      </c>
      <c r="E924" t="s">
        <v>1230</v>
      </c>
      <c r="F924" t="s">
        <v>1231</v>
      </c>
      <c r="G924">
        <v>20170110</v>
      </c>
      <c r="H924">
        <v>20170123</v>
      </c>
      <c r="I924" t="s">
        <v>36</v>
      </c>
      <c r="L924" t="s">
        <v>34</v>
      </c>
      <c r="M924" t="s">
        <v>34</v>
      </c>
      <c r="N924" t="s">
        <v>35</v>
      </c>
      <c r="O924" t="s">
        <v>35</v>
      </c>
      <c r="P924" t="s">
        <v>35</v>
      </c>
      <c r="Q924" t="s">
        <v>35</v>
      </c>
      <c r="R924" t="s">
        <v>35</v>
      </c>
      <c r="S924" t="s">
        <v>34</v>
      </c>
      <c r="AD924">
        <v>20170124</v>
      </c>
      <c r="AF924" t="str">
        <f>IFERROR(VLOOKUP(RIGHT(TblFeedFile1[[#This Row],[Leave Type ]],6),LkupPayType[],2,FALSE),"TBD")</f>
        <v>TBD</v>
      </c>
      <c r="AG924" t="str">
        <f>IFERROR(VLOOKUP(TblFeedFile1[[#This Row],[ Report Number ]],LkupPayrollCycle[],2,FALSE),"TBD")</f>
        <v>Bi-Weekly</v>
      </c>
      <c r="AH924" t="str">
        <f>IF(TblFeedFile1[[#This Row],[Return to Work Date ]]="","","Y")</f>
        <v/>
      </c>
    </row>
    <row r="925" spans="1:34" x14ac:dyDescent="0.25">
      <c r="A925" t="s">
        <v>37</v>
      </c>
      <c r="B925">
        <v>314304</v>
      </c>
      <c r="C925">
        <v>26021574</v>
      </c>
      <c r="D925" s="1">
        <v>511701218059</v>
      </c>
      <c r="E925" t="s">
        <v>1230</v>
      </c>
      <c r="F925" t="s">
        <v>1231</v>
      </c>
      <c r="G925">
        <v>20170110</v>
      </c>
      <c r="H925">
        <v>20170120</v>
      </c>
      <c r="I925" t="s">
        <v>53</v>
      </c>
      <c r="L925" t="s">
        <v>34</v>
      </c>
      <c r="M925" t="s">
        <v>34</v>
      </c>
      <c r="N925" t="s">
        <v>35</v>
      </c>
      <c r="O925" t="s">
        <v>35</v>
      </c>
      <c r="P925" t="s">
        <v>35</v>
      </c>
      <c r="Q925" t="s">
        <v>35</v>
      </c>
      <c r="R925" t="s">
        <v>35</v>
      </c>
      <c r="S925" t="s">
        <v>34</v>
      </c>
      <c r="AD925">
        <v>20170124</v>
      </c>
      <c r="AF925" t="str">
        <f>IFERROR(VLOOKUP(RIGHT(TblFeedFile1[[#This Row],[Leave Type ]],6),LkupPayType[],2,FALSE),"TBD")</f>
        <v>TBD</v>
      </c>
      <c r="AG925" t="str">
        <f>IFERROR(VLOOKUP(TblFeedFile1[[#This Row],[ Report Number ]],LkupPayrollCycle[],2,FALSE),"TBD")</f>
        <v>Bi-Weekly</v>
      </c>
      <c r="AH925" t="str">
        <f>IF(TblFeedFile1[[#This Row],[Return to Work Date ]]="","","Y")</f>
        <v/>
      </c>
    </row>
    <row r="926" spans="1:34" x14ac:dyDescent="0.25">
      <c r="A926" t="s">
        <v>37</v>
      </c>
      <c r="B926">
        <v>314304</v>
      </c>
      <c r="C926">
        <v>26021574</v>
      </c>
      <c r="D926" s="1">
        <v>511701218059</v>
      </c>
      <c r="E926" t="s">
        <v>1230</v>
      </c>
      <c r="F926" t="s">
        <v>1231</v>
      </c>
      <c r="G926">
        <v>20170117</v>
      </c>
      <c r="H926">
        <v>20170120</v>
      </c>
      <c r="I926" t="s">
        <v>40</v>
      </c>
      <c r="L926" t="s">
        <v>34</v>
      </c>
      <c r="M926" t="s">
        <v>34</v>
      </c>
      <c r="N926" t="s">
        <v>35</v>
      </c>
      <c r="O926" t="s">
        <v>35</v>
      </c>
      <c r="P926" t="s">
        <v>35</v>
      </c>
      <c r="Q926" t="s">
        <v>35</v>
      </c>
      <c r="R926" t="s">
        <v>35</v>
      </c>
      <c r="S926" t="s">
        <v>34</v>
      </c>
      <c r="Y926">
        <v>170</v>
      </c>
      <c r="Z926" t="s">
        <v>341</v>
      </c>
      <c r="AA926">
        <v>20170117</v>
      </c>
      <c r="AB926">
        <v>20170710</v>
      </c>
      <c r="AD926">
        <v>20170124</v>
      </c>
      <c r="AF926" t="str">
        <f>IFERROR(VLOOKUP(RIGHT(TblFeedFile1[[#This Row],[Leave Type ]],6),LkupPayType[],2,FALSE),"TBD")</f>
        <v>TBD</v>
      </c>
      <c r="AG926" t="str">
        <f>IFERROR(VLOOKUP(TblFeedFile1[[#This Row],[ Report Number ]],LkupPayrollCycle[],2,FALSE),"TBD")</f>
        <v>Bi-Weekly</v>
      </c>
      <c r="AH926" t="str">
        <f>IF(TblFeedFile1[[#This Row],[Return to Work Date ]]="","","Y")</f>
        <v/>
      </c>
    </row>
    <row r="927" spans="1:34" x14ac:dyDescent="0.25">
      <c r="A927" t="s">
        <v>37</v>
      </c>
      <c r="B927">
        <v>314304</v>
      </c>
      <c r="C927">
        <v>26021574</v>
      </c>
      <c r="D927" s="1" t="s">
        <v>1229</v>
      </c>
      <c r="E927" t="s">
        <v>1230</v>
      </c>
      <c r="F927" t="s">
        <v>1231</v>
      </c>
      <c r="G927">
        <v>20170121</v>
      </c>
      <c r="H927">
        <v>20170120</v>
      </c>
      <c r="I927" t="s">
        <v>36</v>
      </c>
      <c r="L927" t="s">
        <v>34</v>
      </c>
      <c r="M927" t="s">
        <v>34</v>
      </c>
      <c r="N927" t="s">
        <v>35</v>
      </c>
      <c r="O927" t="s">
        <v>35</v>
      </c>
      <c r="P927" t="s">
        <v>35</v>
      </c>
      <c r="Q927" t="s">
        <v>35</v>
      </c>
      <c r="R927" t="s">
        <v>35</v>
      </c>
      <c r="S927" t="s">
        <v>34</v>
      </c>
      <c r="AD927">
        <v>20170124</v>
      </c>
      <c r="AF927" t="str">
        <f>IFERROR(VLOOKUP(RIGHT(TblFeedFile1[[#This Row],[Leave Type ]],6),LkupPayType[],2,FALSE),"TBD")</f>
        <v>TBD</v>
      </c>
      <c r="AG927" t="str">
        <f>IFERROR(VLOOKUP(TblFeedFile1[[#This Row],[ Report Number ]],LkupPayrollCycle[],2,FALSE),"TBD")</f>
        <v>Bi-Weekly</v>
      </c>
      <c r="AH927" t="str">
        <f>IF(TblFeedFile1[[#This Row],[Return to Work Date ]]="","","Y")</f>
        <v/>
      </c>
    </row>
    <row r="928" spans="1:34" x14ac:dyDescent="0.25">
      <c r="A928" t="s">
        <v>37</v>
      </c>
      <c r="B928">
        <v>314304</v>
      </c>
      <c r="C928">
        <v>26021574</v>
      </c>
      <c r="D928" s="1" t="s">
        <v>1229</v>
      </c>
      <c r="E928" t="s">
        <v>1230</v>
      </c>
      <c r="F928" t="s">
        <v>1231</v>
      </c>
      <c r="G928">
        <v>20170121</v>
      </c>
      <c r="H928">
        <v>20170121</v>
      </c>
      <c r="I928" t="s">
        <v>33</v>
      </c>
      <c r="L928" t="s">
        <v>34</v>
      </c>
      <c r="M928" t="s">
        <v>34</v>
      </c>
      <c r="N928" t="s">
        <v>35</v>
      </c>
      <c r="O928" t="s">
        <v>35</v>
      </c>
      <c r="P928" t="s">
        <v>35</v>
      </c>
      <c r="Q928" t="s">
        <v>35</v>
      </c>
      <c r="R928" t="s">
        <v>35</v>
      </c>
      <c r="S928" t="s">
        <v>34</v>
      </c>
      <c r="T928">
        <v>20170123</v>
      </c>
      <c r="AD928">
        <v>20170124</v>
      </c>
      <c r="AF928" t="str">
        <f>IFERROR(VLOOKUP(RIGHT(TblFeedFile1[[#This Row],[Leave Type ]],6),LkupPayType[],2,FALSE),"TBD")</f>
        <v>TBD</v>
      </c>
      <c r="AG928" t="str">
        <f>IFERROR(VLOOKUP(TblFeedFile1[[#This Row],[ Report Number ]],LkupPayrollCycle[],2,FALSE),"TBD")</f>
        <v>Bi-Weekly</v>
      </c>
      <c r="AH928" t="str">
        <f>IF(TblFeedFile1[[#This Row],[Return to Work Date ]]="","","Y")</f>
        <v>Y</v>
      </c>
    </row>
    <row r="929" spans="1:34" x14ac:dyDescent="0.25">
      <c r="A929" t="s">
        <v>37</v>
      </c>
      <c r="B929">
        <v>314304</v>
      </c>
      <c r="C929">
        <v>26033425</v>
      </c>
      <c r="D929" s="1" t="s">
        <v>1232</v>
      </c>
      <c r="E929" t="s">
        <v>1233</v>
      </c>
      <c r="F929" t="s">
        <v>786</v>
      </c>
      <c r="G929">
        <v>20170121</v>
      </c>
      <c r="H929">
        <v>20170305</v>
      </c>
      <c r="I929" t="s">
        <v>78</v>
      </c>
      <c r="K929" t="s">
        <v>79</v>
      </c>
      <c r="L929" t="s">
        <v>34</v>
      </c>
      <c r="M929" t="s">
        <v>34</v>
      </c>
      <c r="N929" t="s">
        <v>35</v>
      </c>
      <c r="O929" t="s">
        <v>35</v>
      </c>
      <c r="P929" t="s">
        <v>35</v>
      </c>
      <c r="Q929" t="s">
        <v>35</v>
      </c>
      <c r="R929" t="s">
        <v>35</v>
      </c>
      <c r="S929" t="s">
        <v>35</v>
      </c>
      <c r="AD929">
        <v>20170124</v>
      </c>
      <c r="AF929" t="str">
        <f>IFERROR(VLOOKUP(RIGHT(TblFeedFile1[[#This Row],[Leave Type ]],6),LkupPayType[],2,FALSE),"TBD")</f>
        <v>TBD</v>
      </c>
      <c r="AG929" t="str">
        <f>IFERROR(VLOOKUP(TblFeedFile1[[#This Row],[ Report Number ]],LkupPayrollCycle[],2,FALSE),"TBD")</f>
        <v>Bi-Weekly</v>
      </c>
      <c r="AH929" t="str">
        <f>IF(TblFeedFile1[[#This Row],[Return to Work Date ]]="","","Y")</f>
        <v/>
      </c>
    </row>
    <row r="930" spans="1:34" x14ac:dyDescent="0.25">
      <c r="A930" t="s">
        <v>29</v>
      </c>
      <c r="B930">
        <v>314304</v>
      </c>
      <c r="C930">
        <v>26038089</v>
      </c>
      <c r="D930" s="1">
        <v>501701068530</v>
      </c>
      <c r="E930" t="s">
        <v>1234</v>
      </c>
      <c r="F930" t="s">
        <v>1235</v>
      </c>
      <c r="G930">
        <v>20170119</v>
      </c>
      <c r="H930">
        <v>20170222</v>
      </c>
      <c r="I930" t="s">
        <v>40</v>
      </c>
      <c r="L930" t="s">
        <v>34</v>
      </c>
      <c r="M930" t="s">
        <v>34</v>
      </c>
      <c r="N930" t="s">
        <v>35</v>
      </c>
      <c r="O930" t="s">
        <v>35</v>
      </c>
      <c r="P930" t="s">
        <v>35</v>
      </c>
      <c r="Q930" t="s">
        <v>35</v>
      </c>
      <c r="R930" t="s">
        <v>35</v>
      </c>
      <c r="S930" t="s">
        <v>34</v>
      </c>
      <c r="AD930">
        <v>20170124</v>
      </c>
      <c r="AF930" t="str">
        <f>IFERROR(VLOOKUP(RIGHT(TblFeedFile1[[#This Row],[Leave Type ]],6),LkupPayType[],2,FALSE),"TBD")</f>
        <v>TBD</v>
      </c>
      <c r="AG930" t="str">
        <f>IFERROR(VLOOKUP(TblFeedFile1[[#This Row],[ Report Number ]],LkupPayrollCycle[],2,FALSE),"TBD")</f>
        <v>Bi-Weekly</v>
      </c>
      <c r="AH930" t="str">
        <f>IF(TblFeedFile1[[#This Row],[Return to Work Date ]]="","","Y")</f>
        <v/>
      </c>
    </row>
    <row r="931" spans="1:34" x14ac:dyDescent="0.25">
      <c r="A931" t="s">
        <v>37</v>
      </c>
      <c r="B931">
        <v>314304</v>
      </c>
      <c r="C931">
        <v>26038089</v>
      </c>
      <c r="D931" s="1">
        <v>501701068530</v>
      </c>
      <c r="E931" t="s">
        <v>1234</v>
      </c>
      <c r="F931" t="s">
        <v>1235</v>
      </c>
      <c r="G931">
        <v>20170119</v>
      </c>
      <c r="H931">
        <v>20170223</v>
      </c>
      <c r="I931" t="s">
        <v>40</v>
      </c>
      <c r="L931" t="s">
        <v>34</v>
      </c>
      <c r="M931" t="s">
        <v>34</v>
      </c>
      <c r="N931" t="s">
        <v>35</v>
      </c>
      <c r="O931" t="s">
        <v>35</v>
      </c>
      <c r="P931" t="s">
        <v>35</v>
      </c>
      <c r="Q931" t="s">
        <v>35</v>
      </c>
      <c r="R931" t="s">
        <v>35</v>
      </c>
      <c r="S931" t="s">
        <v>34</v>
      </c>
      <c r="AD931">
        <v>20170124</v>
      </c>
      <c r="AF931" t="str">
        <f>IFERROR(VLOOKUP(RIGHT(TblFeedFile1[[#This Row],[Leave Type ]],6),LkupPayType[],2,FALSE),"TBD")</f>
        <v>TBD</v>
      </c>
      <c r="AG931" t="str">
        <f>IFERROR(VLOOKUP(TblFeedFile1[[#This Row],[ Report Number ]],LkupPayrollCycle[],2,FALSE),"TBD")</f>
        <v>Bi-Weekly</v>
      </c>
      <c r="AH931" t="str">
        <f>IF(TblFeedFile1[[#This Row],[Return to Work Date ]]="","","Y")</f>
        <v/>
      </c>
    </row>
    <row r="932" spans="1:34" x14ac:dyDescent="0.25">
      <c r="A932" t="s">
        <v>37</v>
      </c>
      <c r="B932">
        <v>314301</v>
      </c>
      <c r="C932">
        <v>26042398</v>
      </c>
      <c r="D932" s="1" t="s">
        <v>1236</v>
      </c>
      <c r="E932" t="s">
        <v>1237</v>
      </c>
      <c r="F932" t="s">
        <v>1238</v>
      </c>
      <c r="G932">
        <v>20170117</v>
      </c>
      <c r="H932">
        <v>20170214</v>
      </c>
      <c r="I932" t="s">
        <v>223</v>
      </c>
      <c r="L932" t="s">
        <v>34</v>
      </c>
      <c r="M932" t="s">
        <v>34</v>
      </c>
      <c r="N932" t="s">
        <v>35</v>
      </c>
      <c r="O932" t="s">
        <v>35</v>
      </c>
      <c r="P932" t="s">
        <v>35</v>
      </c>
      <c r="Q932" t="s">
        <v>35</v>
      </c>
      <c r="R932" t="s">
        <v>35</v>
      </c>
      <c r="S932" t="s">
        <v>34</v>
      </c>
      <c r="AD932">
        <v>20170124</v>
      </c>
      <c r="AF932" t="str">
        <f>IFERROR(VLOOKUP(RIGHT(TblFeedFile1[[#This Row],[Leave Type ]],6),LkupPayType[],2,FALSE),"TBD")</f>
        <v>TBD</v>
      </c>
      <c r="AG932" t="str">
        <f>IFERROR(VLOOKUP(TblFeedFile1[[#This Row],[ Report Number ]],LkupPayrollCycle[],2,FALSE),"TBD")</f>
        <v>Semi-Monthly</v>
      </c>
      <c r="AH932" t="str">
        <f>IF(TblFeedFile1[[#This Row],[Return to Work Date ]]="","","Y")</f>
        <v/>
      </c>
    </row>
    <row r="933" spans="1:34" x14ac:dyDescent="0.25">
      <c r="A933" t="s">
        <v>37</v>
      </c>
      <c r="B933">
        <v>314304</v>
      </c>
      <c r="C933">
        <v>26054134</v>
      </c>
      <c r="D933" s="1" t="s">
        <v>1239</v>
      </c>
      <c r="E933" t="s">
        <v>1240</v>
      </c>
      <c r="F933" t="s">
        <v>1241</v>
      </c>
      <c r="G933">
        <v>20170119</v>
      </c>
      <c r="H933">
        <v>20170130</v>
      </c>
      <c r="I933" t="s">
        <v>36</v>
      </c>
      <c r="L933" t="s">
        <v>34</v>
      </c>
      <c r="M933" t="s">
        <v>34</v>
      </c>
      <c r="N933" t="s">
        <v>35</v>
      </c>
      <c r="O933" t="s">
        <v>35</v>
      </c>
      <c r="P933" t="s">
        <v>35</v>
      </c>
      <c r="Q933" t="s">
        <v>35</v>
      </c>
      <c r="R933" t="s">
        <v>35</v>
      </c>
      <c r="S933" t="s">
        <v>34</v>
      </c>
      <c r="AD933">
        <v>20170124</v>
      </c>
      <c r="AF933" t="str">
        <f>IFERROR(VLOOKUP(RIGHT(TblFeedFile1[[#This Row],[Leave Type ]],6),LkupPayType[],2,FALSE),"TBD")</f>
        <v>TBD</v>
      </c>
      <c r="AG933" t="str">
        <f>IFERROR(VLOOKUP(TblFeedFile1[[#This Row],[ Report Number ]],LkupPayrollCycle[],2,FALSE),"TBD")</f>
        <v>Bi-Weekly</v>
      </c>
      <c r="AH933" t="str">
        <f>IF(TblFeedFile1[[#This Row],[Return to Work Date ]]="","","Y")</f>
        <v/>
      </c>
    </row>
    <row r="934" spans="1:34" x14ac:dyDescent="0.25">
      <c r="A934" t="s">
        <v>29</v>
      </c>
      <c r="B934">
        <v>314304</v>
      </c>
      <c r="C934">
        <v>26072629</v>
      </c>
      <c r="D934" s="1" t="s">
        <v>1242</v>
      </c>
      <c r="E934" t="s">
        <v>1243</v>
      </c>
      <c r="F934" t="s">
        <v>1244</v>
      </c>
      <c r="G934">
        <v>20170102</v>
      </c>
      <c r="H934">
        <v>20170213</v>
      </c>
      <c r="I934" t="s">
        <v>78</v>
      </c>
      <c r="K934" t="s">
        <v>219</v>
      </c>
      <c r="L934" t="s">
        <v>34</v>
      </c>
      <c r="M934" t="s">
        <v>34</v>
      </c>
      <c r="N934" t="s">
        <v>35</v>
      </c>
      <c r="O934" t="s">
        <v>35</v>
      </c>
      <c r="P934" t="s">
        <v>35</v>
      </c>
      <c r="Q934" t="s">
        <v>35</v>
      </c>
      <c r="R934" t="s">
        <v>35</v>
      </c>
      <c r="S934" t="s">
        <v>34</v>
      </c>
      <c r="AD934">
        <v>20170124</v>
      </c>
      <c r="AF934" t="str">
        <f>IFERROR(VLOOKUP(RIGHT(TblFeedFile1[[#This Row],[Leave Type ]],6),LkupPayType[],2,FALSE),"TBD")</f>
        <v>TBD</v>
      </c>
      <c r="AG934" t="str">
        <f>IFERROR(VLOOKUP(TblFeedFile1[[#This Row],[ Report Number ]],LkupPayrollCycle[],2,FALSE),"TBD")</f>
        <v>Bi-Weekly</v>
      </c>
      <c r="AH934" t="str">
        <f>IF(TblFeedFile1[[#This Row],[Return to Work Date ]]="","","Y")</f>
        <v/>
      </c>
    </row>
    <row r="935" spans="1:34" x14ac:dyDescent="0.25">
      <c r="A935" t="s">
        <v>37</v>
      </c>
      <c r="B935">
        <v>314304</v>
      </c>
      <c r="C935">
        <v>26072629</v>
      </c>
      <c r="D935" s="1" t="s">
        <v>1242</v>
      </c>
      <c r="E935" t="s">
        <v>1243</v>
      </c>
      <c r="F935" t="s">
        <v>1244</v>
      </c>
      <c r="G935">
        <v>20170102</v>
      </c>
      <c r="H935">
        <v>20170213</v>
      </c>
      <c r="I935" t="s">
        <v>223</v>
      </c>
      <c r="L935" t="s">
        <v>34</v>
      </c>
      <c r="M935" t="s">
        <v>34</v>
      </c>
      <c r="N935" t="s">
        <v>35</v>
      </c>
      <c r="O935" t="s">
        <v>35</v>
      </c>
      <c r="P935" t="s">
        <v>35</v>
      </c>
      <c r="Q935" t="s">
        <v>35</v>
      </c>
      <c r="R935" t="s">
        <v>35</v>
      </c>
      <c r="S935" t="s">
        <v>34</v>
      </c>
      <c r="AD935">
        <v>20170124</v>
      </c>
      <c r="AF935" t="str">
        <f>IFERROR(VLOOKUP(RIGHT(TblFeedFile1[[#This Row],[Leave Type ]],6),LkupPayType[],2,FALSE),"TBD")</f>
        <v>TBD</v>
      </c>
      <c r="AG935" t="str">
        <f>IFERROR(VLOOKUP(TblFeedFile1[[#This Row],[ Report Number ]],LkupPayrollCycle[],2,FALSE),"TBD")</f>
        <v>Bi-Weekly</v>
      </c>
      <c r="AH935" t="str">
        <f>IF(TblFeedFile1[[#This Row],[Return to Work Date ]]="","","Y")</f>
        <v/>
      </c>
    </row>
    <row r="936" spans="1:34" x14ac:dyDescent="0.25">
      <c r="A936" t="s">
        <v>29</v>
      </c>
      <c r="B936">
        <v>314304</v>
      </c>
      <c r="C936">
        <v>26077242</v>
      </c>
      <c r="D936" s="1">
        <v>561701048126</v>
      </c>
      <c r="E936" t="s">
        <v>606</v>
      </c>
      <c r="F936" t="s">
        <v>1245</v>
      </c>
      <c r="G936">
        <v>20170102</v>
      </c>
      <c r="H936">
        <v>20170127</v>
      </c>
      <c r="I936" t="s">
        <v>53</v>
      </c>
      <c r="L936" t="s">
        <v>34</v>
      </c>
      <c r="M936" t="s">
        <v>34</v>
      </c>
      <c r="N936" t="s">
        <v>35</v>
      </c>
      <c r="O936" t="s">
        <v>35</v>
      </c>
      <c r="P936" t="s">
        <v>35</v>
      </c>
      <c r="Q936" t="s">
        <v>35</v>
      </c>
      <c r="R936" t="s">
        <v>35</v>
      </c>
      <c r="S936" t="s">
        <v>34</v>
      </c>
      <c r="AD936">
        <v>20170124</v>
      </c>
      <c r="AF936" t="str">
        <f>IFERROR(VLOOKUP(RIGHT(TblFeedFile1[[#This Row],[Leave Type ]],6),LkupPayType[],2,FALSE),"TBD")</f>
        <v>TBD</v>
      </c>
      <c r="AG936" t="str">
        <f>IFERROR(VLOOKUP(TblFeedFile1[[#This Row],[ Report Number ]],LkupPayrollCycle[],2,FALSE),"TBD")</f>
        <v>Bi-Weekly</v>
      </c>
      <c r="AH936" t="str">
        <f>IF(TblFeedFile1[[#This Row],[Return to Work Date ]]="","","Y")</f>
        <v/>
      </c>
    </row>
    <row r="937" spans="1:34" x14ac:dyDescent="0.25">
      <c r="A937" t="s">
        <v>37</v>
      </c>
      <c r="B937">
        <v>314304</v>
      </c>
      <c r="C937">
        <v>26077242</v>
      </c>
      <c r="D937" s="1">
        <v>561701048126</v>
      </c>
      <c r="E937" t="s">
        <v>606</v>
      </c>
      <c r="F937" t="s">
        <v>1245</v>
      </c>
      <c r="G937">
        <v>20170104</v>
      </c>
      <c r="H937">
        <v>20170125</v>
      </c>
      <c r="I937" t="s">
        <v>53</v>
      </c>
      <c r="L937" t="s">
        <v>34</v>
      </c>
      <c r="M937" t="s">
        <v>34</v>
      </c>
      <c r="N937" t="s">
        <v>35</v>
      </c>
      <c r="O937" t="s">
        <v>35</v>
      </c>
      <c r="P937" t="s">
        <v>35</v>
      </c>
      <c r="Q937" t="s">
        <v>35</v>
      </c>
      <c r="R937" t="s">
        <v>35</v>
      </c>
      <c r="S937" t="s">
        <v>34</v>
      </c>
      <c r="AD937">
        <v>20170124</v>
      </c>
      <c r="AF937" t="str">
        <f>IFERROR(VLOOKUP(RIGHT(TblFeedFile1[[#This Row],[Leave Type ]],6),LkupPayType[],2,FALSE),"TBD")</f>
        <v>TBD</v>
      </c>
      <c r="AG937" t="str">
        <f>IFERROR(VLOOKUP(TblFeedFile1[[#This Row],[ Report Number ]],LkupPayrollCycle[],2,FALSE),"TBD")</f>
        <v>Bi-Weekly</v>
      </c>
      <c r="AH937" t="str">
        <f>IF(TblFeedFile1[[#This Row],[Return to Work Date ]]="","","Y")</f>
        <v/>
      </c>
    </row>
    <row r="938" spans="1:34" x14ac:dyDescent="0.25">
      <c r="A938" t="s">
        <v>37</v>
      </c>
      <c r="B938">
        <v>314304</v>
      </c>
      <c r="C938">
        <v>26077242</v>
      </c>
      <c r="D938" s="1">
        <v>561701048126</v>
      </c>
      <c r="E938" t="s">
        <v>606</v>
      </c>
      <c r="F938" t="s">
        <v>1245</v>
      </c>
      <c r="G938">
        <v>20170111</v>
      </c>
      <c r="H938">
        <v>20170125</v>
      </c>
      <c r="I938" t="s">
        <v>40</v>
      </c>
      <c r="L938" t="s">
        <v>34</v>
      </c>
      <c r="M938" t="s">
        <v>34</v>
      </c>
      <c r="N938" t="s">
        <v>35</v>
      </c>
      <c r="O938" t="s">
        <v>35</v>
      </c>
      <c r="P938" t="s">
        <v>35</v>
      </c>
      <c r="Q938" t="s">
        <v>35</v>
      </c>
      <c r="R938" t="s">
        <v>35</v>
      </c>
      <c r="S938" t="s">
        <v>34</v>
      </c>
      <c r="T938">
        <v>20170126</v>
      </c>
      <c r="AD938">
        <v>20170124</v>
      </c>
      <c r="AF938" t="str">
        <f>IFERROR(VLOOKUP(RIGHT(TblFeedFile1[[#This Row],[Leave Type ]],6),LkupPayType[],2,FALSE),"TBD")</f>
        <v>TBD</v>
      </c>
      <c r="AG938" t="str">
        <f>IFERROR(VLOOKUP(TblFeedFile1[[#This Row],[ Report Number ]],LkupPayrollCycle[],2,FALSE),"TBD")</f>
        <v>Bi-Weekly</v>
      </c>
      <c r="AH938" t="str">
        <f>IF(TblFeedFile1[[#This Row],[Return to Work Date ]]="","","Y")</f>
        <v>Y</v>
      </c>
    </row>
    <row r="939" spans="1:34" x14ac:dyDescent="0.25">
      <c r="A939" t="s">
        <v>37</v>
      </c>
      <c r="B939">
        <v>314304</v>
      </c>
      <c r="C939">
        <v>26078967</v>
      </c>
      <c r="D939" s="1">
        <v>521701238082</v>
      </c>
      <c r="E939" t="s">
        <v>1246</v>
      </c>
      <c r="F939" t="s">
        <v>480</v>
      </c>
      <c r="G939">
        <v>20170118</v>
      </c>
      <c r="H939">
        <v>20170213</v>
      </c>
      <c r="I939" t="s">
        <v>53</v>
      </c>
      <c r="L939" t="s">
        <v>34</v>
      </c>
      <c r="M939" t="s">
        <v>34</v>
      </c>
      <c r="N939" t="s">
        <v>35</v>
      </c>
      <c r="O939" t="s">
        <v>35</v>
      </c>
      <c r="P939" t="s">
        <v>35</v>
      </c>
      <c r="Q939" t="s">
        <v>35</v>
      </c>
      <c r="R939" t="s">
        <v>35</v>
      </c>
      <c r="S939" t="s">
        <v>34</v>
      </c>
      <c r="AD939">
        <v>20170124</v>
      </c>
      <c r="AF939" t="str">
        <f>IFERROR(VLOOKUP(RIGHT(TblFeedFile1[[#This Row],[Leave Type ]],6),LkupPayType[],2,FALSE),"TBD")</f>
        <v>TBD</v>
      </c>
      <c r="AG939" t="str">
        <f>IFERROR(VLOOKUP(TblFeedFile1[[#This Row],[ Report Number ]],LkupPayrollCycle[],2,FALSE),"TBD")</f>
        <v>Bi-Weekly</v>
      </c>
      <c r="AH939" t="str">
        <f>IF(TblFeedFile1[[#This Row],[Return to Work Date ]]="","","Y")</f>
        <v/>
      </c>
    </row>
    <row r="940" spans="1:34" x14ac:dyDescent="0.25">
      <c r="A940" t="s">
        <v>37</v>
      </c>
      <c r="B940">
        <v>314305</v>
      </c>
      <c r="C940">
        <v>26080119</v>
      </c>
      <c r="D940" s="1" t="s">
        <v>1247</v>
      </c>
      <c r="E940" t="s">
        <v>1248</v>
      </c>
      <c r="F940" t="s">
        <v>1089</v>
      </c>
      <c r="G940">
        <v>20170124</v>
      </c>
      <c r="H940">
        <v>20170124</v>
      </c>
      <c r="I940" t="s">
        <v>33</v>
      </c>
      <c r="L940" t="s">
        <v>34</v>
      </c>
      <c r="M940" t="s">
        <v>34</v>
      </c>
      <c r="N940" t="s">
        <v>35</v>
      </c>
      <c r="O940" t="s">
        <v>35</v>
      </c>
      <c r="P940" t="s">
        <v>35</v>
      </c>
      <c r="Q940" t="s">
        <v>35</v>
      </c>
      <c r="R940" t="s">
        <v>35</v>
      </c>
      <c r="S940" t="s">
        <v>34</v>
      </c>
      <c r="AD940">
        <v>20170124</v>
      </c>
      <c r="AF940" t="str">
        <f>IFERROR(VLOOKUP(RIGHT(TblFeedFile1[[#This Row],[Leave Type ]],6),LkupPayType[],2,FALSE),"TBD")</f>
        <v>TBD</v>
      </c>
      <c r="AG940" t="str">
        <f>IFERROR(VLOOKUP(TblFeedFile1[[#This Row],[ Report Number ]],LkupPayrollCycle[],2,FALSE),"TBD")</f>
        <v>Bi-Weekly</v>
      </c>
      <c r="AH940" t="str">
        <f>IF(TblFeedFile1[[#This Row],[Return to Work Date ]]="","","Y")</f>
        <v/>
      </c>
    </row>
    <row r="941" spans="1:34" x14ac:dyDescent="0.25">
      <c r="A941" t="s">
        <v>37</v>
      </c>
      <c r="B941">
        <v>314304</v>
      </c>
      <c r="C941">
        <v>26081230</v>
      </c>
      <c r="D941" s="1" t="s">
        <v>1249</v>
      </c>
      <c r="E941" t="s">
        <v>129</v>
      </c>
      <c r="F941" t="s">
        <v>1250</v>
      </c>
      <c r="G941">
        <v>20170122</v>
      </c>
      <c r="H941">
        <v>20170305</v>
      </c>
      <c r="I941" t="s">
        <v>78</v>
      </c>
      <c r="K941" t="s">
        <v>79</v>
      </c>
      <c r="L941" t="s">
        <v>35</v>
      </c>
      <c r="AD941">
        <v>20170124</v>
      </c>
      <c r="AF941" t="str">
        <f>IFERROR(VLOOKUP(RIGHT(TblFeedFile1[[#This Row],[Leave Type ]],6),LkupPayType[],2,FALSE),"TBD")</f>
        <v>TBD</v>
      </c>
      <c r="AG941" t="str">
        <f>IFERROR(VLOOKUP(TblFeedFile1[[#This Row],[ Report Number ]],LkupPayrollCycle[],2,FALSE),"TBD")</f>
        <v>Bi-Weekly</v>
      </c>
      <c r="AH941" t="str">
        <f>IF(TblFeedFile1[[#This Row],[Return to Work Date ]]="","","Y")</f>
        <v/>
      </c>
    </row>
    <row r="942" spans="1:34" x14ac:dyDescent="0.25">
      <c r="A942" t="s">
        <v>37</v>
      </c>
      <c r="B942">
        <v>314304</v>
      </c>
      <c r="C942">
        <v>26081230</v>
      </c>
      <c r="D942" s="1">
        <v>571701138677</v>
      </c>
      <c r="E942" t="s">
        <v>129</v>
      </c>
      <c r="F942" t="s">
        <v>1250</v>
      </c>
      <c r="G942">
        <v>20170123</v>
      </c>
      <c r="H942">
        <v>20170305</v>
      </c>
      <c r="I942" t="s">
        <v>53</v>
      </c>
      <c r="L942" t="s">
        <v>35</v>
      </c>
      <c r="AD942">
        <v>20170124</v>
      </c>
      <c r="AF942" t="str">
        <f>IFERROR(VLOOKUP(RIGHT(TblFeedFile1[[#This Row],[Leave Type ]],6),LkupPayType[],2,FALSE),"TBD")</f>
        <v>TBD</v>
      </c>
      <c r="AG942" t="str">
        <f>IFERROR(VLOOKUP(TblFeedFile1[[#This Row],[ Report Number ]],LkupPayrollCycle[],2,FALSE),"TBD")</f>
        <v>Bi-Weekly</v>
      </c>
      <c r="AH942" t="str">
        <f>IF(TblFeedFile1[[#This Row],[Return to Work Date ]]="","","Y")</f>
        <v/>
      </c>
    </row>
    <row r="943" spans="1:34" x14ac:dyDescent="0.25">
      <c r="A943" t="s">
        <v>29</v>
      </c>
      <c r="B943">
        <v>314305</v>
      </c>
      <c r="C943">
        <v>26094669</v>
      </c>
      <c r="D943" s="1">
        <v>521701038632</v>
      </c>
      <c r="E943" t="s">
        <v>1251</v>
      </c>
      <c r="F943" t="s">
        <v>1252</v>
      </c>
      <c r="G943">
        <v>20170103</v>
      </c>
      <c r="H943">
        <v>20170103</v>
      </c>
      <c r="I943" t="s">
        <v>43</v>
      </c>
      <c r="L943" t="s">
        <v>34</v>
      </c>
      <c r="M943" t="s">
        <v>34</v>
      </c>
      <c r="N943" t="s">
        <v>35</v>
      </c>
      <c r="O943" t="s">
        <v>35</v>
      </c>
      <c r="P943" t="s">
        <v>34</v>
      </c>
      <c r="Q943" t="s">
        <v>35</v>
      </c>
      <c r="R943" t="s">
        <v>35</v>
      </c>
      <c r="S943" t="s">
        <v>34</v>
      </c>
      <c r="AD943">
        <v>20170124</v>
      </c>
      <c r="AF943" t="str">
        <f>IFERROR(VLOOKUP(RIGHT(TblFeedFile1[[#This Row],[Leave Type ]],6),LkupPayType[],2,FALSE),"TBD")</f>
        <v>TBD</v>
      </c>
      <c r="AG943" t="str">
        <f>IFERROR(VLOOKUP(TblFeedFile1[[#This Row],[ Report Number ]],LkupPayrollCycle[],2,FALSE),"TBD")</f>
        <v>Bi-Weekly</v>
      </c>
      <c r="AH943" t="str">
        <f>IF(TblFeedFile1[[#This Row],[Return to Work Date ]]="","","Y")</f>
        <v/>
      </c>
    </row>
    <row r="944" spans="1:34" x14ac:dyDescent="0.25">
      <c r="A944" t="s">
        <v>37</v>
      </c>
      <c r="B944">
        <v>314301</v>
      </c>
      <c r="C944">
        <v>26111282</v>
      </c>
      <c r="D944" s="1" t="s">
        <v>1253</v>
      </c>
      <c r="E944" t="s">
        <v>1254</v>
      </c>
      <c r="F944" t="s">
        <v>1255</v>
      </c>
      <c r="G944">
        <v>20170125</v>
      </c>
      <c r="H944">
        <v>20170203</v>
      </c>
      <c r="I944" t="s">
        <v>78</v>
      </c>
      <c r="K944" t="s">
        <v>79</v>
      </c>
      <c r="L944" t="s">
        <v>34</v>
      </c>
      <c r="M944" t="s">
        <v>34</v>
      </c>
      <c r="N944" t="s">
        <v>35</v>
      </c>
      <c r="O944" t="s">
        <v>35</v>
      </c>
      <c r="P944" t="s">
        <v>35</v>
      </c>
      <c r="Q944" t="s">
        <v>35</v>
      </c>
      <c r="R944" t="s">
        <v>35</v>
      </c>
      <c r="S944" t="s">
        <v>34</v>
      </c>
      <c r="AD944">
        <v>20170124</v>
      </c>
      <c r="AF944" t="str">
        <f>IFERROR(VLOOKUP(RIGHT(TblFeedFile1[[#This Row],[Leave Type ]],6),LkupPayType[],2,FALSE),"TBD")</f>
        <v>TBD</v>
      </c>
      <c r="AG944" t="str">
        <f>IFERROR(VLOOKUP(TblFeedFile1[[#This Row],[ Report Number ]],LkupPayrollCycle[],2,FALSE),"TBD")</f>
        <v>Semi-Monthly</v>
      </c>
      <c r="AH944" t="str">
        <f>IF(TblFeedFile1[[#This Row],[Return to Work Date ]]="","","Y")</f>
        <v/>
      </c>
    </row>
    <row r="945" spans="1:34" x14ac:dyDescent="0.25">
      <c r="A945" t="s">
        <v>29</v>
      </c>
      <c r="B945">
        <v>314304</v>
      </c>
      <c r="C945">
        <v>26112783</v>
      </c>
      <c r="D945" s="1" t="s">
        <v>1256</v>
      </c>
      <c r="E945" t="s">
        <v>1257</v>
      </c>
      <c r="F945" t="s">
        <v>1258</v>
      </c>
      <c r="G945">
        <v>20161119</v>
      </c>
      <c r="H945">
        <v>20170120</v>
      </c>
      <c r="I945" t="s">
        <v>36</v>
      </c>
      <c r="L945" t="s">
        <v>34</v>
      </c>
      <c r="M945" t="s">
        <v>34</v>
      </c>
      <c r="N945" t="s">
        <v>35</v>
      </c>
      <c r="O945" t="s">
        <v>35</v>
      </c>
      <c r="P945" t="s">
        <v>35</v>
      </c>
      <c r="Q945" t="s">
        <v>35</v>
      </c>
      <c r="R945" t="s">
        <v>35</v>
      </c>
      <c r="S945" t="s">
        <v>34</v>
      </c>
      <c r="AC945" t="s">
        <v>35</v>
      </c>
      <c r="AD945">
        <v>20170124</v>
      </c>
      <c r="AF945" t="str">
        <f>IFERROR(VLOOKUP(RIGHT(TblFeedFile1[[#This Row],[Leave Type ]],6),LkupPayType[],2,FALSE),"TBD")</f>
        <v>TBD</v>
      </c>
      <c r="AG945" t="str">
        <f>IFERROR(VLOOKUP(TblFeedFile1[[#This Row],[ Report Number ]],LkupPayrollCycle[],2,FALSE),"TBD")</f>
        <v>Bi-Weekly</v>
      </c>
      <c r="AH945" t="str">
        <f>IF(TblFeedFile1[[#This Row],[Return to Work Date ]]="","","Y")</f>
        <v/>
      </c>
    </row>
    <row r="946" spans="1:34" x14ac:dyDescent="0.25">
      <c r="A946" t="s">
        <v>37</v>
      </c>
      <c r="B946">
        <v>314304</v>
      </c>
      <c r="C946">
        <v>26112783</v>
      </c>
      <c r="D946" s="1" t="s">
        <v>1256</v>
      </c>
      <c r="E946" t="s">
        <v>1257</v>
      </c>
      <c r="F946" t="s">
        <v>1258</v>
      </c>
      <c r="G946">
        <v>20161119</v>
      </c>
      <c r="H946">
        <v>20170219</v>
      </c>
      <c r="I946" t="s">
        <v>36</v>
      </c>
      <c r="L946" t="s">
        <v>34</v>
      </c>
      <c r="M946" t="s">
        <v>34</v>
      </c>
      <c r="N946" t="s">
        <v>35</v>
      </c>
      <c r="O946" t="s">
        <v>35</v>
      </c>
      <c r="P946" t="s">
        <v>35</v>
      </c>
      <c r="Q946" t="s">
        <v>35</v>
      </c>
      <c r="R946" t="s">
        <v>35</v>
      </c>
      <c r="S946" t="s">
        <v>34</v>
      </c>
      <c r="AC946" t="s">
        <v>35</v>
      </c>
      <c r="AD946">
        <v>20170124</v>
      </c>
      <c r="AF946" t="str">
        <f>IFERROR(VLOOKUP(RIGHT(TblFeedFile1[[#This Row],[Leave Type ]],6),LkupPayType[],2,FALSE),"TBD")</f>
        <v>TBD</v>
      </c>
      <c r="AG946" t="str">
        <f>IFERROR(VLOOKUP(TblFeedFile1[[#This Row],[ Report Number ]],LkupPayrollCycle[],2,FALSE),"TBD")</f>
        <v>Bi-Weekly</v>
      </c>
      <c r="AH946" t="str">
        <f>IF(TblFeedFile1[[#This Row],[Return to Work Date ]]="","","Y")</f>
        <v/>
      </c>
    </row>
    <row r="947" spans="1:34" x14ac:dyDescent="0.25">
      <c r="A947" t="s">
        <v>29</v>
      </c>
      <c r="B947">
        <v>314304</v>
      </c>
      <c r="C947">
        <v>26137808</v>
      </c>
      <c r="D947" s="1" t="s">
        <v>1259</v>
      </c>
      <c r="E947" t="s">
        <v>1260</v>
      </c>
      <c r="F947" t="s">
        <v>1261</v>
      </c>
      <c r="G947">
        <v>20160713</v>
      </c>
      <c r="H947">
        <v>20160713</v>
      </c>
      <c r="I947" t="s">
        <v>33</v>
      </c>
      <c r="L947" t="s">
        <v>34</v>
      </c>
      <c r="M947" t="s">
        <v>34</v>
      </c>
      <c r="N947" t="s">
        <v>35</v>
      </c>
      <c r="O947" t="s">
        <v>35</v>
      </c>
      <c r="P947" t="s">
        <v>35</v>
      </c>
      <c r="Q947" t="s">
        <v>35</v>
      </c>
      <c r="R947" t="s">
        <v>35</v>
      </c>
      <c r="S947" t="s">
        <v>34</v>
      </c>
      <c r="AC947" t="s">
        <v>35</v>
      </c>
      <c r="AD947">
        <v>20170124</v>
      </c>
      <c r="AF947" t="str">
        <f>IFERROR(VLOOKUP(RIGHT(TblFeedFile1[[#This Row],[Leave Type ]],6),LkupPayType[],2,FALSE),"TBD")</f>
        <v>TBD</v>
      </c>
      <c r="AG947" t="str">
        <f>IFERROR(VLOOKUP(TblFeedFile1[[#This Row],[ Report Number ]],LkupPayrollCycle[],2,FALSE),"TBD")</f>
        <v>Bi-Weekly</v>
      </c>
      <c r="AH947" t="str">
        <f>IF(TblFeedFile1[[#This Row],[Return to Work Date ]]="","","Y")</f>
        <v/>
      </c>
    </row>
    <row r="948" spans="1:34" x14ac:dyDescent="0.25">
      <c r="A948" t="s">
        <v>29</v>
      </c>
      <c r="B948">
        <v>314304</v>
      </c>
      <c r="C948">
        <v>26137808</v>
      </c>
      <c r="D948" s="1" t="s">
        <v>1259</v>
      </c>
      <c r="E948" t="s">
        <v>1260</v>
      </c>
      <c r="F948" t="s">
        <v>1261</v>
      </c>
      <c r="G948">
        <v>20160703</v>
      </c>
      <c r="H948">
        <v>20160712</v>
      </c>
      <c r="I948" t="s">
        <v>36</v>
      </c>
      <c r="L948" t="s">
        <v>34</v>
      </c>
      <c r="M948" t="s">
        <v>34</v>
      </c>
      <c r="N948" t="s">
        <v>35</v>
      </c>
      <c r="O948" t="s">
        <v>35</v>
      </c>
      <c r="P948" t="s">
        <v>35</v>
      </c>
      <c r="Q948" t="s">
        <v>35</v>
      </c>
      <c r="R948" t="s">
        <v>35</v>
      </c>
      <c r="S948" t="s">
        <v>34</v>
      </c>
      <c r="AC948" t="s">
        <v>35</v>
      </c>
      <c r="AD948">
        <v>20170124</v>
      </c>
      <c r="AF948" t="str">
        <f>IFERROR(VLOOKUP(RIGHT(TblFeedFile1[[#This Row],[Leave Type ]],6),LkupPayType[],2,FALSE),"TBD")</f>
        <v>TBD</v>
      </c>
      <c r="AG948" t="str">
        <f>IFERROR(VLOOKUP(TblFeedFile1[[#This Row],[ Report Number ]],LkupPayrollCycle[],2,FALSE),"TBD")</f>
        <v>Bi-Weekly</v>
      </c>
      <c r="AH948" t="str">
        <f>IF(TblFeedFile1[[#This Row],[Return to Work Date ]]="","","Y")</f>
        <v/>
      </c>
    </row>
    <row r="949" spans="1:34" x14ac:dyDescent="0.25">
      <c r="A949" t="s">
        <v>37</v>
      </c>
      <c r="B949">
        <v>314304</v>
      </c>
      <c r="C949">
        <v>26137808</v>
      </c>
      <c r="D949" s="1" t="s">
        <v>1259</v>
      </c>
      <c r="E949" t="s">
        <v>1260</v>
      </c>
      <c r="F949" t="s">
        <v>1261</v>
      </c>
      <c r="G949">
        <v>20160703</v>
      </c>
      <c r="H949">
        <v>20160703</v>
      </c>
      <c r="I949" t="s">
        <v>43</v>
      </c>
      <c r="L949" t="s">
        <v>34</v>
      </c>
      <c r="M949" t="s">
        <v>34</v>
      </c>
      <c r="N949" t="s">
        <v>35</v>
      </c>
      <c r="O949" t="s">
        <v>35</v>
      </c>
      <c r="P949" t="s">
        <v>35</v>
      </c>
      <c r="Q949" t="s">
        <v>35</v>
      </c>
      <c r="R949" t="s">
        <v>35</v>
      </c>
      <c r="S949" t="s">
        <v>34</v>
      </c>
      <c r="AC949" t="s">
        <v>35</v>
      </c>
      <c r="AD949">
        <v>20170124</v>
      </c>
      <c r="AF949" t="str">
        <f>IFERROR(VLOOKUP(RIGHT(TblFeedFile1[[#This Row],[Leave Type ]],6),LkupPayType[],2,FALSE),"TBD")</f>
        <v>TBD</v>
      </c>
      <c r="AG949" t="str">
        <f>IFERROR(VLOOKUP(TblFeedFile1[[#This Row],[ Report Number ]],LkupPayrollCycle[],2,FALSE),"TBD")</f>
        <v>Bi-Weekly</v>
      </c>
      <c r="AH949" t="str">
        <f>IF(TblFeedFile1[[#This Row],[Return to Work Date ]]="","","Y")</f>
        <v/>
      </c>
    </row>
    <row r="950" spans="1:34" x14ac:dyDescent="0.25">
      <c r="A950" t="s">
        <v>37</v>
      </c>
      <c r="B950">
        <v>314304</v>
      </c>
      <c r="C950">
        <v>26142130</v>
      </c>
      <c r="D950" s="1" t="s">
        <v>1262</v>
      </c>
      <c r="E950" t="s">
        <v>1263</v>
      </c>
      <c r="F950" t="s">
        <v>1264</v>
      </c>
      <c r="G950">
        <v>20170105</v>
      </c>
      <c r="H950">
        <v>20170131</v>
      </c>
      <c r="I950" t="s">
        <v>423</v>
      </c>
      <c r="L950" t="s">
        <v>34</v>
      </c>
      <c r="M950" t="s">
        <v>34</v>
      </c>
      <c r="N950" t="s">
        <v>35</v>
      </c>
      <c r="O950" t="s">
        <v>35</v>
      </c>
      <c r="P950" t="s">
        <v>35</v>
      </c>
      <c r="Q950" t="s">
        <v>35</v>
      </c>
      <c r="R950" t="s">
        <v>35</v>
      </c>
      <c r="S950" t="s">
        <v>34</v>
      </c>
      <c r="AD950">
        <v>20170124</v>
      </c>
      <c r="AF950" t="str">
        <f>IFERROR(VLOOKUP(RIGHT(TblFeedFile1[[#This Row],[Leave Type ]],6),LkupPayType[],2,FALSE),"TBD")</f>
        <v>TBD</v>
      </c>
      <c r="AG950" t="str">
        <f>IFERROR(VLOOKUP(TblFeedFile1[[#This Row],[ Report Number ]],LkupPayrollCycle[],2,FALSE),"TBD")</f>
        <v>Bi-Weekly</v>
      </c>
      <c r="AH950" t="str">
        <f>IF(TblFeedFile1[[#This Row],[Return to Work Date ]]="","","Y")</f>
        <v/>
      </c>
    </row>
    <row r="951" spans="1:34" x14ac:dyDescent="0.25">
      <c r="A951" t="s">
        <v>37</v>
      </c>
      <c r="B951">
        <v>314304</v>
      </c>
      <c r="C951">
        <v>26142130</v>
      </c>
      <c r="D951" s="1" t="s">
        <v>1262</v>
      </c>
      <c r="E951" t="s">
        <v>1263</v>
      </c>
      <c r="F951" t="s">
        <v>1264</v>
      </c>
      <c r="G951">
        <v>20170105</v>
      </c>
      <c r="H951">
        <v>20170131</v>
      </c>
      <c r="I951" t="s">
        <v>537</v>
      </c>
      <c r="L951" t="s">
        <v>34</v>
      </c>
      <c r="M951" t="s">
        <v>34</v>
      </c>
      <c r="N951" t="s">
        <v>35</v>
      </c>
      <c r="O951" t="s">
        <v>35</v>
      </c>
      <c r="P951" t="s">
        <v>35</v>
      </c>
      <c r="Q951" t="s">
        <v>35</v>
      </c>
      <c r="R951" t="s">
        <v>35</v>
      </c>
      <c r="S951" t="s">
        <v>34</v>
      </c>
      <c r="AD951">
        <v>20170124</v>
      </c>
      <c r="AF951" t="str">
        <f>IFERROR(VLOOKUP(RIGHT(TblFeedFile1[[#This Row],[Leave Type ]],6),LkupPayType[],2,FALSE),"TBD")</f>
        <v>TBD</v>
      </c>
      <c r="AG951" t="str">
        <f>IFERROR(VLOOKUP(TblFeedFile1[[#This Row],[ Report Number ]],LkupPayrollCycle[],2,FALSE),"TBD")</f>
        <v>Bi-Weekly</v>
      </c>
      <c r="AH951" t="str">
        <f>IF(TblFeedFile1[[#This Row],[Return to Work Date ]]="","","Y")</f>
        <v/>
      </c>
    </row>
    <row r="952" spans="1:34" x14ac:dyDescent="0.25">
      <c r="A952" t="s">
        <v>37</v>
      </c>
      <c r="B952">
        <v>314304</v>
      </c>
      <c r="C952">
        <v>26142130</v>
      </c>
      <c r="D952" s="1" t="s">
        <v>1262</v>
      </c>
      <c r="E952" t="s">
        <v>1263</v>
      </c>
      <c r="F952" t="s">
        <v>1264</v>
      </c>
      <c r="G952">
        <v>20170105</v>
      </c>
      <c r="H952">
        <v>20170131</v>
      </c>
      <c r="I952" t="s">
        <v>303</v>
      </c>
      <c r="L952" t="s">
        <v>34</v>
      </c>
      <c r="M952" t="s">
        <v>34</v>
      </c>
      <c r="N952" t="s">
        <v>35</v>
      </c>
      <c r="O952" t="s">
        <v>35</v>
      </c>
      <c r="P952" t="s">
        <v>35</v>
      </c>
      <c r="Q952" t="s">
        <v>35</v>
      </c>
      <c r="R952" t="s">
        <v>35</v>
      </c>
      <c r="S952" t="s">
        <v>34</v>
      </c>
      <c r="AD952">
        <v>20170124</v>
      </c>
      <c r="AF952" t="str">
        <f>IFERROR(VLOOKUP(RIGHT(TblFeedFile1[[#This Row],[Leave Type ]],6),LkupPayType[],2,FALSE),"TBD")</f>
        <v>TBD</v>
      </c>
      <c r="AG952" t="str">
        <f>IFERROR(VLOOKUP(TblFeedFile1[[#This Row],[ Report Number ]],LkupPayrollCycle[],2,FALSE),"TBD")</f>
        <v>Bi-Weekly</v>
      </c>
      <c r="AH952" t="str">
        <f>IF(TblFeedFile1[[#This Row],[Return to Work Date ]]="","","Y")</f>
        <v/>
      </c>
    </row>
    <row r="953" spans="1:34" x14ac:dyDescent="0.25">
      <c r="A953" t="s">
        <v>37</v>
      </c>
      <c r="B953">
        <v>314304</v>
      </c>
      <c r="C953">
        <v>26144362</v>
      </c>
      <c r="D953" s="1">
        <v>571612288137</v>
      </c>
      <c r="E953" t="s">
        <v>95</v>
      </c>
      <c r="F953" t="s">
        <v>1265</v>
      </c>
      <c r="G953">
        <v>20170111</v>
      </c>
      <c r="H953">
        <v>20170124</v>
      </c>
      <c r="I953" t="s">
        <v>40</v>
      </c>
      <c r="L953" t="s">
        <v>34</v>
      </c>
      <c r="M953" t="s">
        <v>34</v>
      </c>
      <c r="N953" t="s">
        <v>35</v>
      </c>
      <c r="O953" t="s">
        <v>35</v>
      </c>
      <c r="P953" t="s">
        <v>35</v>
      </c>
      <c r="Q953" t="s">
        <v>35</v>
      </c>
      <c r="R953" t="s">
        <v>35</v>
      </c>
      <c r="S953" t="s">
        <v>34</v>
      </c>
      <c r="T953">
        <v>20170125</v>
      </c>
      <c r="AD953">
        <v>20170124</v>
      </c>
      <c r="AF953" t="str">
        <f>IFERROR(VLOOKUP(RIGHT(TblFeedFile1[[#This Row],[Leave Type ]],6),LkupPayType[],2,FALSE),"TBD")</f>
        <v>TBD</v>
      </c>
      <c r="AG953" t="str">
        <f>IFERROR(VLOOKUP(TblFeedFile1[[#This Row],[ Report Number ]],LkupPayrollCycle[],2,FALSE),"TBD")</f>
        <v>Bi-Weekly</v>
      </c>
      <c r="AH953" t="str">
        <f>IF(TblFeedFile1[[#This Row],[Return to Work Date ]]="","","Y")</f>
        <v>Y</v>
      </c>
    </row>
    <row r="954" spans="1:34" x14ac:dyDescent="0.25">
      <c r="A954" t="s">
        <v>29</v>
      </c>
      <c r="B954">
        <v>314301</v>
      </c>
      <c r="C954">
        <v>26158703</v>
      </c>
      <c r="D954" s="1" t="s">
        <v>1266</v>
      </c>
      <c r="E954" t="s">
        <v>1267</v>
      </c>
      <c r="F954" t="s">
        <v>1268</v>
      </c>
      <c r="G954">
        <v>20170114</v>
      </c>
      <c r="H954">
        <v>20170114</v>
      </c>
      <c r="I954" t="s">
        <v>33</v>
      </c>
      <c r="L954" t="s">
        <v>34</v>
      </c>
      <c r="M954" t="s">
        <v>34</v>
      </c>
      <c r="N954" t="s">
        <v>35</v>
      </c>
      <c r="O954" t="s">
        <v>35</v>
      </c>
      <c r="P954" t="s">
        <v>35</v>
      </c>
      <c r="Q954" t="s">
        <v>35</v>
      </c>
      <c r="R954" t="s">
        <v>35</v>
      </c>
      <c r="S954" t="s">
        <v>34</v>
      </c>
      <c r="AC954" t="s">
        <v>35</v>
      </c>
      <c r="AD954">
        <v>20170124</v>
      </c>
      <c r="AF954" t="str">
        <f>IFERROR(VLOOKUP(RIGHT(TblFeedFile1[[#This Row],[Leave Type ]],6),LkupPayType[],2,FALSE),"TBD")</f>
        <v>TBD</v>
      </c>
      <c r="AG954" t="str">
        <f>IFERROR(VLOOKUP(TblFeedFile1[[#This Row],[ Report Number ]],LkupPayrollCycle[],2,FALSE),"TBD")</f>
        <v>Semi-Monthly</v>
      </c>
      <c r="AH954" t="str">
        <f>IF(TblFeedFile1[[#This Row],[Return to Work Date ]]="","","Y")</f>
        <v/>
      </c>
    </row>
    <row r="955" spans="1:34" x14ac:dyDescent="0.25">
      <c r="A955" t="s">
        <v>37</v>
      </c>
      <c r="B955">
        <v>314301</v>
      </c>
      <c r="C955">
        <v>26158703</v>
      </c>
      <c r="D955" s="1" t="s">
        <v>1266</v>
      </c>
      <c r="E955" t="s">
        <v>1267</v>
      </c>
      <c r="F955" t="s">
        <v>1268</v>
      </c>
      <c r="G955">
        <v>20160927</v>
      </c>
      <c r="H955">
        <v>20170113</v>
      </c>
      <c r="I955" t="s">
        <v>223</v>
      </c>
      <c r="L955" t="s">
        <v>34</v>
      </c>
      <c r="M955" t="s">
        <v>34</v>
      </c>
      <c r="N955" t="s">
        <v>35</v>
      </c>
      <c r="O955" t="s">
        <v>35</v>
      </c>
      <c r="P955" t="s">
        <v>35</v>
      </c>
      <c r="Q955" t="s">
        <v>35</v>
      </c>
      <c r="R955" t="s">
        <v>35</v>
      </c>
      <c r="S955" t="s">
        <v>34</v>
      </c>
      <c r="T955">
        <v>20170117</v>
      </c>
      <c r="AC955" t="s">
        <v>35</v>
      </c>
      <c r="AD955">
        <v>20170124</v>
      </c>
      <c r="AF955" t="str">
        <f>IFERROR(VLOOKUP(RIGHT(TblFeedFile1[[#This Row],[Leave Type ]],6),LkupPayType[],2,FALSE),"TBD")</f>
        <v>TBD</v>
      </c>
      <c r="AG955" t="str">
        <f>IFERROR(VLOOKUP(TblFeedFile1[[#This Row],[ Report Number ]],LkupPayrollCycle[],2,FALSE),"TBD")</f>
        <v>Semi-Monthly</v>
      </c>
      <c r="AH955" t="str">
        <f>IF(TblFeedFile1[[#This Row],[Return to Work Date ]]="","","Y")</f>
        <v>Y</v>
      </c>
    </row>
    <row r="956" spans="1:34" x14ac:dyDescent="0.25">
      <c r="A956" t="s">
        <v>29</v>
      </c>
      <c r="B956">
        <v>314304</v>
      </c>
      <c r="C956">
        <v>26175552</v>
      </c>
      <c r="D956" s="1" t="s">
        <v>1269</v>
      </c>
      <c r="E956" t="s">
        <v>1270</v>
      </c>
      <c r="F956" t="s">
        <v>1271</v>
      </c>
      <c r="G956">
        <v>20170105</v>
      </c>
      <c r="H956">
        <v>20170105</v>
      </c>
      <c r="I956" t="s">
        <v>33</v>
      </c>
      <c r="L956" t="s">
        <v>34</v>
      </c>
      <c r="M956" t="s">
        <v>34</v>
      </c>
      <c r="N956" t="s">
        <v>35</v>
      </c>
      <c r="O956" t="s">
        <v>35</v>
      </c>
      <c r="P956" t="s">
        <v>35</v>
      </c>
      <c r="Q956" t="s">
        <v>35</v>
      </c>
      <c r="R956" t="s">
        <v>35</v>
      </c>
      <c r="S956" t="s">
        <v>34</v>
      </c>
      <c r="AC956" t="s">
        <v>35</v>
      </c>
      <c r="AD956">
        <v>20170124</v>
      </c>
      <c r="AF956" t="str">
        <f>IFERROR(VLOOKUP(RIGHT(TblFeedFile1[[#This Row],[Leave Type ]],6),LkupPayType[],2,FALSE),"TBD")</f>
        <v>TBD</v>
      </c>
      <c r="AG956" t="str">
        <f>IFERROR(VLOOKUP(TblFeedFile1[[#This Row],[ Report Number ]],LkupPayrollCycle[],2,FALSE),"TBD")</f>
        <v>Bi-Weekly</v>
      </c>
      <c r="AH956" t="str">
        <f>IF(TblFeedFile1[[#This Row],[Return to Work Date ]]="","","Y")</f>
        <v/>
      </c>
    </row>
    <row r="957" spans="1:34" x14ac:dyDescent="0.25">
      <c r="A957" t="s">
        <v>37</v>
      </c>
      <c r="B957">
        <v>314304</v>
      </c>
      <c r="C957">
        <v>26175552</v>
      </c>
      <c r="D957" s="1" t="s">
        <v>1269</v>
      </c>
      <c r="E957" t="s">
        <v>1270</v>
      </c>
      <c r="F957" t="s">
        <v>1271</v>
      </c>
      <c r="G957">
        <v>20161111</v>
      </c>
      <c r="H957">
        <v>20170104</v>
      </c>
      <c r="I957" t="s">
        <v>36</v>
      </c>
      <c r="L957" t="s">
        <v>34</v>
      </c>
      <c r="M957" t="s">
        <v>34</v>
      </c>
      <c r="N957" t="s">
        <v>35</v>
      </c>
      <c r="O957" t="s">
        <v>35</v>
      </c>
      <c r="P957" t="s">
        <v>35</v>
      </c>
      <c r="Q957" t="s">
        <v>35</v>
      </c>
      <c r="R957" t="s">
        <v>35</v>
      </c>
      <c r="S957" t="s">
        <v>34</v>
      </c>
      <c r="T957">
        <v>20170109</v>
      </c>
      <c r="AC957" t="s">
        <v>35</v>
      </c>
      <c r="AD957">
        <v>20170124</v>
      </c>
      <c r="AF957" t="str">
        <f>IFERROR(VLOOKUP(RIGHT(TblFeedFile1[[#This Row],[Leave Type ]],6),LkupPayType[],2,FALSE),"TBD")</f>
        <v>TBD</v>
      </c>
      <c r="AG957" t="str">
        <f>IFERROR(VLOOKUP(TblFeedFile1[[#This Row],[ Report Number ]],LkupPayrollCycle[],2,FALSE),"TBD")</f>
        <v>Bi-Weekly</v>
      </c>
      <c r="AH957" t="str">
        <f>IF(TblFeedFile1[[#This Row],[Return to Work Date ]]="","","Y")</f>
        <v>Y</v>
      </c>
    </row>
    <row r="958" spans="1:34" x14ac:dyDescent="0.25">
      <c r="A958" t="s">
        <v>29</v>
      </c>
      <c r="B958">
        <v>314304</v>
      </c>
      <c r="C958">
        <v>26175810</v>
      </c>
      <c r="D958" s="1">
        <v>501701208910</v>
      </c>
      <c r="E958" t="s">
        <v>1272</v>
      </c>
      <c r="F958" t="s">
        <v>178</v>
      </c>
      <c r="G958">
        <v>20170118</v>
      </c>
      <c r="I958" t="s">
        <v>53</v>
      </c>
      <c r="L958" t="s">
        <v>34</v>
      </c>
      <c r="M958" t="s">
        <v>34</v>
      </c>
      <c r="N958" t="s">
        <v>35</v>
      </c>
      <c r="O958" t="s">
        <v>35</v>
      </c>
      <c r="P958" t="s">
        <v>35</v>
      </c>
      <c r="Q958" t="s">
        <v>35</v>
      </c>
      <c r="R958" t="s">
        <v>35</v>
      </c>
      <c r="S958" t="s">
        <v>34</v>
      </c>
      <c r="AD958">
        <v>20170124</v>
      </c>
      <c r="AF958" t="str">
        <f>IFERROR(VLOOKUP(RIGHT(TblFeedFile1[[#This Row],[Leave Type ]],6),LkupPayType[],2,FALSE),"TBD")</f>
        <v>TBD</v>
      </c>
      <c r="AG958" t="str">
        <f>IFERROR(VLOOKUP(TblFeedFile1[[#This Row],[ Report Number ]],LkupPayrollCycle[],2,FALSE),"TBD")</f>
        <v>Bi-Weekly</v>
      </c>
      <c r="AH958" t="str">
        <f>IF(TblFeedFile1[[#This Row],[Return to Work Date ]]="","","Y")</f>
        <v/>
      </c>
    </row>
    <row r="959" spans="1:34" x14ac:dyDescent="0.25">
      <c r="A959" t="s">
        <v>37</v>
      </c>
      <c r="B959">
        <v>314304</v>
      </c>
      <c r="C959">
        <v>26175810</v>
      </c>
      <c r="D959" s="1">
        <v>501701208910</v>
      </c>
      <c r="E959" t="s">
        <v>1272</v>
      </c>
      <c r="F959" t="s">
        <v>178</v>
      </c>
      <c r="G959">
        <v>20170118</v>
      </c>
      <c r="H959">
        <v>20170301</v>
      </c>
      <c r="I959" t="s">
        <v>53</v>
      </c>
      <c r="L959" t="s">
        <v>34</v>
      </c>
      <c r="M959" t="s">
        <v>34</v>
      </c>
      <c r="N959" t="s">
        <v>35</v>
      </c>
      <c r="O959" t="s">
        <v>35</v>
      </c>
      <c r="P959" t="s">
        <v>35</v>
      </c>
      <c r="Q959" t="s">
        <v>35</v>
      </c>
      <c r="R959" t="s">
        <v>35</v>
      </c>
      <c r="S959" t="s">
        <v>34</v>
      </c>
      <c r="AD959">
        <v>20170124</v>
      </c>
      <c r="AF959" t="str">
        <f>IFERROR(VLOOKUP(RIGHT(TblFeedFile1[[#This Row],[Leave Type ]],6),LkupPayType[],2,FALSE),"TBD")</f>
        <v>TBD</v>
      </c>
      <c r="AG959" t="str">
        <f>IFERROR(VLOOKUP(TblFeedFile1[[#This Row],[ Report Number ]],LkupPayrollCycle[],2,FALSE),"TBD")</f>
        <v>Bi-Weekly</v>
      </c>
      <c r="AH959" t="str">
        <f>IF(TblFeedFile1[[#This Row],[Return to Work Date ]]="","","Y")</f>
        <v/>
      </c>
    </row>
    <row r="960" spans="1:34" x14ac:dyDescent="0.25">
      <c r="A960" t="s">
        <v>37</v>
      </c>
      <c r="B960">
        <v>314304</v>
      </c>
      <c r="C960">
        <v>26185664</v>
      </c>
      <c r="D960" s="1">
        <v>551701038865</v>
      </c>
      <c r="E960" t="s">
        <v>1181</v>
      </c>
      <c r="F960" t="s">
        <v>1273</v>
      </c>
      <c r="G960">
        <v>20170112</v>
      </c>
      <c r="H960">
        <v>20170223</v>
      </c>
      <c r="I960" t="s">
        <v>53</v>
      </c>
      <c r="L960" t="s">
        <v>34</v>
      </c>
      <c r="M960" t="s">
        <v>34</v>
      </c>
      <c r="N960" t="s">
        <v>35</v>
      </c>
      <c r="O960" t="s">
        <v>35</v>
      </c>
      <c r="P960" t="s">
        <v>35</v>
      </c>
      <c r="Q960" t="s">
        <v>35</v>
      </c>
      <c r="R960" t="s">
        <v>35</v>
      </c>
      <c r="S960" t="s">
        <v>34</v>
      </c>
      <c r="AD960">
        <v>20170124</v>
      </c>
      <c r="AF960" t="str">
        <f>IFERROR(VLOOKUP(RIGHT(TblFeedFile1[[#This Row],[Leave Type ]],6),LkupPayType[],2,FALSE),"TBD")</f>
        <v>TBD</v>
      </c>
      <c r="AG960" t="str">
        <f>IFERROR(VLOOKUP(TblFeedFile1[[#This Row],[ Report Number ]],LkupPayrollCycle[],2,FALSE),"TBD")</f>
        <v>Bi-Weekly</v>
      </c>
      <c r="AH960" t="str">
        <f>IF(TblFeedFile1[[#This Row],[Return to Work Date ]]="","","Y")</f>
        <v/>
      </c>
    </row>
    <row r="961" spans="1:34" x14ac:dyDescent="0.25">
      <c r="A961" t="s">
        <v>37</v>
      </c>
      <c r="B961">
        <v>314304</v>
      </c>
      <c r="C961">
        <v>26185664</v>
      </c>
      <c r="D961" s="1">
        <v>551701038865</v>
      </c>
      <c r="E961" t="s">
        <v>1181</v>
      </c>
      <c r="F961" t="s">
        <v>1273</v>
      </c>
      <c r="G961">
        <v>20170119</v>
      </c>
      <c r="H961">
        <v>20170223</v>
      </c>
      <c r="I961" t="s">
        <v>40</v>
      </c>
      <c r="L961" t="s">
        <v>34</v>
      </c>
      <c r="M961" t="s">
        <v>34</v>
      </c>
      <c r="N961" t="s">
        <v>35</v>
      </c>
      <c r="O961" t="s">
        <v>35</v>
      </c>
      <c r="P961" t="s">
        <v>35</v>
      </c>
      <c r="Q961" t="s">
        <v>35</v>
      </c>
      <c r="R961" t="s">
        <v>35</v>
      </c>
      <c r="S961" t="s">
        <v>34</v>
      </c>
      <c r="AD961">
        <v>20170124</v>
      </c>
      <c r="AF961" t="str">
        <f>IFERROR(VLOOKUP(RIGHT(TblFeedFile1[[#This Row],[Leave Type ]],6),LkupPayType[],2,FALSE),"TBD")</f>
        <v>TBD</v>
      </c>
      <c r="AG961" t="str">
        <f>IFERROR(VLOOKUP(TblFeedFile1[[#This Row],[ Report Number ]],LkupPayrollCycle[],2,FALSE),"TBD")</f>
        <v>Bi-Weekly</v>
      </c>
      <c r="AH961" t="str">
        <f>IF(TblFeedFile1[[#This Row],[Return to Work Date ]]="","","Y")</f>
        <v/>
      </c>
    </row>
    <row r="962" spans="1:34" x14ac:dyDescent="0.25">
      <c r="A962" t="s">
        <v>37</v>
      </c>
      <c r="B962">
        <v>314304</v>
      </c>
      <c r="C962">
        <v>26198340</v>
      </c>
      <c r="D962" s="1" t="s">
        <v>1274</v>
      </c>
      <c r="E962" t="s">
        <v>1275</v>
      </c>
      <c r="F962" t="s">
        <v>292</v>
      </c>
      <c r="G962">
        <v>20170120</v>
      </c>
      <c r="H962">
        <v>20170203</v>
      </c>
      <c r="I962" t="s">
        <v>36</v>
      </c>
      <c r="L962" t="s">
        <v>34</v>
      </c>
      <c r="M962" t="s">
        <v>34</v>
      </c>
      <c r="N962" t="s">
        <v>34</v>
      </c>
      <c r="O962" t="s">
        <v>35</v>
      </c>
      <c r="P962" t="s">
        <v>35</v>
      </c>
      <c r="Q962" t="s">
        <v>35</v>
      </c>
      <c r="R962" t="s">
        <v>35</v>
      </c>
      <c r="S962" t="s">
        <v>35</v>
      </c>
      <c r="AD962">
        <v>20170124</v>
      </c>
      <c r="AF962" t="str">
        <f>IFERROR(VLOOKUP(RIGHT(TblFeedFile1[[#This Row],[Leave Type ]],6),LkupPayType[],2,FALSE),"TBD")</f>
        <v>TBD</v>
      </c>
      <c r="AG962" t="str">
        <f>IFERROR(VLOOKUP(TblFeedFile1[[#This Row],[ Report Number ]],LkupPayrollCycle[],2,FALSE),"TBD")</f>
        <v>Bi-Weekly</v>
      </c>
      <c r="AH962" t="str">
        <f>IF(TblFeedFile1[[#This Row],[Return to Work Date ]]="","","Y")</f>
        <v/>
      </c>
    </row>
    <row r="963" spans="1:34" x14ac:dyDescent="0.25">
      <c r="A963" t="s">
        <v>29</v>
      </c>
      <c r="B963">
        <v>314304</v>
      </c>
      <c r="C963">
        <v>26200912</v>
      </c>
      <c r="D963" s="1">
        <v>511701178969</v>
      </c>
      <c r="E963" t="s">
        <v>1276</v>
      </c>
      <c r="F963" t="s">
        <v>808</v>
      </c>
      <c r="G963">
        <v>20170113</v>
      </c>
      <c r="H963">
        <v>20170713</v>
      </c>
      <c r="I963" t="s">
        <v>53</v>
      </c>
      <c r="L963" t="s">
        <v>34</v>
      </c>
      <c r="M963" t="s">
        <v>34</v>
      </c>
      <c r="N963" t="s">
        <v>35</v>
      </c>
      <c r="O963" t="s">
        <v>35</v>
      </c>
      <c r="P963" t="s">
        <v>35</v>
      </c>
      <c r="Q963" t="s">
        <v>35</v>
      </c>
      <c r="R963" t="s">
        <v>35</v>
      </c>
      <c r="S963" t="s">
        <v>34</v>
      </c>
      <c r="AD963">
        <v>20170124</v>
      </c>
      <c r="AF963" t="str">
        <f>IFERROR(VLOOKUP(RIGHT(TblFeedFile1[[#This Row],[Leave Type ]],6),LkupPayType[],2,FALSE),"TBD")</f>
        <v>TBD</v>
      </c>
      <c r="AG963" t="str">
        <f>IFERROR(VLOOKUP(TblFeedFile1[[#This Row],[ Report Number ]],LkupPayrollCycle[],2,FALSE),"TBD")</f>
        <v>Bi-Weekly</v>
      </c>
      <c r="AH963" t="str">
        <f>IF(TblFeedFile1[[#This Row],[Return to Work Date ]]="","","Y")</f>
        <v/>
      </c>
    </row>
    <row r="964" spans="1:34" x14ac:dyDescent="0.25">
      <c r="A964" t="s">
        <v>37</v>
      </c>
      <c r="B964">
        <v>314304</v>
      </c>
      <c r="C964">
        <v>26200912</v>
      </c>
      <c r="D964" s="1">
        <v>511701178969</v>
      </c>
      <c r="E964" t="s">
        <v>1276</v>
      </c>
      <c r="F964" t="s">
        <v>808</v>
      </c>
      <c r="G964">
        <v>20170116</v>
      </c>
      <c r="H964">
        <v>20170710</v>
      </c>
      <c r="I964" t="s">
        <v>53</v>
      </c>
      <c r="L964" t="s">
        <v>34</v>
      </c>
      <c r="M964" t="s">
        <v>34</v>
      </c>
      <c r="N964" t="s">
        <v>35</v>
      </c>
      <c r="O964" t="s">
        <v>35</v>
      </c>
      <c r="P964" t="s">
        <v>35</v>
      </c>
      <c r="Q964" t="s">
        <v>35</v>
      </c>
      <c r="R964" t="s">
        <v>35</v>
      </c>
      <c r="S964" t="s">
        <v>34</v>
      </c>
      <c r="AD964">
        <v>20170124</v>
      </c>
      <c r="AF964" t="str">
        <f>IFERROR(VLOOKUP(RIGHT(TblFeedFile1[[#This Row],[Leave Type ]],6),LkupPayType[],2,FALSE),"TBD")</f>
        <v>TBD</v>
      </c>
      <c r="AG964" t="str">
        <f>IFERROR(VLOOKUP(TblFeedFile1[[#This Row],[ Report Number ]],LkupPayrollCycle[],2,FALSE),"TBD")</f>
        <v>Bi-Weekly</v>
      </c>
      <c r="AH964" t="str">
        <f>IF(TblFeedFile1[[#This Row],[Return to Work Date ]]="","","Y")</f>
        <v/>
      </c>
    </row>
    <row r="965" spans="1:34" x14ac:dyDescent="0.25">
      <c r="A965" t="s">
        <v>37</v>
      </c>
      <c r="B965">
        <v>314304</v>
      </c>
      <c r="C965">
        <v>26200912</v>
      </c>
      <c r="D965" s="1">
        <v>511701178969</v>
      </c>
      <c r="E965" t="s">
        <v>1276</v>
      </c>
      <c r="F965" t="s">
        <v>808</v>
      </c>
      <c r="G965">
        <v>20170123</v>
      </c>
      <c r="H965">
        <v>20170710</v>
      </c>
      <c r="I965" t="s">
        <v>40</v>
      </c>
      <c r="L965" t="s">
        <v>34</v>
      </c>
      <c r="M965" t="s">
        <v>34</v>
      </c>
      <c r="N965" t="s">
        <v>35</v>
      </c>
      <c r="O965" t="s">
        <v>35</v>
      </c>
      <c r="P965" t="s">
        <v>35</v>
      </c>
      <c r="Q965" t="s">
        <v>35</v>
      </c>
      <c r="R965" t="s">
        <v>35</v>
      </c>
      <c r="S965" t="s">
        <v>34</v>
      </c>
      <c r="AD965">
        <v>20170124</v>
      </c>
      <c r="AF965" t="str">
        <f>IFERROR(VLOOKUP(RIGHT(TblFeedFile1[[#This Row],[Leave Type ]],6),LkupPayType[],2,FALSE),"TBD")</f>
        <v>TBD</v>
      </c>
      <c r="AG965" t="str">
        <f>IFERROR(VLOOKUP(TblFeedFile1[[#This Row],[ Report Number ]],LkupPayrollCycle[],2,FALSE),"TBD")</f>
        <v>Bi-Weekly</v>
      </c>
      <c r="AH965" t="str">
        <f>IF(TblFeedFile1[[#This Row],[Return to Work Date ]]="","","Y")</f>
        <v/>
      </c>
    </row>
    <row r="966" spans="1:34" x14ac:dyDescent="0.25">
      <c r="A966" t="s">
        <v>37</v>
      </c>
      <c r="B966">
        <v>314304</v>
      </c>
      <c r="C966">
        <v>26224145</v>
      </c>
      <c r="D966" s="1" t="s">
        <v>1277</v>
      </c>
      <c r="E966" t="s">
        <v>1278</v>
      </c>
      <c r="F966" t="s">
        <v>1279</v>
      </c>
      <c r="G966">
        <v>20170113</v>
      </c>
      <c r="H966">
        <v>20170213</v>
      </c>
      <c r="I966" t="s">
        <v>78</v>
      </c>
      <c r="K966" t="s">
        <v>79</v>
      </c>
      <c r="L966" t="s">
        <v>34</v>
      </c>
      <c r="M966" t="s">
        <v>34</v>
      </c>
      <c r="N966" t="s">
        <v>35</v>
      </c>
      <c r="O966" t="s">
        <v>35</v>
      </c>
      <c r="P966" t="s">
        <v>35</v>
      </c>
      <c r="Q966" t="s">
        <v>35</v>
      </c>
      <c r="R966" t="s">
        <v>35</v>
      </c>
      <c r="S966" t="s">
        <v>34</v>
      </c>
      <c r="AD966">
        <v>20170124</v>
      </c>
      <c r="AF966" t="str">
        <f>IFERROR(VLOOKUP(RIGHT(TblFeedFile1[[#This Row],[Leave Type ]],6),LkupPayType[],2,FALSE),"TBD")</f>
        <v>TBD</v>
      </c>
      <c r="AG966" t="str">
        <f>IFERROR(VLOOKUP(TblFeedFile1[[#This Row],[ Report Number ]],LkupPayrollCycle[],2,FALSE),"TBD")</f>
        <v>Bi-Weekly</v>
      </c>
      <c r="AH966" t="str">
        <f>IF(TblFeedFile1[[#This Row],[Return to Work Date ]]="","","Y")</f>
        <v/>
      </c>
    </row>
    <row r="967" spans="1:34" x14ac:dyDescent="0.25">
      <c r="A967" t="s">
        <v>37</v>
      </c>
      <c r="B967">
        <v>314304</v>
      </c>
      <c r="C967">
        <v>26224145</v>
      </c>
      <c r="D967" s="1">
        <v>511701238261</v>
      </c>
      <c r="E967" t="s">
        <v>1278</v>
      </c>
      <c r="F967" t="s">
        <v>1279</v>
      </c>
      <c r="G967">
        <v>20170116</v>
      </c>
      <c r="H967">
        <v>20170213</v>
      </c>
      <c r="I967" t="s">
        <v>53</v>
      </c>
      <c r="L967" t="s">
        <v>34</v>
      </c>
      <c r="M967" t="s">
        <v>34</v>
      </c>
      <c r="N967" t="s">
        <v>35</v>
      </c>
      <c r="O967" t="s">
        <v>35</v>
      </c>
      <c r="P967" t="s">
        <v>35</v>
      </c>
      <c r="Q967" t="s">
        <v>35</v>
      </c>
      <c r="R967" t="s">
        <v>35</v>
      </c>
      <c r="S967" t="s">
        <v>34</v>
      </c>
      <c r="AD967">
        <v>20170124</v>
      </c>
      <c r="AF967" t="str">
        <f>IFERROR(VLOOKUP(RIGHT(TblFeedFile1[[#This Row],[Leave Type ]],6),LkupPayType[],2,FALSE),"TBD")</f>
        <v>TBD</v>
      </c>
      <c r="AG967" t="str">
        <f>IFERROR(VLOOKUP(TblFeedFile1[[#This Row],[ Report Number ]],LkupPayrollCycle[],2,FALSE),"TBD")</f>
        <v>Bi-Weekly</v>
      </c>
      <c r="AH967" t="str">
        <f>IF(TblFeedFile1[[#This Row],[Return to Work Date ]]="","","Y")</f>
        <v/>
      </c>
    </row>
    <row r="968" spans="1:34" x14ac:dyDescent="0.25">
      <c r="A968" t="s">
        <v>37</v>
      </c>
      <c r="B968">
        <v>314304</v>
      </c>
      <c r="C968">
        <v>26224145</v>
      </c>
      <c r="D968" s="1">
        <v>511701238261</v>
      </c>
      <c r="E968" t="s">
        <v>1278</v>
      </c>
      <c r="F968" t="s">
        <v>1279</v>
      </c>
      <c r="G968">
        <v>20170123</v>
      </c>
      <c r="H968">
        <v>20170213</v>
      </c>
      <c r="I968" t="s">
        <v>40</v>
      </c>
      <c r="L968" t="s">
        <v>34</v>
      </c>
      <c r="M968" t="s">
        <v>34</v>
      </c>
      <c r="N968" t="s">
        <v>35</v>
      </c>
      <c r="O968" t="s">
        <v>35</v>
      </c>
      <c r="P968" t="s">
        <v>35</v>
      </c>
      <c r="Q968" t="s">
        <v>35</v>
      </c>
      <c r="R968" t="s">
        <v>35</v>
      </c>
      <c r="S968" t="s">
        <v>34</v>
      </c>
      <c r="AD968">
        <v>20170124</v>
      </c>
      <c r="AF968" t="str">
        <f>IFERROR(VLOOKUP(RIGHT(TblFeedFile1[[#This Row],[Leave Type ]],6),LkupPayType[],2,FALSE),"TBD")</f>
        <v>TBD</v>
      </c>
      <c r="AG968" t="str">
        <f>IFERROR(VLOOKUP(TblFeedFile1[[#This Row],[ Report Number ]],LkupPayrollCycle[],2,FALSE),"TBD")</f>
        <v>Bi-Weekly</v>
      </c>
      <c r="AH968" t="str">
        <f>IF(TblFeedFile1[[#This Row],[Return to Work Date ]]="","","Y")</f>
        <v/>
      </c>
    </row>
    <row r="969" spans="1:34" x14ac:dyDescent="0.25">
      <c r="A969" t="s">
        <v>29</v>
      </c>
      <c r="B969">
        <v>314301</v>
      </c>
      <c r="C969">
        <v>26224652</v>
      </c>
      <c r="D969" s="1">
        <v>511701048121</v>
      </c>
      <c r="E969" t="s">
        <v>1280</v>
      </c>
      <c r="F969" t="s">
        <v>1281</v>
      </c>
      <c r="G969">
        <v>20170111</v>
      </c>
      <c r="H969">
        <v>20170123</v>
      </c>
      <c r="I969" t="s">
        <v>40</v>
      </c>
      <c r="L969" t="s">
        <v>34</v>
      </c>
      <c r="M969" t="s">
        <v>34</v>
      </c>
      <c r="N969" t="s">
        <v>35</v>
      </c>
      <c r="O969" t="s">
        <v>35</v>
      </c>
      <c r="P969" t="s">
        <v>35</v>
      </c>
      <c r="Q969" t="s">
        <v>35</v>
      </c>
      <c r="R969" t="s">
        <v>35</v>
      </c>
      <c r="S969" t="s">
        <v>34</v>
      </c>
      <c r="T969">
        <v>20170124</v>
      </c>
      <c r="AD969">
        <v>20170124</v>
      </c>
      <c r="AF969" t="str">
        <f>IFERROR(VLOOKUP(RIGHT(TblFeedFile1[[#This Row],[Leave Type ]],6),LkupPayType[],2,FALSE),"TBD")</f>
        <v>TBD</v>
      </c>
      <c r="AG969" t="str">
        <f>IFERROR(VLOOKUP(TblFeedFile1[[#This Row],[ Report Number ]],LkupPayrollCycle[],2,FALSE),"TBD")</f>
        <v>Semi-Monthly</v>
      </c>
      <c r="AH969" t="str">
        <f>IF(TblFeedFile1[[#This Row],[Return to Work Date ]]="","","Y")</f>
        <v>Y</v>
      </c>
    </row>
    <row r="970" spans="1:34" x14ac:dyDescent="0.25">
      <c r="A970" t="s">
        <v>37</v>
      </c>
      <c r="B970">
        <v>314301</v>
      </c>
      <c r="C970">
        <v>26224652</v>
      </c>
      <c r="D970" s="1">
        <v>511701048121</v>
      </c>
      <c r="E970" t="s">
        <v>1280</v>
      </c>
      <c r="F970" t="s">
        <v>1281</v>
      </c>
      <c r="G970">
        <v>20170111</v>
      </c>
      <c r="H970">
        <v>20170428</v>
      </c>
      <c r="I970" t="s">
        <v>40</v>
      </c>
      <c r="L970" t="s">
        <v>34</v>
      </c>
      <c r="M970" t="s">
        <v>34</v>
      </c>
      <c r="N970" t="s">
        <v>35</v>
      </c>
      <c r="O970" t="s">
        <v>35</v>
      </c>
      <c r="P970" t="s">
        <v>35</v>
      </c>
      <c r="Q970" t="s">
        <v>35</v>
      </c>
      <c r="R970" t="s">
        <v>35</v>
      </c>
      <c r="S970" t="s">
        <v>34</v>
      </c>
      <c r="AD970">
        <v>20170124</v>
      </c>
      <c r="AF970" t="str">
        <f>IFERROR(VLOOKUP(RIGHT(TblFeedFile1[[#This Row],[Leave Type ]],6),LkupPayType[],2,FALSE),"TBD")</f>
        <v>TBD</v>
      </c>
      <c r="AG970" t="str">
        <f>IFERROR(VLOOKUP(TblFeedFile1[[#This Row],[ Report Number ]],LkupPayrollCycle[],2,FALSE),"TBD")</f>
        <v>Semi-Monthly</v>
      </c>
      <c r="AH970" t="str">
        <f>IF(TblFeedFile1[[#This Row],[Return to Work Date ]]="","","Y")</f>
        <v/>
      </c>
    </row>
    <row r="971" spans="1:34" x14ac:dyDescent="0.25">
      <c r="A971" t="s">
        <v>37</v>
      </c>
      <c r="B971">
        <v>314301</v>
      </c>
      <c r="C971">
        <v>26224652</v>
      </c>
      <c r="D971" s="1" t="s">
        <v>1282</v>
      </c>
      <c r="E971" t="s">
        <v>1280</v>
      </c>
      <c r="F971" t="s">
        <v>1281</v>
      </c>
      <c r="G971">
        <v>20170124</v>
      </c>
      <c r="H971">
        <v>20170428</v>
      </c>
      <c r="I971" t="s">
        <v>36</v>
      </c>
      <c r="L971" t="s">
        <v>34</v>
      </c>
      <c r="M971" t="s">
        <v>34</v>
      </c>
      <c r="N971" t="s">
        <v>35</v>
      </c>
      <c r="O971" t="s">
        <v>35</v>
      </c>
      <c r="P971" t="s">
        <v>35</v>
      </c>
      <c r="Q971" t="s">
        <v>35</v>
      </c>
      <c r="R971" t="s">
        <v>35</v>
      </c>
      <c r="S971" t="s">
        <v>34</v>
      </c>
      <c r="AD971">
        <v>20170124</v>
      </c>
      <c r="AF971" t="str">
        <f>IFERROR(VLOOKUP(RIGHT(TblFeedFile1[[#This Row],[Leave Type ]],6),LkupPayType[],2,FALSE),"TBD")</f>
        <v>TBD</v>
      </c>
      <c r="AG971" t="str">
        <f>IFERROR(VLOOKUP(TblFeedFile1[[#This Row],[ Report Number ]],LkupPayrollCycle[],2,FALSE),"TBD")</f>
        <v>Semi-Monthly</v>
      </c>
      <c r="AH971" t="str">
        <f>IF(TblFeedFile1[[#This Row],[Return to Work Date ]]="","","Y")</f>
        <v/>
      </c>
    </row>
    <row r="972" spans="1:34" x14ac:dyDescent="0.25">
      <c r="A972" t="s">
        <v>29</v>
      </c>
      <c r="B972">
        <v>314301</v>
      </c>
      <c r="C972">
        <v>26232830</v>
      </c>
      <c r="D972" s="1" t="s">
        <v>1283</v>
      </c>
      <c r="E972" t="s">
        <v>230</v>
      </c>
      <c r="F972" t="s">
        <v>1284</v>
      </c>
      <c r="G972">
        <v>20161117</v>
      </c>
      <c r="H972">
        <v>20161201</v>
      </c>
      <c r="I972" t="s">
        <v>223</v>
      </c>
      <c r="L972" t="s">
        <v>34</v>
      </c>
      <c r="M972" t="s">
        <v>34</v>
      </c>
      <c r="N972" t="s">
        <v>35</v>
      </c>
      <c r="O972" t="s">
        <v>35</v>
      </c>
      <c r="P972" t="s">
        <v>35</v>
      </c>
      <c r="Q972" t="s">
        <v>35</v>
      </c>
      <c r="R972" t="s">
        <v>35</v>
      </c>
      <c r="S972" t="s">
        <v>34</v>
      </c>
      <c r="T972">
        <v>20161202</v>
      </c>
      <c r="AC972" t="s">
        <v>35</v>
      </c>
      <c r="AD972">
        <v>20170124</v>
      </c>
      <c r="AF972" t="str">
        <f>IFERROR(VLOOKUP(RIGHT(TblFeedFile1[[#This Row],[Leave Type ]],6),LkupPayType[],2,FALSE),"TBD")</f>
        <v>TBD</v>
      </c>
      <c r="AG972" t="str">
        <f>IFERROR(VLOOKUP(TblFeedFile1[[#This Row],[ Report Number ]],LkupPayrollCycle[],2,FALSE),"TBD")</f>
        <v>Semi-Monthly</v>
      </c>
      <c r="AH972" t="str">
        <f>IF(TblFeedFile1[[#This Row],[Return to Work Date ]]="","","Y")</f>
        <v>Y</v>
      </c>
    </row>
    <row r="973" spans="1:34" x14ac:dyDescent="0.25">
      <c r="A973" t="s">
        <v>37</v>
      </c>
      <c r="B973">
        <v>314307</v>
      </c>
      <c r="C973">
        <v>26232830</v>
      </c>
      <c r="D973" s="1" t="s">
        <v>1283</v>
      </c>
      <c r="E973" t="s">
        <v>230</v>
      </c>
      <c r="F973" t="s">
        <v>1284</v>
      </c>
      <c r="G973">
        <v>20161117</v>
      </c>
      <c r="H973">
        <v>20170108</v>
      </c>
      <c r="I973" t="s">
        <v>223</v>
      </c>
      <c r="L973" t="s">
        <v>34</v>
      </c>
      <c r="M973" t="s">
        <v>34</v>
      </c>
      <c r="N973" t="s">
        <v>35</v>
      </c>
      <c r="O973" t="s">
        <v>35</v>
      </c>
      <c r="P973" t="s">
        <v>35</v>
      </c>
      <c r="Q973" t="s">
        <v>35</v>
      </c>
      <c r="R973" t="s">
        <v>35</v>
      </c>
      <c r="S973" t="s">
        <v>34</v>
      </c>
      <c r="AC973" t="s">
        <v>35</v>
      </c>
      <c r="AD973">
        <v>20170124</v>
      </c>
      <c r="AF973" t="str">
        <f>IFERROR(VLOOKUP(RIGHT(TblFeedFile1[[#This Row],[Leave Type ]],6),LkupPayType[],2,FALSE),"TBD")</f>
        <v>TBD</v>
      </c>
      <c r="AG973" t="str">
        <f>IFERROR(VLOOKUP(TblFeedFile1[[#This Row],[ Report Number ]],LkupPayrollCycle[],2,FALSE),"TBD")</f>
        <v>Semi-Monthly</v>
      </c>
      <c r="AH973" t="str">
        <f>IF(TblFeedFile1[[#This Row],[Return to Work Date ]]="","","Y")</f>
        <v/>
      </c>
    </row>
    <row r="974" spans="1:34" x14ac:dyDescent="0.25">
      <c r="A974" t="s">
        <v>37</v>
      </c>
      <c r="B974">
        <v>314307</v>
      </c>
      <c r="C974">
        <v>26232830</v>
      </c>
      <c r="D974" s="1" t="s">
        <v>1283</v>
      </c>
      <c r="E974" t="s">
        <v>230</v>
      </c>
      <c r="F974" t="s">
        <v>1284</v>
      </c>
      <c r="G974">
        <v>20161117</v>
      </c>
      <c r="H974">
        <v>20170108</v>
      </c>
      <c r="I974" t="s">
        <v>185</v>
      </c>
      <c r="L974" t="s">
        <v>34</v>
      </c>
      <c r="M974" t="s">
        <v>34</v>
      </c>
      <c r="N974" t="s">
        <v>35</v>
      </c>
      <c r="O974" t="s">
        <v>35</v>
      </c>
      <c r="P974" t="s">
        <v>35</v>
      </c>
      <c r="Q974" t="s">
        <v>35</v>
      </c>
      <c r="R974" t="s">
        <v>35</v>
      </c>
      <c r="S974" t="s">
        <v>34</v>
      </c>
      <c r="AC974" t="s">
        <v>35</v>
      </c>
      <c r="AD974">
        <v>20170124</v>
      </c>
      <c r="AF974" t="str">
        <f>IFERROR(VLOOKUP(RIGHT(TblFeedFile1[[#This Row],[Leave Type ]],6),LkupPayType[],2,FALSE),"TBD")</f>
        <v>TBD</v>
      </c>
      <c r="AG974" t="str">
        <f>IFERROR(VLOOKUP(TblFeedFile1[[#This Row],[ Report Number ]],LkupPayrollCycle[],2,FALSE),"TBD")</f>
        <v>Semi-Monthly</v>
      </c>
      <c r="AH974" t="str">
        <f>IF(TblFeedFile1[[#This Row],[Return to Work Date ]]="","","Y")</f>
        <v/>
      </c>
    </row>
    <row r="975" spans="1:34" x14ac:dyDescent="0.25">
      <c r="A975" t="s">
        <v>37</v>
      </c>
      <c r="B975">
        <v>314307</v>
      </c>
      <c r="C975">
        <v>26232830</v>
      </c>
      <c r="D975" s="1" t="s">
        <v>1283</v>
      </c>
      <c r="E975" t="s">
        <v>230</v>
      </c>
      <c r="F975" t="s">
        <v>1284</v>
      </c>
      <c r="G975">
        <v>20170109</v>
      </c>
      <c r="H975">
        <v>20170109</v>
      </c>
      <c r="I975" t="s">
        <v>33</v>
      </c>
      <c r="L975" t="s">
        <v>34</v>
      </c>
      <c r="M975" t="s">
        <v>34</v>
      </c>
      <c r="N975" t="s">
        <v>35</v>
      </c>
      <c r="O975" t="s">
        <v>35</v>
      </c>
      <c r="P975" t="s">
        <v>35</v>
      </c>
      <c r="Q975" t="s">
        <v>35</v>
      </c>
      <c r="R975" t="s">
        <v>35</v>
      </c>
      <c r="S975" t="s">
        <v>34</v>
      </c>
      <c r="AC975" t="s">
        <v>35</v>
      </c>
      <c r="AD975">
        <v>20170124</v>
      </c>
      <c r="AF975" t="str">
        <f>IFERROR(VLOOKUP(RIGHT(TblFeedFile1[[#This Row],[Leave Type ]],6),LkupPayType[],2,FALSE),"TBD")</f>
        <v>TBD</v>
      </c>
      <c r="AG975" t="str">
        <f>IFERROR(VLOOKUP(TblFeedFile1[[#This Row],[ Report Number ]],LkupPayrollCycle[],2,FALSE),"TBD")</f>
        <v>Semi-Monthly</v>
      </c>
      <c r="AH975" t="str">
        <f>IF(TblFeedFile1[[#This Row],[Return to Work Date ]]="","","Y")</f>
        <v/>
      </c>
    </row>
    <row r="976" spans="1:34" x14ac:dyDescent="0.25">
      <c r="A976" t="s">
        <v>37</v>
      </c>
      <c r="B976">
        <v>314301</v>
      </c>
      <c r="C976">
        <v>26236225</v>
      </c>
      <c r="D976" s="1" t="s">
        <v>1285</v>
      </c>
      <c r="E976" t="s">
        <v>1286</v>
      </c>
      <c r="F976" t="s">
        <v>1287</v>
      </c>
      <c r="G976">
        <v>20170103</v>
      </c>
      <c r="H976">
        <v>20170327</v>
      </c>
      <c r="I976" t="s">
        <v>223</v>
      </c>
      <c r="L976" t="s">
        <v>34</v>
      </c>
      <c r="M976" t="s">
        <v>34</v>
      </c>
      <c r="N976" t="s">
        <v>35</v>
      </c>
      <c r="O976" t="s">
        <v>35</v>
      </c>
      <c r="P976" t="s">
        <v>35</v>
      </c>
      <c r="Q976" t="s">
        <v>35</v>
      </c>
      <c r="R976" t="s">
        <v>35</v>
      </c>
      <c r="S976" t="s">
        <v>34</v>
      </c>
      <c r="AD976">
        <v>20170124</v>
      </c>
      <c r="AF976" t="str">
        <f>IFERROR(VLOOKUP(RIGHT(TblFeedFile1[[#This Row],[Leave Type ]],6),LkupPayType[],2,FALSE),"TBD")</f>
        <v>TBD</v>
      </c>
      <c r="AG976" t="str">
        <f>IFERROR(VLOOKUP(TblFeedFile1[[#This Row],[ Report Number ]],LkupPayrollCycle[],2,FALSE),"TBD")</f>
        <v>Semi-Monthly</v>
      </c>
      <c r="AH976" t="str">
        <f>IF(TblFeedFile1[[#This Row],[Return to Work Date ]]="","","Y")</f>
        <v/>
      </c>
    </row>
    <row r="977" spans="1:34" x14ac:dyDescent="0.25">
      <c r="A977" t="s">
        <v>37</v>
      </c>
      <c r="B977">
        <v>314304</v>
      </c>
      <c r="C977">
        <v>26246416</v>
      </c>
      <c r="D977" s="1" t="s">
        <v>1288</v>
      </c>
      <c r="E977" t="s">
        <v>339</v>
      </c>
      <c r="F977" t="s">
        <v>1289</v>
      </c>
      <c r="G977">
        <v>20170123</v>
      </c>
      <c r="H977">
        <v>20170220</v>
      </c>
      <c r="I977" t="s">
        <v>49</v>
      </c>
      <c r="L977" t="s">
        <v>34</v>
      </c>
      <c r="M977" t="s">
        <v>34</v>
      </c>
      <c r="N977" t="s">
        <v>35</v>
      </c>
      <c r="O977" t="s">
        <v>35</v>
      </c>
      <c r="P977" t="s">
        <v>35</v>
      </c>
      <c r="Q977" t="s">
        <v>35</v>
      </c>
      <c r="R977" t="s">
        <v>35</v>
      </c>
      <c r="S977" t="s">
        <v>34</v>
      </c>
      <c r="AD977">
        <v>20170124</v>
      </c>
      <c r="AF977" t="str">
        <f>IFERROR(VLOOKUP(RIGHT(TblFeedFile1[[#This Row],[Leave Type ]],6),LkupPayType[],2,FALSE),"TBD")</f>
        <v>TBD</v>
      </c>
      <c r="AG977" t="str">
        <f>IFERROR(VLOOKUP(TblFeedFile1[[#This Row],[ Report Number ]],LkupPayrollCycle[],2,FALSE),"TBD")</f>
        <v>Bi-Weekly</v>
      </c>
      <c r="AH977" t="str">
        <f>IF(TblFeedFile1[[#This Row],[Return to Work Date ]]="","","Y")</f>
        <v/>
      </c>
    </row>
    <row r="978" spans="1:34" x14ac:dyDescent="0.25">
      <c r="A978" t="s">
        <v>29</v>
      </c>
      <c r="B978">
        <v>314301</v>
      </c>
      <c r="C978">
        <v>26301038</v>
      </c>
      <c r="D978" s="1" t="s">
        <v>1290</v>
      </c>
      <c r="E978" t="s">
        <v>1291</v>
      </c>
      <c r="F978" t="s">
        <v>589</v>
      </c>
      <c r="G978">
        <v>20170124</v>
      </c>
      <c r="H978">
        <v>20170207</v>
      </c>
      <c r="I978" t="s">
        <v>49</v>
      </c>
      <c r="L978" t="s">
        <v>35</v>
      </c>
      <c r="AD978">
        <v>20170124</v>
      </c>
      <c r="AF978" t="str">
        <f>IFERROR(VLOOKUP(RIGHT(TblFeedFile1[[#This Row],[Leave Type ]],6),LkupPayType[],2,FALSE),"TBD")</f>
        <v>TBD</v>
      </c>
      <c r="AG978" t="str">
        <f>IFERROR(VLOOKUP(TblFeedFile1[[#This Row],[ Report Number ]],LkupPayrollCycle[],2,FALSE),"TBD")</f>
        <v>Semi-Monthly</v>
      </c>
      <c r="AH978" t="str">
        <f>IF(TblFeedFile1[[#This Row],[Return to Work Date ]]="","","Y")</f>
        <v/>
      </c>
    </row>
    <row r="979" spans="1:34" x14ac:dyDescent="0.25">
      <c r="A979" t="s">
        <v>37</v>
      </c>
      <c r="B979">
        <v>314301</v>
      </c>
      <c r="C979">
        <v>26301038</v>
      </c>
      <c r="D979" s="1" t="s">
        <v>1290</v>
      </c>
      <c r="E979" t="s">
        <v>1291</v>
      </c>
      <c r="F979" t="s">
        <v>589</v>
      </c>
      <c r="G979">
        <v>20170125</v>
      </c>
      <c r="H979">
        <v>20170307</v>
      </c>
      <c r="I979" t="s">
        <v>49</v>
      </c>
      <c r="L979" t="s">
        <v>35</v>
      </c>
      <c r="AD979">
        <v>20170124</v>
      </c>
      <c r="AF979" t="str">
        <f>IFERROR(VLOOKUP(RIGHT(TblFeedFile1[[#This Row],[Leave Type ]],6),LkupPayType[],2,FALSE),"TBD")</f>
        <v>TBD</v>
      </c>
      <c r="AG979" t="str">
        <f>IFERROR(VLOOKUP(TblFeedFile1[[#This Row],[ Report Number ]],LkupPayrollCycle[],2,FALSE),"TBD")</f>
        <v>Semi-Monthly</v>
      </c>
      <c r="AH979" t="str">
        <f>IF(TblFeedFile1[[#This Row],[Return to Work Date ]]="","","Y")</f>
        <v/>
      </c>
    </row>
    <row r="980" spans="1:34" x14ac:dyDescent="0.25">
      <c r="A980" t="s">
        <v>37</v>
      </c>
      <c r="B980">
        <v>314304</v>
      </c>
      <c r="C980">
        <v>26307933</v>
      </c>
      <c r="D980" s="1" t="s">
        <v>1292</v>
      </c>
      <c r="E980" t="s">
        <v>1293</v>
      </c>
      <c r="F980" t="s">
        <v>1046</v>
      </c>
      <c r="G980">
        <v>20151029</v>
      </c>
      <c r="H980">
        <v>20160102</v>
      </c>
      <c r="I980" t="s">
        <v>36</v>
      </c>
      <c r="L980" t="s">
        <v>34</v>
      </c>
      <c r="M980" t="s">
        <v>34</v>
      </c>
      <c r="N980" t="s">
        <v>35</v>
      </c>
      <c r="O980" t="s">
        <v>35</v>
      </c>
      <c r="P980" t="s">
        <v>35</v>
      </c>
      <c r="Q980" t="s">
        <v>35</v>
      </c>
      <c r="R980" t="s">
        <v>35</v>
      </c>
      <c r="S980" t="s">
        <v>34</v>
      </c>
      <c r="AD980">
        <v>20170124</v>
      </c>
      <c r="AF980" t="str">
        <f>IFERROR(VLOOKUP(RIGHT(TblFeedFile1[[#This Row],[Leave Type ]],6),LkupPayType[],2,FALSE),"TBD")</f>
        <v>TBD</v>
      </c>
      <c r="AG980" t="str">
        <f>IFERROR(VLOOKUP(TblFeedFile1[[#This Row],[ Report Number ]],LkupPayrollCycle[],2,FALSE),"TBD")</f>
        <v>Bi-Weekly</v>
      </c>
      <c r="AH980" t="str">
        <f>IF(TblFeedFile1[[#This Row],[Return to Work Date ]]="","","Y")</f>
        <v/>
      </c>
    </row>
    <row r="981" spans="1:34" x14ac:dyDescent="0.25">
      <c r="A981" t="s">
        <v>37</v>
      </c>
      <c r="B981">
        <v>314305</v>
      </c>
      <c r="C981">
        <v>26317002</v>
      </c>
      <c r="D981" s="1" t="s">
        <v>1294</v>
      </c>
      <c r="E981" t="s">
        <v>1219</v>
      </c>
      <c r="F981" t="s">
        <v>1295</v>
      </c>
      <c r="G981">
        <v>20170122</v>
      </c>
      <c r="H981">
        <v>20170122</v>
      </c>
      <c r="I981" t="s">
        <v>33</v>
      </c>
      <c r="L981" t="s">
        <v>34</v>
      </c>
      <c r="M981" t="s">
        <v>34</v>
      </c>
      <c r="N981" t="s">
        <v>35</v>
      </c>
      <c r="O981" t="s">
        <v>35</v>
      </c>
      <c r="P981" t="s">
        <v>35</v>
      </c>
      <c r="Q981" t="s">
        <v>35</v>
      </c>
      <c r="R981" t="s">
        <v>35</v>
      </c>
      <c r="S981" t="s">
        <v>34</v>
      </c>
      <c r="AC981" t="s">
        <v>35</v>
      </c>
      <c r="AD981">
        <v>20170124</v>
      </c>
      <c r="AF981" t="str">
        <f>IFERROR(VLOOKUP(RIGHT(TblFeedFile1[[#This Row],[Leave Type ]],6),LkupPayType[],2,FALSE),"TBD")</f>
        <v>TBD</v>
      </c>
      <c r="AG981" t="str">
        <f>IFERROR(VLOOKUP(TblFeedFile1[[#This Row],[ Report Number ]],LkupPayrollCycle[],2,FALSE),"TBD")</f>
        <v>Bi-Weekly</v>
      </c>
      <c r="AH981" t="str">
        <f>IF(TblFeedFile1[[#This Row],[Return to Work Date ]]="","","Y")</f>
        <v/>
      </c>
    </row>
    <row r="982" spans="1:34" x14ac:dyDescent="0.25">
      <c r="A982" t="s">
        <v>37</v>
      </c>
      <c r="B982">
        <v>314304</v>
      </c>
      <c r="C982">
        <v>26323595</v>
      </c>
      <c r="D982" s="1">
        <v>571701178097</v>
      </c>
      <c r="E982" t="s">
        <v>1296</v>
      </c>
      <c r="F982" t="s">
        <v>1297</v>
      </c>
      <c r="G982">
        <v>20170117</v>
      </c>
      <c r="H982">
        <v>20170327</v>
      </c>
      <c r="I982" t="s">
        <v>53</v>
      </c>
      <c r="L982" t="s">
        <v>34</v>
      </c>
      <c r="M982" t="s">
        <v>34</v>
      </c>
      <c r="N982" t="s">
        <v>35</v>
      </c>
      <c r="O982" t="s">
        <v>35</v>
      </c>
      <c r="P982" t="s">
        <v>35</v>
      </c>
      <c r="Q982" t="s">
        <v>35</v>
      </c>
      <c r="R982" t="s">
        <v>35</v>
      </c>
      <c r="S982" t="s">
        <v>34</v>
      </c>
      <c r="AD982">
        <v>20170124</v>
      </c>
      <c r="AF982" t="str">
        <f>IFERROR(VLOOKUP(RIGHT(TblFeedFile1[[#This Row],[Leave Type ]],6),LkupPayType[],2,FALSE),"TBD")</f>
        <v>TBD</v>
      </c>
      <c r="AG982" t="str">
        <f>IFERROR(VLOOKUP(TblFeedFile1[[#This Row],[ Report Number ]],LkupPayrollCycle[],2,FALSE),"TBD")</f>
        <v>Bi-Weekly</v>
      </c>
      <c r="AH982" t="str">
        <f>IF(TblFeedFile1[[#This Row],[Return to Work Date ]]="","","Y")</f>
        <v/>
      </c>
    </row>
    <row r="983" spans="1:34" x14ac:dyDescent="0.25">
      <c r="A983" t="s">
        <v>37</v>
      </c>
      <c r="B983">
        <v>314304</v>
      </c>
      <c r="C983">
        <v>26323595</v>
      </c>
      <c r="D983" s="1">
        <v>571701178097</v>
      </c>
      <c r="E983" t="s">
        <v>1296</v>
      </c>
      <c r="F983" t="s">
        <v>1297</v>
      </c>
      <c r="G983">
        <v>20170124</v>
      </c>
      <c r="H983">
        <v>20170327</v>
      </c>
      <c r="I983" t="s">
        <v>40</v>
      </c>
      <c r="L983" t="s">
        <v>34</v>
      </c>
      <c r="M983" t="s">
        <v>34</v>
      </c>
      <c r="N983" t="s">
        <v>35</v>
      </c>
      <c r="O983" t="s">
        <v>35</v>
      </c>
      <c r="P983" t="s">
        <v>35</v>
      </c>
      <c r="Q983" t="s">
        <v>35</v>
      </c>
      <c r="R983" t="s">
        <v>35</v>
      </c>
      <c r="S983" t="s">
        <v>34</v>
      </c>
      <c r="AD983">
        <v>20170124</v>
      </c>
      <c r="AF983" t="str">
        <f>IFERROR(VLOOKUP(RIGHT(TblFeedFile1[[#This Row],[Leave Type ]],6),LkupPayType[],2,FALSE),"TBD")</f>
        <v>TBD</v>
      </c>
      <c r="AG983" t="str">
        <f>IFERROR(VLOOKUP(TblFeedFile1[[#This Row],[ Report Number ]],LkupPayrollCycle[],2,FALSE),"TBD")</f>
        <v>Bi-Weekly</v>
      </c>
      <c r="AH983" t="str">
        <f>IF(TblFeedFile1[[#This Row],[Return to Work Date ]]="","","Y")</f>
        <v/>
      </c>
    </row>
    <row r="984" spans="1:34" x14ac:dyDescent="0.25">
      <c r="A984" t="s">
        <v>29</v>
      </c>
      <c r="B984">
        <v>314304</v>
      </c>
      <c r="C984">
        <v>26333319</v>
      </c>
      <c r="D984" s="1">
        <v>551701138815</v>
      </c>
      <c r="E984" t="s">
        <v>313</v>
      </c>
      <c r="F984" t="s">
        <v>1298</v>
      </c>
      <c r="G984">
        <v>20170110</v>
      </c>
      <c r="H984">
        <v>20170119</v>
      </c>
      <c r="I984" t="s">
        <v>40</v>
      </c>
      <c r="L984" t="s">
        <v>34</v>
      </c>
      <c r="M984" t="s">
        <v>34</v>
      </c>
      <c r="N984" t="s">
        <v>35</v>
      </c>
      <c r="O984" t="s">
        <v>35</v>
      </c>
      <c r="P984" t="s">
        <v>35</v>
      </c>
      <c r="Q984" t="s">
        <v>35</v>
      </c>
      <c r="R984" t="s">
        <v>35</v>
      </c>
      <c r="S984" t="s">
        <v>34</v>
      </c>
      <c r="AD984">
        <v>20170124</v>
      </c>
      <c r="AF984" t="str">
        <f>IFERROR(VLOOKUP(RIGHT(TblFeedFile1[[#This Row],[Leave Type ]],6),LkupPayType[],2,FALSE),"TBD")</f>
        <v>TBD</v>
      </c>
      <c r="AG984" t="str">
        <f>IFERROR(VLOOKUP(TblFeedFile1[[#This Row],[ Report Number ]],LkupPayrollCycle[],2,FALSE),"TBD")</f>
        <v>Bi-Weekly</v>
      </c>
      <c r="AH984" t="str">
        <f>IF(TblFeedFile1[[#This Row],[Return to Work Date ]]="","","Y")</f>
        <v/>
      </c>
    </row>
    <row r="985" spans="1:34" x14ac:dyDescent="0.25">
      <c r="A985" t="s">
        <v>37</v>
      </c>
      <c r="B985">
        <v>314304</v>
      </c>
      <c r="C985">
        <v>26333319</v>
      </c>
      <c r="D985" s="1" t="s">
        <v>1299</v>
      </c>
      <c r="E985" t="s">
        <v>313</v>
      </c>
      <c r="F985" t="s">
        <v>1298</v>
      </c>
      <c r="G985">
        <v>20170117</v>
      </c>
      <c r="H985">
        <v>20170119</v>
      </c>
      <c r="I985" t="s">
        <v>78</v>
      </c>
      <c r="K985" t="s">
        <v>79</v>
      </c>
      <c r="L985" t="s">
        <v>34</v>
      </c>
      <c r="M985" t="s">
        <v>34</v>
      </c>
      <c r="N985" t="s">
        <v>35</v>
      </c>
      <c r="O985" t="s">
        <v>35</v>
      </c>
      <c r="P985" t="s">
        <v>35</v>
      </c>
      <c r="Q985" t="s">
        <v>35</v>
      </c>
      <c r="R985" t="s">
        <v>35</v>
      </c>
      <c r="S985" t="s">
        <v>34</v>
      </c>
      <c r="AD985">
        <v>20170124</v>
      </c>
      <c r="AF985" t="str">
        <f>IFERROR(VLOOKUP(RIGHT(TblFeedFile1[[#This Row],[Leave Type ]],6),LkupPayType[],2,FALSE),"TBD")</f>
        <v>TBD</v>
      </c>
      <c r="AG985" t="str">
        <f>IFERROR(VLOOKUP(TblFeedFile1[[#This Row],[ Report Number ]],LkupPayrollCycle[],2,FALSE),"TBD")</f>
        <v>Bi-Weekly</v>
      </c>
      <c r="AH985" t="str">
        <f>IF(TblFeedFile1[[#This Row],[Return to Work Date ]]="","","Y")</f>
        <v/>
      </c>
    </row>
    <row r="986" spans="1:34" x14ac:dyDescent="0.25">
      <c r="A986" t="s">
        <v>37</v>
      </c>
      <c r="B986">
        <v>314304</v>
      </c>
      <c r="C986">
        <v>26333319</v>
      </c>
      <c r="D986" s="1">
        <v>551701138815</v>
      </c>
      <c r="E986" t="s">
        <v>313</v>
      </c>
      <c r="F986" t="s">
        <v>1298</v>
      </c>
      <c r="G986">
        <v>20170118</v>
      </c>
      <c r="H986">
        <v>20170119</v>
      </c>
      <c r="I986" t="s">
        <v>40</v>
      </c>
      <c r="L986" t="s">
        <v>34</v>
      </c>
      <c r="M986" t="s">
        <v>34</v>
      </c>
      <c r="N986" t="s">
        <v>35</v>
      </c>
      <c r="O986" t="s">
        <v>35</v>
      </c>
      <c r="P986" t="s">
        <v>35</v>
      </c>
      <c r="Q986" t="s">
        <v>35</v>
      </c>
      <c r="R986" t="s">
        <v>35</v>
      </c>
      <c r="S986" t="s">
        <v>34</v>
      </c>
      <c r="AD986">
        <v>20170124</v>
      </c>
      <c r="AF986" t="str">
        <f>IFERROR(VLOOKUP(RIGHT(TblFeedFile1[[#This Row],[Leave Type ]],6),LkupPayType[],2,FALSE),"TBD")</f>
        <v>TBD</v>
      </c>
      <c r="AG986" t="str">
        <f>IFERROR(VLOOKUP(TblFeedFile1[[#This Row],[ Report Number ]],LkupPayrollCycle[],2,FALSE),"TBD")</f>
        <v>Bi-Weekly</v>
      </c>
      <c r="AH986" t="str">
        <f>IF(TblFeedFile1[[#This Row],[Return to Work Date ]]="","","Y")</f>
        <v/>
      </c>
    </row>
    <row r="987" spans="1:34" x14ac:dyDescent="0.25">
      <c r="A987" t="s">
        <v>37</v>
      </c>
      <c r="B987">
        <v>164332</v>
      </c>
      <c r="C987">
        <v>26351267</v>
      </c>
      <c r="D987" s="1">
        <v>541701238224</v>
      </c>
      <c r="E987" t="s">
        <v>1300</v>
      </c>
      <c r="F987" t="s">
        <v>1301</v>
      </c>
      <c r="G987">
        <v>20170113</v>
      </c>
      <c r="H987">
        <v>20170123</v>
      </c>
      <c r="I987" t="s">
        <v>78</v>
      </c>
      <c r="K987" t="s">
        <v>79</v>
      </c>
      <c r="L987" t="s">
        <v>34</v>
      </c>
      <c r="M987" t="s">
        <v>34</v>
      </c>
      <c r="N987" t="s">
        <v>35</v>
      </c>
      <c r="O987" t="s">
        <v>35</v>
      </c>
      <c r="P987" t="s">
        <v>35</v>
      </c>
      <c r="Q987" t="s">
        <v>35</v>
      </c>
      <c r="R987" t="s">
        <v>35</v>
      </c>
      <c r="S987" t="s">
        <v>34</v>
      </c>
      <c r="AD987">
        <v>20170124</v>
      </c>
      <c r="AF987" t="str">
        <f>IFERROR(VLOOKUP(RIGHT(TblFeedFile1[[#This Row],[Leave Type ]],6),LkupPayType[],2,FALSE),"TBD")</f>
        <v>TBD</v>
      </c>
      <c r="AG987" t="str">
        <f>IFERROR(VLOOKUP(TblFeedFile1[[#This Row],[ Report Number ]],LkupPayrollCycle[],2,FALSE),"TBD")</f>
        <v>Semi-Monthly</v>
      </c>
      <c r="AH987" t="str">
        <f>IF(TblFeedFile1[[#This Row],[Return to Work Date ]]="","","Y")</f>
        <v/>
      </c>
    </row>
    <row r="988" spans="1:34" x14ac:dyDescent="0.25">
      <c r="A988" t="s">
        <v>37</v>
      </c>
      <c r="B988">
        <v>314304</v>
      </c>
      <c r="C988">
        <v>26351267</v>
      </c>
      <c r="D988" s="1" t="s">
        <v>1302</v>
      </c>
      <c r="E988" t="s">
        <v>1300</v>
      </c>
      <c r="F988" t="s">
        <v>1301</v>
      </c>
      <c r="G988">
        <v>20170117</v>
      </c>
      <c r="H988">
        <v>20170123</v>
      </c>
      <c r="I988" t="s">
        <v>78</v>
      </c>
      <c r="K988" t="s">
        <v>79</v>
      </c>
      <c r="L988" t="s">
        <v>34</v>
      </c>
      <c r="M988" t="s">
        <v>34</v>
      </c>
      <c r="N988" t="s">
        <v>35</v>
      </c>
      <c r="O988" t="s">
        <v>35</v>
      </c>
      <c r="P988" t="s">
        <v>35</v>
      </c>
      <c r="Q988" t="s">
        <v>35</v>
      </c>
      <c r="R988" t="s">
        <v>35</v>
      </c>
      <c r="S988" t="s">
        <v>34</v>
      </c>
      <c r="AD988">
        <v>20170124</v>
      </c>
      <c r="AF988" t="str">
        <f>IFERROR(VLOOKUP(RIGHT(TblFeedFile1[[#This Row],[Leave Type ]],6),LkupPayType[],2,FALSE),"TBD")</f>
        <v>TBD</v>
      </c>
      <c r="AG988" t="str">
        <f>IFERROR(VLOOKUP(TblFeedFile1[[#This Row],[ Report Number ]],LkupPayrollCycle[],2,FALSE),"TBD")</f>
        <v>Bi-Weekly</v>
      </c>
      <c r="AH988" t="str">
        <f>IF(TblFeedFile1[[#This Row],[Return to Work Date ]]="","","Y")</f>
        <v/>
      </c>
    </row>
    <row r="989" spans="1:34" x14ac:dyDescent="0.25">
      <c r="A989" t="s">
        <v>37</v>
      </c>
      <c r="B989">
        <v>314304</v>
      </c>
      <c r="C989">
        <v>26351267</v>
      </c>
      <c r="D989" s="1" t="s">
        <v>1302</v>
      </c>
      <c r="E989" t="s">
        <v>1300</v>
      </c>
      <c r="F989" t="s">
        <v>1301</v>
      </c>
      <c r="G989">
        <v>20170124</v>
      </c>
      <c r="H989">
        <v>20170124</v>
      </c>
      <c r="I989" t="s">
        <v>33</v>
      </c>
      <c r="L989" t="s">
        <v>34</v>
      </c>
      <c r="M989" t="s">
        <v>34</v>
      </c>
      <c r="N989" t="s">
        <v>35</v>
      </c>
      <c r="O989" t="s">
        <v>35</v>
      </c>
      <c r="P989" t="s">
        <v>35</v>
      </c>
      <c r="Q989" t="s">
        <v>35</v>
      </c>
      <c r="R989" t="s">
        <v>35</v>
      </c>
      <c r="S989" t="s">
        <v>34</v>
      </c>
      <c r="AD989">
        <v>20170124</v>
      </c>
      <c r="AF989" t="str">
        <f>IFERROR(VLOOKUP(RIGHT(TblFeedFile1[[#This Row],[Leave Type ]],6),LkupPayType[],2,FALSE),"TBD")</f>
        <v>TBD</v>
      </c>
      <c r="AG989" t="str">
        <f>IFERROR(VLOOKUP(TblFeedFile1[[#This Row],[ Report Number ]],LkupPayrollCycle[],2,FALSE),"TBD")</f>
        <v>Bi-Weekly</v>
      </c>
      <c r="AH989" t="str">
        <f>IF(TblFeedFile1[[#This Row],[Return to Work Date ]]="","","Y")</f>
        <v/>
      </c>
    </row>
    <row r="990" spans="1:34" x14ac:dyDescent="0.25">
      <c r="A990" t="s">
        <v>29</v>
      </c>
      <c r="B990">
        <v>314304</v>
      </c>
      <c r="C990">
        <v>26361792</v>
      </c>
      <c r="D990" s="1" t="s">
        <v>1303</v>
      </c>
      <c r="E990" t="s">
        <v>1235</v>
      </c>
      <c r="F990" t="s">
        <v>1304</v>
      </c>
      <c r="G990">
        <v>20120503</v>
      </c>
      <c r="H990">
        <v>20170616</v>
      </c>
      <c r="I990" t="s">
        <v>78</v>
      </c>
      <c r="L990" t="s">
        <v>34</v>
      </c>
      <c r="M990" t="s">
        <v>34</v>
      </c>
      <c r="N990" t="s">
        <v>35</v>
      </c>
      <c r="O990" t="s">
        <v>35</v>
      </c>
      <c r="P990" t="s">
        <v>35</v>
      </c>
      <c r="Q990" t="s">
        <v>35</v>
      </c>
      <c r="R990" t="s">
        <v>35</v>
      </c>
      <c r="S990" t="s">
        <v>34</v>
      </c>
      <c r="AC990" t="s">
        <v>35</v>
      </c>
      <c r="AD990">
        <v>20170124</v>
      </c>
      <c r="AF990" t="str">
        <f>IFERROR(VLOOKUP(RIGHT(TblFeedFile1[[#This Row],[Leave Type ]],6),LkupPayType[],2,FALSE),"TBD")</f>
        <v>TBD</v>
      </c>
      <c r="AG990" t="str">
        <f>IFERROR(VLOOKUP(TblFeedFile1[[#This Row],[ Report Number ]],LkupPayrollCycle[],2,FALSE),"TBD")</f>
        <v>Bi-Weekly</v>
      </c>
      <c r="AH990" t="str">
        <f>IF(TblFeedFile1[[#This Row],[Return to Work Date ]]="","","Y")</f>
        <v/>
      </c>
    </row>
    <row r="991" spans="1:34" x14ac:dyDescent="0.25">
      <c r="A991" t="s">
        <v>37</v>
      </c>
      <c r="B991">
        <v>314304</v>
      </c>
      <c r="C991">
        <v>26361792</v>
      </c>
      <c r="D991" s="1" t="s">
        <v>1303</v>
      </c>
      <c r="E991" t="s">
        <v>1235</v>
      </c>
      <c r="F991" t="s">
        <v>1304</v>
      </c>
      <c r="G991">
        <v>20120503</v>
      </c>
      <c r="H991">
        <v>20170616</v>
      </c>
      <c r="I991" t="s">
        <v>303</v>
      </c>
      <c r="L991" t="s">
        <v>34</v>
      </c>
      <c r="M991" t="s">
        <v>34</v>
      </c>
      <c r="N991" t="s">
        <v>35</v>
      </c>
      <c r="O991" t="s">
        <v>35</v>
      </c>
      <c r="P991" t="s">
        <v>35</v>
      </c>
      <c r="Q991" t="s">
        <v>35</v>
      </c>
      <c r="R991" t="s">
        <v>35</v>
      </c>
      <c r="S991" t="s">
        <v>34</v>
      </c>
      <c r="AC991" t="s">
        <v>35</v>
      </c>
      <c r="AD991">
        <v>20170124</v>
      </c>
      <c r="AF991" t="str">
        <f>IFERROR(VLOOKUP(RIGHT(TblFeedFile1[[#This Row],[Leave Type ]],6),LkupPayType[],2,FALSE),"TBD")</f>
        <v>TBD</v>
      </c>
      <c r="AG991" t="str">
        <f>IFERROR(VLOOKUP(TblFeedFile1[[#This Row],[ Report Number ]],LkupPayrollCycle[],2,FALSE),"TBD")</f>
        <v>Bi-Weekly</v>
      </c>
      <c r="AH991" t="str">
        <f>IF(TblFeedFile1[[#This Row],[Return to Work Date ]]="","","Y")</f>
        <v/>
      </c>
    </row>
    <row r="992" spans="1:34" x14ac:dyDescent="0.25">
      <c r="A992" t="s">
        <v>37</v>
      </c>
      <c r="B992">
        <v>314304</v>
      </c>
      <c r="C992">
        <v>26361792</v>
      </c>
      <c r="D992" s="1" t="s">
        <v>1303</v>
      </c>
      <c r="E992" t="s">
        <v>1235</v>
      </c>
      <c r="F992" t="s">
        <v>1304</v>
      </c>
      <c r="G992">
        <v>20120702</v>
      </c>
      <c r="H992">
        <v>20170616</v>
      </c>
      <c r="I992" t="s">
        <v>537</v>
      </c>
      <c r="L992" t="s">
        <v>34</v>
      </c>
      <c r="M992" t="s">
        <v>34</v>
      </c>
      <c r="N992" t="s">
        <v>35</v>
      </c>
      <c r="O992" t="s">
        <v>35</v>
      </c>
      <c r="P992" t="s">
        <v>35</v>
      </c>
      <c r="Q992" t="s">
        <v>35</v>
      </c>
      <c r="R992" t="s">
        <v>35</v>
      </c>
      <c r="S992" t="s">
        <v>34</v>
      </c>
      <c r="AC992" t="s">
        <v>35</v>
      </c>
      <c r="AD992">
        <v>20170124</v>
      </c>
      <c r="AF992" t="str">
        <f>IFERROR(VLOOKUP(RIGHT(TblFeedFile1[[#This Row],[Leave Type ]],6),LkupPayType[],2,FALSE),"TBD")</f>
        <v>TBD</v>
      </c>
      <c r="AG992" t="str">
        <f>IFERROR(VLOOKUP(TblFeedFile1[[#This Row],[ Report Number ]],LkupPayrollCycle[],2,FALSE),"TBD")</f>
        <v>Bi-Weekly</v>
      </c>
      <c r="AH992" t="str">
        <f>IF(TblFeedFile1[[#This Row],[Return to Work Date ]]="","","Y")</f>
        <v/>
      </c>
    </row>
    <row r="993" spans="1:34" x14ac:dyDescent="0.25">
      <c r="A993" t="s">
        <v>37</v>
      </c>
      <c r="B993">
        <v>314304</v>
      </c>
      <c r="C993">
        <v>26361792</v>
      </c>
      <c r="D993" s="1" t="s">
        <v>1303</v>
      </c>
      <c r="E993" t="s">
        <v>1235</v>
      </c>
      <c r="F993" t="s">
        <v>1304</v>
      </c>
      <c r="G993">
        <v>20140403</v>
      </c>
      <c r="H993">
        <v>20170616</v>
      </c>
      <c r="I993" t="s">
        <v>201</v>
      </c>
      <c r="L993" t="s">
        <v>34</v>
      </c>
      <c r="M993" t="s">
        <v>34</v>
      </c>
      <c r="N993" t="s">
        <v>35</v>
      </c>
      <c r="O993" t="s">
        <v>35</v>
      </c>
      <c r="P993" t="s">
        <v>35</v>
      </c>
      <c r="Q993" t="s">
        <v>35</v>
      </c>
      <c r="R993" t="s">
        <v>35</v>
      </c>
      <c r="S993" t="s">
        <v>34</v>
      </c>
      <c r="AC993" t="s">
        <v>35</v>
      </c>
      <c r="AD993">
        <v>20170124</v>
      </c>
      <c r="AF993" t="str">
        <f>IFERROR(VLOOKUP(RIGHT(TblFeedFile1[[#This Row],[Leave Type ]],6),LkupPayType[],2,FALSE),"TBD")</f>
        <v>TBD</v>
      </c>
      <c r="AG993" t="str">
        <f>IFERROR(VLOOKUP(TblFeedFile1[[#This Row],[ Report Number ]],LkupPayrollCycle[],2,FALSE),"TBD")</f>
        <v>Bi-Weekly</v>
      </c>
      <c r="AH993" t="str">
        <f>IF(TblFeedFile1[[#This Row],[Return to Work Date ]]="","","Y")</f>
        <v/>
      </c>
    </row>
    <row r="994" spans="1:34" x14ac:dyDescent="0.25">
      <c r="A994" t="s">
        <v>37</v>
      </c>
      <c r="B994">
        <v>314304</v>
      </c>
      <c r="C994">
        <v>26361798</v>
      </c>
      <c r="D994" s="1">
        <v>511701178929</v>
      </c>
      <c r="E994" t="s">
        <v>1305</v>
      </c>
      <c r="F994" t="s">
        <v>1306</v>
      </c>
      <c r="G994">
        <v>20170123</v>
      </c>
      <c r="H994">
        <v>20170203</v>
      </c>
      <c r="I994" t="s">
        <v>40</v>
      </c>
      <c r="L994" t="s">
        <v>34</v>
      </c>
      <c r="M994" t="s">
        <v>34</v>
      </c>
      <c r="N994" t="s">
        <v>35</v>
      </c>
      <c r="O994" t="s">
        <v>35</v>
      </c>
      <c r="P994" t="s">
        <v>35</v>
      </c>
      <c r="Q994" t="s">
        <v>35</v>
      </c>
      <c r="R994" t="s">
        <v>35</v>
      </c>
      <c r="S994" t="s">
        <v>34</v>
      </c>
      <c r="AD994">
        <v>20170124</v>
      </c>
      <c r="AF994" t="str">
        <f>IFERROR(VLOOKUP(RIGHT(TblFeedFile1[[#This Row],[Leave Type ]],6),LkupPayType[],2,FALSE),"TBD")</f>
        <v>TBD</v>
      </c>
      <c r="AG994" t="str">
        <f>IFERROR(VLOOKUP(TblFeedFile1[[#This Row],[ Report Number ]],LkupPayrollCycle[],2,FALSE),"TBD")</f>
        <v>Bi-Weekly</v>
      </c>
      <c r="AH994" t="str">
        <f>IF(TblFeedFile1[[#This Row],[Return to Work Date ]]="","","Y")</f>
        <v/>
      </c>
    </row>
    <row r="995" spans="1:34" x14ac:dyDescent="0.25">
      <c r="A995" t="s">
        <v>29</v>
      </c>
      <c r="B995">
        <v>314304</v>
      </c>
      <c r="C995">
        <v>26364200</v>
      </c>
      <c r="D995" s="1" t="s">
        <v>1307</v>
      </c>
      <c r="E995" t="s">
        <v>1308</v>
      </c>
      <c r="F995" t="s">
        <v>1309</v>
      </c>
      <c r="G995">
        <v>20170104</v>
      </c>
      <c r="H995">
        <v>20170404</v>
      </c>
      <c r="I995" t="s">
        <v>36</v>
      </c>
      <c r="L995" t="s">
        <v>34</v>
      </c>
      <c r="M995" t="s">
        <v>34</v>
      </c>
      <c r="N995" t="s">
        <v>35</v>
      </c>
      <c r="O995" t="s">
        <v>35</v>
      </c>
      <c r="P995" t="s">
        <v>35</v>
      </c>
      <c r="Q995" t="s">
        <v>35</v>
      </c>
      <c r="R995" t="s">
        <v>35</v>
      </c>
      <c r="S995" t="s">
        <v>34</v>
      </c>
      <c r="AD995">
        <v>20170124</v>
      </c>
      <c r="AF995" t="str">
        <f>IFERROR(VLOOKUP(RIGHT(TblFeedFile1[[#This Row],[Leave Type ]],6),LkupPayType[],2,FALSE),"TBD")</f>
        <v>TBD</v>
      </c>
      <c r="AG995" t="str">
        <f>IFERROR(VLOOKUP(TblFeedFile1[[#This Row],[ Report Number ]],LkupPayrollCycle[],2,FALSE),"TBD")</f>
        <v>Bi-Weekly</v>
      </c>
      <c r="AH995" t="str">
        <f>IF(TblFeedFile1[[#This Row],[Return to Work Date ]]="","","Y")</f>
        <v/>
      </c>
    </row>
    <row r="996" spans="1:34" x14ac:dyDescent="0.25">
      <c r="A996" t="s">
        <v>37</v>
      </c>
      <c r="B996">
        <v>314310</v>
      </c>
      <c r="C996">
        <v>26364200</v>
      </c>
      <c r="D996" s="1" t="s">
        <v>1307</v>
      </c>
      <c r="E996" t="s">
        <v>1308</v>
      </c>
      <c r="F996" t="s">
        <v>1309</v>
      </c>
      <c r="G996">
        <v>20170104</v>
      </c>
      <c r="H996">
        <v>20170320</v>
      </c>
      <c r="I996" t="s">
        <v>36</v>
      </c>
      <c r="L996" t="s">
        <v>34</v>
      </c>
      <c r="M996" t="s">
        <v>34</v>
      </c>
      <c r="N996" t="s">
        <v>35</v>
      </c>
      <c r="O996" t="s">
        <v>35</v>
      </c>
      <c r="P996" t="s">
        <v>35</v>
      </c>
      <c r="Q996" t="s">
        <v>35</v>
      </c>
      <c r="R996" t="s">
        <v>35</v>
      </c>
      <c r="S996" t="s">
        <v>34</v>
      </c>
      <c r="AD996">
        <v>20170124</v>
      </c>
      <c r="AF996" t="str">
        <f>IFERROR(VLOOKUP(RIGHT(TblFeedFile1[[#This Row],[Leave Type ]],6),LkupPayType[],2,FALSE),"TBD")</f>
        <v>TBD</v>
      </c>
      <c r="AG996" t="str">
        <f>IFERROR(VLOOKUP(TblFeedFile1[[#This Row],[ Report Number ]],LkupPayrollCycle[],2,FALSE),"TBD")</f>
        <v>Bi-Weekly</v>
      </c>
      <c r="AH996" t="str">
        <f>IF(TblFeedFile1[[#This Row],[Return to Work Date ]]="","","Y")</f>
        <v/>
      </c>
    </row>
    <row r="997" spans="1:34" x14ac:dyDescent="0.25">
      <c r="A997" t="s">
        <v>29</v>
      </c>
      <c r="B997">
        <v>314304</v>
      </c>
      <c r="C997">
        <v>26366745</v>
      </c>
      <c r="D997" s="1">
        <v>501701068560</v>
      </c>
      <c r="E997" t="s">
        <v>1112</v>
      </c>
      <c r="F997" t="s">
        <v>1310</v>
      </c>
      <c r="G997">
        <v>20170116</v>
      </c>
      <c r="H997">
        <v>20170130</v>
      </c>
      <c r="I997" t="s">
        <v>40</v>
      </c>
      <c r="L997" t="s">
        <v>34</v>
      </c>
      <c r="M997" t="s">
        <v>34</v>
      </c>
      <c r="N997" t="s">
        <v>35</v>
      </c>
      <c r="O997" t="s">
        <v>35</v>
      </c>
      <c r="P997" t="s">
        <v>35</v>
      </c>
      <c r="Q997" t="s">
        <v>35</v>
      </c>
      <c r="R997" t="s">
        <v>35</v>
      </c>
      <c r="S997" t="s">
        <v>34</v>
      </c>
      <c r="AD997">
        <v>20170124</v>
      </c>
      <c r="AF997" t="str">
        <f>IFERROR(VLOOKUP(RIGHT(TblFeedFile1[[#This Row],[Leave Type ]],6),LkupPayType[],2,FALSE),"TBD")</f>
        <v>TBD</v>
      </c>
      <c r="AG997" t="str">
        <f>IFERROR(VLOOKUP(TblFeedFile1[[#This Row],[ Report Number ]],LkupPayrollCycle[],2,FALSE),"TBD")</f>
        <v>Bi-Weekly</v>
      </c>
      <c r="AH997" t="str">
        <f>IF(TblFeedFile1[[#This Row],[Return to Work Date ]]="","","Y")</f>
        <v/>
      </c>
    </row>
    <row r="998" spans="1:34" x14ac:dyDescent="0.25">
      <c r="A998" t="s">
        <v>37</v>
      </c>
      <c r="B998">
        <v>314304</v>
      </c>
      <c r="C998">
        <v>26366745</v>
      </c>
      <c r="D998" s="1">
        <v>501701068560</v>
      </c>
      <c r="E998" t="s">
        <v>1112</v>
      </c>
      <c r="F998" t="s">
        <v>1310</v>
      </c>
      <c r="G998">
        <v>20170116</v>
      </c>
      <c r="H998">
        <v>20170127</v>
      </c>
      <c r="I998" t="s">
        <v>40</v>
      </c>
      <c r="L998" t="s">
        <v>34</v>
      </c>
      <c r="M998" t="s">
        <v>34</v>
      </c>
      <c r="N998" t="s">
        <v>35</v>
      </c>
      <c r="O998" t="s">
        <v>35</v>
      </c>
      <c r="P998" t="s">
        <v>35</v>
      </c>
      <c r="Q998" t="s">
        <v>35</v>
      </c>
      <c r="R998" t="s">
        <v>35</v>
      </c>
      <c r="S998" t="s">
        <v>34</v>
      </c>
      <c r="AD998">
        <v>20170124</v>
      </c>
      <c r="AF998" t="str">
        <f>IFERROR(VLOOKUP(RIGHT(TblFeedFile1[[#This Row],[Leave Type ]],6),LkupPayType[],2,FALSE),"TBD")</f>
        <v>TBD</v>
      </c>
      <c r="AG998" t="str">
        <f>IFERROR(VLOOKUP(TblFeedFile1[[#This Row],[ Report Number ]],LkupPayrollCycle[],2,FALSE),"TBD")</f>
        <v>Bi-Weekly</v>
      </c>
      <c r="AH998" t="str">
        <f>IF(TblFeedFile1[[#This Row],[Return to Work Date ]]="","","Y")</f>
        <v/>
      </c>
    </row>
    <row r="999" spans="1:34" x14ac:dyDescent="0.25">
      <c r="A999" t="s">
        <v>29</v>
      </c>
      <c r="B999">
        <v>314304</v>
      </c>
      <c r="C999">
        <v>26368087</v>
      </c>
      <c r="D999" s="1">
        <v>501701188408</v>
      </c>
      <c r="E999" t="s">
        <v>1311</v>
      </c>
      <c r="F999" t="s">
        <v>852</v>
      </c>
      <c r="G999">
        <v>20170110</v>
      </c>
      <c r="H999">
        <v>20170210</v>
      </c>
      <c r="I999" t="s">
        <v>53</v>
      </c>
      <c r="L999" t="s">
        <v>34</v>
      </c>
      <c r="M999" t="s">
        <v>34</v>
      </c>
      <c r="N999" t="s">
        <v>35</v>
      </c>
      <c r="O999" t="s">
        <v>35</v>
      </c>
      <c r="P999" t="s">
        <v>35</v>
      </c>
      <c r="Q999" t="s">
        <v>35</v>
      </c>
      <c r="R999" t="s">
        <v>35</v>
      </c>
      <c r="S999" t="s">
        <v>34</v>
      </c>
      <c r="X999" t="s">
        <v>35</v>
      </c>
      <c r="AD999">
        <v>20170124</v>
      </c>
      <c r="AF999" t="str">
        <f>IFERROR(VLOOKUP(RIGHT(TblFeedFile1[[#This Row],[Leave Type ]],6),LkupPayType[],2,FALSE),"TBD")</f>
        <v>TBD</v>
      </c>
      <c r="AG999" t="str">
        <f>IFERROR(VLOOKUP(TblFeedFile1[[#This Row],[ Report Number ]],LkupPayrollCycle[],2,FALSE),"TBD")</f>
        <v>Bi-Weekly</v>
      </c>
      <c r="AH999" t="str">
        <f>IF(TblFeedFile1[[#This Row],[Return to Work Date ]]="","","Y")</f>
        <v/>
      </c>
    </row>
    <row r="1000" spans="1:34" x14ac:dyDescent="0.25">
      <c r="A1000" t="s">
        <v>29</v>
      </c>
      <c r="B1000">
        <v>314305</v>
      </c>
      <c r="C1000">
        <v>26382043</v>
      </c>
      <c r="D1000" s="1" t="s">
        <v>1312</v>
      </c>
      <c r="E1000" t="s">
        <v>1313</v>
      </c>
      <c r="F1000" t="s">
        <v>896</v>
      </c>
      <c r="G1000">
        <v>20160927</v>
      </c>
      <c r="H1000">
        <v>20170107</v>
      </c>
      <c r="I1000" t="s">
        <v>155</v>
      </c>
      <c r="L1000" t="s">
        <v>34</v>
      </c>
      <c r="M1000" t="s">
        <v>34</v>
      </c>
      <c r="N1000" t="s">
        <v>35</v>
      </c>
      <c r="O1000" t="s">
        <v>35</v>
      </c>
      <c r="P1000" t="s">
        <v>35</v>
      </c>
      <c r="Q1000" t="s">
        <v>35</v>
      </c>
      <c r="R1000" t="s">
        <v>35</v>
      </c>
      <c r="S1000" t="s">
        <v>34</v>
      </c>
      <c r="AC1000" t="s">
        <v>35</v>
      </c>
      <c r="AD1000">
        <v>20170124</v>
      </c>
      <c r="AF1000" t="str">
        <f>IFERROR(VLOOKUP(RIGHT(TblFeedFile1[[#This Row],[Leave Type ]],6),LkupPayType[],2,FALSE),"TBD")</f>
        <v>TBD</v>
      </c>
      <c r="AG1000" t="str">
        <f>IFERROR(VLOOKUP(TblFeedFile1[[#This Row],[ Report Number ]],LkupPayrollCycle[],2,FALSE),"TBD")</f>
        <v>Bi-Weekly</v>
      </c>
      <c r="AH1000" t="str">
        <f>IF(TblFeedFile1[[#This Row],[Return to Work Date ]]="","","Y")</f>
        <v/>
      </c>
    </row>
    <row r="1001" spans="1:34" x14ac:dyDescent="0.25">
      <c r="A1001" t="s">
        <v>29</v>
      </c>
      <c r="B1001">
        <v>314304</v>
      </c>
      <c r="C1001">
        <v>26382555</v>
      </c>
      <c r="D1001" s="1" t="s">
        <v>1314</v>
      </c>
      <c r="E1001" t="s">
        <v>1315</v>
      </c>
      <c r="F1001" t="s">
        <v>589</v>
      </c>
      <c r="G1001">
        <v>20170112</v>
      </c>
      <c r="H1001">
        <v>20170112</v>
      </c>
      <c r="I1001" t="s">
        <v>33</v>
      </c>
      <c r="L1001" t="s">
        <v>34</v>
      </c>
      <c r="M1001" t="s">
        <v>35</v>
      </c>
      <c r="N1001" t="s">
        <v>35</v>
      </c>
      <c r="O1001" t="s">
        <v>35</v>
      </c>
      <c r="P1001" t="s">
        <v>35</v>
      </c>
      <c r="Q1001" t="s">
        <v>35</v>
      </c>
      <c r="R1001" t="s">
        <v>35</v>
      </c>
      <c r="S1001" t="s">
        <v>34</v>
      </c>
      <c r="AD1001">
        <v>20170124</v>
      </c>
      <c r="AF1001" t="str">
        <f>IFERROR(VLOOKUP(RIGHT(TblFeedFile1[[#This Row],[Leave Type ]],6),LkupPayType[],2,FALSE),"TBD")</f>
        <v>TBD</v>
      </c>
      <c r="AG1001" t="str">
        <f>IFERROR(VLOOKUP(TblFeedFile1[[#This Row],[ Report Number ]],LkupPayrollCycle[],2,FALSE),"TBD")</f>
        <v>Bi-Weekly</v>
      </c>
      <c r="AH1001" t="str">
        <f>IF(TblFeedFile1[[#This Row],[Return to Work Date ]]="","","Y")</f>
        <v/>
      </c>
    </row>
    <row r="1002" spans="1:34" x14ac:dyDescent="0.25">
      <c r="A1002" t="s">
        <v>37</v>
      </c>
      <c r="B1002">
        <v>314304</v>
      </c>
      <c r="C1002">
        <v>26382555</v>
      </c>
      <c r="D1002" s="1" t="s">
        <v>1314</v>
      </c>
      <c r="E1002" t="s">
        <v>1315</v>
      </c>
      <c r="F1002" t="s">
        <v>589</v>
      </c>
      <c r="G1002">
        <v>20170112</v>
      </c>
      <c r="H1002">
        <v>20170112</v>
      </c>
      <c r="I1002" t="s">
        <v>33</v>
      </c>
      <c r="L1002" t="s">
        <v>34</v>
      </c>
      <c r="M1002" t="s">
        <v>34</v>
      </c>
      <c r="N1002" t="s">
        <v>35</v>
      </c>
      <c r="O1002" t="s">
        <v>35</v>
      </c>
      <c r="P1002" t="s">
        <v>35</v>
      </c>
      <c r="Q1002" t="s">
        <v>35</v>
      </c>
      <c r="R1002" t="s">
        <v>35</v>
      </c>
      <c r="S1002" t="s">
        <v>34</v>
      </c>
      <c r="AD1002">
        <v>20170124</v>
      </c>
      <c r="AF1002" t="str">
        <f>IFERROR(VLOOKUP(RIGHT(TblFeedFile1[[#This Row],[Leave Type ]],6),LkupPayType[],2,FALSE),"TBD")</f>
        <v>TBD</v>
      </c>
      <c r="AG1002" t="str">
        <f>IFERROR(VLOOKUP(TblFeedFile1[[#This Row],[ Report Number ]],LkupPayrollCycle[],2,FALSE),"TBD")</f>
        <v>Bi-Weekly</v>
      </c>
      <c r="AH1002" t="str">
        <f>IF(TblFeedFile1[[#This Row],[Return to Work Date ]]="","","Y")</f>
        <v/>
      </c>
    </row>
    <row r="1003" spans="1:34" x14ac:dyDescent="0.25">
      <c r="A1003" t="s">
        <v>29</v>
      </c>
      <c r="B1003">
        <v>314305</v>
      </c>
      <c r="C1003">
        <v>26387466</v>
      </c>
      <c r="D1003" s="1" t="s">
        <v>1316</v>
      </c>
      <c r="E1003" t="s">
        <v>1317</v>
      </c>
      <c r="F1003" t="s">
        <v>1318</v>
      </c>
      <c r="G1003">
        <v>20161031</v>
      </c>
      <c r="H1003">
        <v>20161031</v>
      </c>
      <c r="I1003" t="s">
        <v>43</v>
      </c>
      <c r="L1003" t="s">
        <v>34</v>
      </c>
      <c r="M1003" t="s">
        <v>34</v>
      </c>
      <c r="N1003" t="s">
        <v>35</v>
      </c>
      <c r="O1003" t="s">
        <v>35</v>
      </c>
      <c r="P1003" t="s">
        <v>35</v>
      </c>
      <c r="Q1003" t="s">
        <v>35</v>
      </c>
      <c r="R1003" t="s">
        <v>35</v>
      </c>
      <c r="S1003" t="s">
        <v>34</v>
      </c>
      <c r="AC1003" t="s">
        <v>35</v>
      </c>
      <c r="AD1003">
        <v>20170124</v>
      </c>
      <c r="AF1003" t="str">
        <f>IFERROR(VLOOKUP(RIGHT(TblFeedFile1[[#This Row],[Leave Type ]],6),LkupPayType[],2,FALSE),"TBD")</f>
        <v>TBD</v>
      </c>
      <c r="AG1003" t="str">
        <f>IFERROR(VLOOKUP(TblFeedFile1[[#This Row],[ Report Number ]],LkupPayrollCycle[],2,FALSE),"TBD")</f>
        <v>Bi-Weekly</v>
      </c>
      <c r="AH1003" t="str">
        <f>IF(TblFeedFile1[[#This Row],[Return to Work Date ]]="","","Y")</f>
        <v/>
      </c>
    </row>
    <row r="1004" spans="1:34" x14ac:dyDescent="0.25">
      <c r="A1004" t="s">
        <v>37</v>
      </c>
      <c r="B1004">
        <v>314305</v>
      </c>
      <c r="C1004">
        <v>26387466</v>
      </c>
      <c r="D1004" s="1" t="s">
        <v>1316</v>
      </c>
      <c r="E1004" t="s">
        <v>1317</v>
      </c>
      <c r="F1004" t="s">
        <v>1318</v>
      </c>
      <c r="G1004">
        <v>20161031</v>
      </c>
      <c r="H1004">
        <v>20170110</v>
      </c>
      <c r="I1004" t="s">
        <v>49</v>
      </c>
      <c r="L1004" t="s">
        <v>34</v>
      </c>
      <c r="M1004" t="s">
        <v>34</v>
      </c>
      <c r="N1004" t="s">
        <v>35</v>
      </c>
      <c r="O1004" t="s">
        <v>35</v>
      </c>
      <c r="P1004" t="s">
        <v>35</v>
      </c>
      <c r="Q1004" t="s">
        <v>35</v>
      </c>
      <c r="R1004" t="s">
        <v>35</v>
      </c>
      <c r="S1004" t="s">
        <v>34</v>
      </c>
      <c r="AC1004" t="s">
        <v>35</v>
      </c>
      <c r="AD1004">
        <v>20170124</v>
      </c>
      <c r="AF1004" t="str">
        <f>IFERROR(VLOOKUP(RIGHT(TblFeedFile1[[#This Row],[Leave Type ]],6),LkupPayType[],2,FALSE),"TBD")</f>
        <v>TBD</v>
      </c>
      <c r="AG1004" t="str">
        <f>IFERROR(VLOOKUP(TblFeedFile1[[#This Row],[ Report Number ]],LkupPayrollCycle[],2,FALSE),"TBD")</f>
        <v>Bi-Weekly</v>
      </c>
      <c r="AH1004" t="str">
        <f>IF(TblFeedFile1[[#This Row],[Return to Work Date ]]="","","Y")</f>
        <v/>
      </c>
    </row>
    <row r="1005" spans="1:34" x14ac:dyDescent="0.25">
      <c r="A1005" t="s">
        <v>37</v>
      </c>
      <c r="B1005">
        <v>314305</v>
      </c>
      <c r="C1005">
        <v>26387466</v>
      </c>
      <c r="D1005" s="1" t="s">
        <v>1316</v>
      </c>
      <c r="E1005" t="s">
        <v>1317</v>
      </c>
      <c r="F1005" t="s">
        <v>1318</v>
      </c>
      <c r="G1005">
        <v>20170111</v>
      </c>
      <c r="H1005">
        <v>20170111</v>
      </c>
      <c r="I1005" t="s">
        <v>33</v>
      </c>
      <c r="L1005" t="s">
        <v>34</v>
      </c>
      <c r="M1005" t="s">
        <v>34</v>
      </c>
      <c r="N1005" t="s">
        <v>35</v>
      </c>
      <c r="O1005" t="s">
        <v>35</v>
      </c>
      <c r="P1005" t="s">
        <v>35</v>
      </c>
      <c r="Q1005" t="s">
        <v>35</v>
      </c>
      <c r="R1005" t="s">
        <v>35</v>
      </c>
      <c r="S1005" t="s">
        <v>34</v>
      </c>
      <c r="AC1005" t="s">
        <v>35</v>
      </c>
      <c r="AD1005">
        <v>20170124</v>
      </c>
      <c r="AF1005" t="str">
        <f>IFERROR(VLOOKUP(RIGHT(TblFeedFile1[[#This Row],[Leave Type ]],6),LkupPayType[],2,FALSE),"TBD")</f>
        <v>TBD</v>
      </c>
      <c r="AG1005" t="str">
        <f>IFERROR(VLOOKUP(TblFeedFile1[[#This Row],[ Report Number ]],LkupPayrollCycle[],2,FALSE),"TBD")</f>
        <v>Bi-Weekly</v>
      </c>
      <c r="AH1005" t="str">
        <f>IF(TblFeedFile1[[#This Row],[Return to Work Date ]]="","","Y")</f>
        <v/>
      </c>
    </row>
    <row r="1006" spans="1:34" x14ac:dyDescent="0.25">
      <c r="A1006" t="s">
        <v>37</v>
      </c>
      <c r="B1006">
        <v>314301</v>
      </c>
      <c r="C1006">
        <v>26395476</v>
      </c>
      <c r="D1006" s="1" t="s">
        <v>1319</v>
      </c>
      <c r="E1006" t="s">
        <v>1320</v>
      </c>
      <c r="F1006" t="s">
        <v>305</v>
      </c>
      <c r="G1006">
        <v>20170125</v>
      </c>
      <c r="H1006">
        <v>20170517</v>
      </c>
      <c r="I1006" t="s">
        <v>36</v>
      </c>
      <c r="L1006" t="s">
        <v>34</v>
      </c>
      <c r="M1006" t="s">
        <v>34</v>
      </c>
      <c r="N1006" t="s">
        <v>35</v>
      </c>
      <c r="O1006" t="s">
        <v>35</v>
      </c>
      <c r="P1006" t="s">
        <v>35</v>
      </c>
      <c r="Q1006" t="s">
        <v>35</v>
      </c>
      <c r="R1006" t="s">
        <v>35</v>
      </c>
      <c r="S1006" t="s">
        <v>34</v>
      </c>
      <c r="AD1006">
        <v>20170124</v>
      </c>
      <c r="AF1006" t="str">
        <f>IFERROR(VLOOKUP(RIGHT(TblFeedFile1[[#This Row],[Leave Type ]],6),LkupPayType[],2,FALSE),"TBD")</f>
        <v>TBD</v>
      </c>
      <c r="AG1006" t="str">
        <f>IFERROR(VLOOKUP(TblFeedFile1[[#This Row],[ Report Number ]],LkupPayrollCycle[],2,FALSE),"TBD")</f>
        <v>Semi-Monthly</v>
      </c>
      <c r="AH1006" t="str">
        <f>IF(TblFeedFile1[[#This Row],[Return to Work Date ]]="","","Y")</f>
        <v/>
      </c>
    </row>
    <row r="1007" spans="1:34" x14ac:dyDescent="0.25">
      <c r="A1007" t="s">
        <v>37</v>
      </c>
      <c r="B1007">
        <v>314304</v>
      </c>
      <c r="C1007">
        <v>26409129</v>
      </c>
      <c r="D1007" s="1" t="s">
        <v>1321</v>
      </c>
      <c r="E1007" t="s">
        <v>1322</v>
      </c>
      <c r="F1007" t="s">
        <v>1323</v>
      </c>
      <c r="G1007">
        <v>20170124</v>
      </c>
      <c r="H1007">
        <v>20170331</v>
      </c>
      <c r="I1007" t="s">
        <v>36</v>
      </c>
      <c r="L1007" t="s">
        <v>34</v>
      </c>
      <c r="M1007" t="s">
        <v>34</v>
      </c>
      <c r="N1007" t="s">
        <v>35</v>
      </c>
      <c r="O1007" t="s">
        <v>35</v>
      </c>
      <c r="P1007" t="s">
        <v>35</v>
      </c>
      <c r="Q1007" t="s">
        <v>35</v>
      </c>
      <c r="R1007" t="s">
        <v>35</v>
      </c>
      <c r="S1007" t="s">
        <v>34</v>
      </c>
      <c r="AD1007">
        <v>20170124</v>
      </c>
      <c r="AF1007" t="str">
        <f>IFERROR(VLOOKUP(RIGHT(TblFeedFile1[[#This Row],[Leave Type ]],6),LkupPayType[],2,FALSE),"TBD")</f>
        <v>TBD</v>
      </c>
      <c r="AG1007" t="str">
        <f>IFERROR(VLOOKUP(TblFeedFile1[[#This Row],[ Report Number ]],LkupPayrollCycle[],2,FALSE),"TBD")</f>
        <v>Bi-Weekly</v>
      </c>
      <c r="AH1007" t="str">
        <f>IF(TblFeedFile1[[#This Row],[Return to Work Date ]]="","","Y")</f>
        <v/>
      </c>
    </row>
    <row r="1008" spans="1:34" x14ac:dyDescent="0.25">
      <c r="A1008" t="s">
        <v>37</v>
      </c>
      <c r="B1008">
        <v>314304</v>
      </c>
      <c r="C1008">
        <v>26409556</v>
      </c>
      <c r="D1008" s="1" t="s">
        <v>1324</v>
      </c>
      <c r="E1008" t="s">
        <v>470</v>
      </c>
      <c r="F1008" t="s">
        <v>1325</v>
      </c>
      <c r="G1008">
        <v>20170124</v>
      </c>
      <c r="H1008">
        <v>20170124</v>
      </c>
      <c r="I1008" t="s">
        <v>33</v>
      </c>
      <c r="L1008" t="s">
        <v>34</v>
      </c>
      <c r="M1008" t="s">
        <v>34</v>
      </c>
      <c r="N1008" t="s">
        <v>35</v>
      </c>
      <c r="O1008" t="s">
        <v>35</v>
      </c>
      <c r="P1008" t="s">
        <v>35</v>
      </c>
      <c r="Q1008" t="s">
        <v>35</v>
      </c>
      <c r="R1008" t="s">
        <v>35</v>
      </c>
      <c r="S1008" t="s">
        <v>34</v>
      </c>
      <c r="AC1008" t="s">
        <v>35</v>
      </c>
      <c r="AD1008">
        <v>20170124</v>
      </c>
      <c r="AF1008" t="str">
        <f>IFERROR(VLOOKUP(RIGHT(TblFeedFile1[[#This Row],[Leave Type ]],6),LkupPayType[],2,FALSE),"TBD")</f>
        <v>TBD</v>
      </c>
      <c r="AG1008" t="str">
        <f>IFERROR(VLOOKUP(TblFeedFile1[[#This Row],[ Report Number ]],LkupPayrollCycle[],2,FALSE),"TBD")</f>
        <v>Bi-Weekly</v>
      </c>
      <c r="AH1008" t="str">
        <f>IF(TblFeedFile1[[#This Row],[Return to Work Date ]]="","","Y")</f>
        <v/>
      </c>
    </row>
    <row r="1009" spans="1:34" x14ac:dyDescent="0.25">
      <c r="A1009" t="s">
        <v>29</v>
      </c>
      <c r="B1009">
        <v>314301</v>
      </c>
      <c r="C1009">
        <v>26425957</v>
      </c>
      <c r="D1009" s="1">
        <v>531701108143</v>
      </c>
      <c r="E1009" t="s">
        <v>1326</v>
      </c>
      <c r="F1009" t="s">
        <v>1327</v>
      </c>
      <c r="G1009">
        <v>20170119</v>
      </c>
      <c r="H1009">
        <v>20170313</v>
      </c>
      <c r="I1009" t="s">
        <v>40</v>
      </c>
      <c r="L1009" t="s">
        <v>34</v>
      </c>
      <c r="M1009" t="s">
        <v>34</v>
      </c>
      <c r="N1009" t="s">
        <v>35</v>
      </c>
      <c r="O1009" t="s">
        <v>35</v>
      </c>
      <c r="P1009" t="s">
        <v>35</v>
      </c>
      <c r="Q1009" t="s">
        <v>35</v>
      </c>
      <c r="R1009" t="s">
        <v>35</v>
      </c>
      <c r="S1009" t="s">
        <v>34</v>
      </c>
      <c r="X1009" t="s">
        <v>35</v>
      </c>
      <c r="AD1009">
        <v>20170124</v>
      </c>
      <c r="AF1009" t="str">
        <f>IFERROR(VLOOKUP(RIGHT(TblFeedFile1[[#This Row],[Leave Type ]],6),LkupPayType[],2,FALSE),"TBD")</f>
        <v>TBD</v>
      </c>
      <c r="AG1009" t="str">
        <f>IFERROR(VLOOKUP(TblFeedFile1[[#This Row],[ Report Number ]],LkupPayrollCycle[],2,FALSE),"TBD")</f>
        <v>Semi-Monthly</v>
      </c>
      <c r="AH1009" t="str">
        <f>IF(TblFeedFile1[[#This Row],[Return to Work Date ]]="","","Y")</f>
        <v/>
      </c>
    </row>
    <row r="1010" spans="1:34" x14ac:dyDescent="0.25">
      <c r="A1010" t="s">
        <v>37</v>
      </c>
      <c r="B1010">
        <v>314301</v>
      </c>
      <c r="C1010">
        <v>26425957</v>
      </c>
      <c r="D1010" s="1" t="s">
        <v>1328</v>
      </c>
      <c r="E1010" t="s">
        <v>1326</v>
      </c>
      <c r="F1010" t="s">
        <v>1327</v>
      </c>
      <c r="G1010">
        <v>20170119</v>
      </c>
      <c r="H1010">
        <v>20170213</v>
      </c>
      <c r="I1010" t="s">
        <v>36</v>
      </c>
      <c r="L1010" t="s">
        <v>34</v>
      </c>
      <c r="M1010" t="s">
        <v>34</v>
      </c>
      <c r="N1010" t="s">
        <v>35</v>
      </c>
      <c r="O1010" t="s">
        <v>35</v>
      </c>
      <c r="P1010" t="s">
        <v>35</v>
      </c>
      <c r="Q1010" t="s">
        <v>35</v>
      </c>
      <c r="R1010" t="s">
        <v>35</v>
      </c>
      <c r="S1010" t="s">
        <v>34</v>
      </c>
      <c r="X1010" t="s">
        <v>35</v>
      </c>
      <c r="AD1010">
        <v>20170124</v>
      </c>
      <c r="AF1010" t="str">
        <f>IFERROR(VLOOKUP(RIGHT(TblFeedFile1[[#This Row],[Leave Type ]],6),LkupPayType[],2,FALSE),"TBD")</f>
        <v>TBD</v>
      </c>
      <c r="AG1010" t="str">
        <f>IFERROR(VLOOKUP(TblFeedFile1[[#This Row],[ Report Number ]],LkupPayrollCycle[],2,FALSE),"TBD")</f>
        <v>Semi-Monthly</v>
      </c>
      <c r="AH1010" t="str">
        <f>IF(TblFeedFile1[[#This Row],[Return to Work Date ]]="","","Y")</f>
        <v/>
      </c>
    </row>
    <row r="1011" spans="1:34" x14ac:dyDescent="0.25">
      <c r="A1011" t="s">
        <v>29</v>
      </c>
      <c r="B1011">
        <v>314304</v>
      </c>
      <c r="C1011">
        <v>26427472</v>
      </c>
      <c r="D1011" s="1">
        <v>561701178966</v>
      </c>
      <c r="E1011" t="s">
        <v>1329</v>
      </c>
      <c r="F1011" t="s">
        <v>1330</v>
      </c>
      <c r="G1011">
        <v>20170117</v>
      </c>
      <c r="H1011">
        <v>20170203</v>
      </c>
      <c r="I1011" t="s">
        <v>40</v>
      </c>
      <c r="L1011" t="s">
        <v>34</v>
      </c>
      <c r="M1011" t="s">
        <v>34</v>
      </c>
      <c r="N1011" t="s">
        <v>35</v>
      </c>
      <c r="O1011" t="s">
        <v>35</v>
      </c>
      <c r="P1011" t="s">
        <v>35</v>
      </c>
      <c r="Q1011" t="s">
        <v>35</v>
      </c>
      <c r="R1011" t="s">
        <v>35</v>
      </c>
      <c r="S1011" t="s">
        <v>34</v>
      </c>
      <c r="AD1011">
        <v>20170124</v>
      </c>
      <c r="AF1011" t="str">
        <f>IFERROR(VLOOKUP(RIGHT(TblFeedFile1[[#This Row],[Leave Type ]],6),LkupPayType[],2,FALSE),"TBD")</f>
        <v>TBD</v>
      </c>
      <c r="AG1011" t="str">
        <f>IFERROR(VLOOKUP(TblFeedFile1[[#This Row],[ Report Number ]],LkupPayrollCycle[],2,FALSE),"TBD")</f>
        <v>Bi-Weekly</v>
      </c>
      <c r="AH1011" t="str">
        <f>IF(TblFeedFile1[[#This Row],[Return to Work Date ]]="","","Y")</f>
        <v/>
      </c>
    </row>
    <row r="1012" spans="1:34" x14ac:dyDescent="0.25">
      <c r="A1012" t="s">
        <v>37</v>
      </c>
      <c r="B1012">
        <v>314304</v>
      </c>
      <c r="C1012">
        <v>26427472</v>
      </c>
      <c r="D1012" s="1">
        <v>561701178966</v>
      </c>
      <c r="E1012" t="s">
        <v>1329</v>
      </c>
      <c r="F1012" t="s">
        <v>1330</v>
      </c>
      <c r="G1012">
        <v>20170117</v>
      </c>
      <c r="H1012">
        <v>20170205</v>
      </c>
      <c r="I1012" t="s">
        <v>40</v>
      </c>
      <c r="L1012" t="s">
        <v>34</v>
      </c>
      <c r="M1012" t="s">
        <v>34</v>
      </c>
      <c r="N1012" t="s">
        <v>35</v>
      </c>
      <c r="O1012" t="s">
        <v>35</v>
      </c>
      <c r="P1012" t="s">
        <v>35</v>
      </c>
      <c r="Q1012" t="s">
        <v>35</v>
      </c>
      <c r="R1012" t="s">
        <v>35</v>
      </c>
      <c r="S1012" t="s">
        <v>34</v>
      </c>
      <c r="AD1012">
        <v>20170124</v>
      </c>
      <c r="AF1012" t="str">
        <f>IFERROR(VLOOKUP(RIGHT(TblFeedFile1[[#This Row],[Leave Type ]],6),LkupPayType[],2,FALSE),"TBD")</f>
        <v>TBD</v>
      </c>
      <c r="AG1012" t="str">
        <f>IFERROR(VLOOKUP(TblFeedFile1[[#This Row],[ Report Number ]],LkupPayrollCycle[],2,FALSE),"TBD")</f>
        <v>Bi-Weekly</v>
      </c>
      <c r="AH1012" t="str">
        <f>IF(TblFeedFile1[[#This Row],[Return to Work Date ]]="","","Y")</f>
        <v/>
      </c>
    </row>
    <row r="1013" spans="1:34" x14ac:dyDescent="0.25">
      <c r="A1013" t="s">
        <v>37</v>
      </c>
      <c r="B1013">
        <v>314304</v>
      </c>
      <c r="C1013">
        <v>26428068</v>
      </c>
      <c r="D1013" s="1" t="s">
        <v>1331</v>
      </c>
      <c r="E1013" t="s">
        <v>979</v>
      </c>
      <c r="F1013" t="s">
        <v>808</v>
      </c>
      <c r="G1013">
        <v>20170122</v>
      </c>
      <c r="H1013">
        <v>20170123</v>
      </c>
      <c r="I1013" t="s">
        <v>78</v>
      </c>
      <c r="K1013" t="s">
        <v>79</v>
      </c>
      <c r="L1013" t="s">
        <v>34</v>
      </c>
      <c r="M1013" t="s">
        <v>35</v>
      </c>
      <c r="N1013" t="s">
        <v>35</v>
      </c>
      <c r="O1013" t="s">
        <v>35</v>
      </c>
      <c r="P1013" t="s">
        <v>35</v>
      </c>
      <c r="Q1013" t="s">
        <v>35</v>
      </c>
      <c r="R1013" t="s">
        <v>34</v>
      </c>
      <c r="S1013" t="s">
        <v>34</v>
      </c>
      <c r="AD1013">
        <v>20170124</v>
      </c>
      <c r="AF1013" t="str">
        <f>IFERROR(VLOOKUP(RIGHT(TblFeedFile1[[#This Row],[Leave Type ]],6),LkupPayType[],2,FALSE),"TBD")</f>
        <v>TBD</v>
      </c>
      <c r="AG1013" t="str">
        <f>IFERROR(VLOOKUP(TblFeedFile1[[#This Row],[ Report Number ]],LkupPayrollCycle[],2,FALSE),"TBD")</f>
        <v>Bi-Weekly</v>
      </c>
      <c r="AH1013" t="str">
        <f>IF(TblFeedFile1[[#This Row],[Return to Work Date ]]="","","Y")</f>
        <v/>
      </c>
    </row>
    <row r="1014" spans="1:34" x14ac:dyDescent="0.25">
      <c r="A1014" t="s">
        <v>37</v>
      </c>
      <c r="B1014">
        <v>314304</v>
      </c>
      <c r="C1014">
        <v>26428068</v>
      </c>
      <c r="D1014" s="1" t="s">
        <v>1331</v>
      </c>
      <c r="E1014" t="s">
        <v>979</v>
      </c>
      <c r="F1014" t="s">
        <v>808</v>
      </c>
      <c r="G1014">
        <v>20170124</v>
      </c>
      <c r="H1014">
        <v>20170124</v>
      </c>
      <c r="I1014" t="s">
        <v>33</v>
      </c>
      <c r="L1014" t="s">
        <v>34</v>
      </c>
      <c r="M1014" t="s">
        <v>35</v>
      </c>
      <c r="N1014" t="s">
        <v>35</v>
      </c>
      <c r="O1014" t="s">
        <v>35</v>
      </c>
      <c r="P1014" t="s">
        <v>35</v>
      </c>
      <c r="Q1014" t="s">
        <v>35</v>
      </c>
      <c r="R1014" t="s">
        <v>34</v>
      </c>
      <c r="S1014" t="s">
        <v>34</v>
      </c>
      <c r="AD1014">
        <v>20170124</v>
      </c>
      <c r="AF1014" t="str">
        <f>IFERROR(VLOOKUP(RIGHT(TblFeedFile1[[#This Row],[Leave Type ]],6),LkupPayType[],2,FALSE),"TBD")</f>
        <v>TBD</v>
      </c>
      <c r="AG1014" t="str">
        <f>IFERROR(VLOOKUP(TblFeedFile1[[#This Row],[ Report Number ]],LkupPayrollCycle[],2,FALSE),"TBD")</f>
        <v>Bi-Weekly</v>
      </c>
      <c r="AH1014" t="str">
        <f>IF(TblFeedFile1[[#This Row],[Return to Work Date ]]="","","Y")</f>
        <v/>
      </c>
    </row>
    <row r="1015" spans="1:34" x14ac:dyDescent="0.25">
      <c r="A1015" t="s">
        <v>37</v>
      </c>
      <c r="B1015">
        <v>314304</v>
      </c>
      <c r="C1015">
        <v>26433692</v>
      </c>
      <c r="D1015" s="1" t="s">
        <v>1332</v>
      </c>
      <c r="E1015" t="s">
        <v>1333</v>
      </c>
      <c r="F1015" t="s">
        <v>1334</v>
      </c>
      <c r="G1015">
        <v>20170111</v>
      </c>
      <c r="H1015">
        <v>20170615</v>
      </c>
      <c r="I1015" t="s">
        <v>36</v>
      </c>
      <c r="L1015" t="s">
        <v>34</v>
      </c>
      <c r="M1015" t="s">
        <v>34</v>
      </c>
      <c r="N1015" t="s">
        <v>35</v>
      </c>
      <c r="O1015" t="s">
        <v>35</v>
      </c>
      <c r="P1015" t="s">
        <v>35</v>
      </c>
      <c r="Q1015" t="s">
        <v>35</v>
      </c>
      <c r="R1015" t="s">
        <v>35</v>
      </c>
      <c r="S1015" t="s">
        <v>34</v>
      </c>
      <c r="AD1015">
        <v>20170124</v>
      </c>
      <c r="AF1015" t="str">
        <f>IFERROR(VLOOKUP(RIGHT(TblFeedFile1[[#This Row],[Leave Type ]],6),LkupPayType[],2,FALSE),"TBD")</f>
        <v>TBD</v>
      </c>
      <c r="AG1015" t="str">
        <f>IFERROR(VLOOKUP(TblFeedFile1[[#This Row],[ Report Number ]],LkupPayrollCycle[],2,FALSE),"TBD")</f>
        <v>Bi-Weekly</v>
      </c>
      <c r="AH1015" t="str">
        <f>IF(TblFeedFile1[[#This Row],[Return to Work Date ]]="","","Y")</f>
        <v/>
      </c>
    </row>
    <row r="1016" spans="1:34" x14ac:dyDescent="0.25">
      <c r="A1016" t="s">
        <v>37</v>
      </c>
      <c r="B1016">
        <v>314304</v>
      </c>
      <c r="C1016">
        <v>26441956</v>
      </c>
      <c r="D1016" s="1" t="s">
        <v>1335</v>
      </c>
      <c r="E1016" t="s">
        <v>895</v>
      </c>
      <c r="F1016" t="s">
        <v>1336</v>
      </c>
      <c r="G1016">
        <v>20161114</v>
      </c>
      <c r="H1016">
        <v>20161223</v>
      </c>
      <c r="I1016" t="s">
        <v>185</v>
      </c>
      <c r="L1016" t="s">
        <v>34</v>
      </c>
      <c r="M1016" t="s">
        <v>34</v>
      </c>
      <c r="N1016" t="s">
        <v>35</v>
      </c>
      <c r="O1016" t="s">
        <v>35</v>
      </c>
      <c r="P1016" t="s">
        <v>35</v>
      </c>
      <c r="Q1016" t="s">
        <v>35</v>
      </c>
      <c r="R1016" t="s">
        <v>35</v>
      </c>
      <c r="S1016" t="s">
        <v>34</v>
      </c>
      <c r="AC1016" t="s">
        <v>35</v>
      </c>
      <c r="AD1016">
        <v>20170124</v>
      </c>
      <c r="AF1016" t="str">
        <f>IFERROR(VLOOKUP(RIGHT(TblFeedFile1[[#This Row],[Leave Type ]],6),LkupPayType[],2,FALSE),"TBD")</f>
        <v>TBD</v>
      </c>
      <c r="AG1016" t="str">
        <f>IFERROR(VLOOKUP(TblFeedFile1[[#This Row],[ Report Number ]],LkupPayrollCycle[],2,FALSE),"TBD")</f>
        <v>Bi-Weekly</v>
      </c>
      <c r="AH1016" t="str">
        <f>IF(TblFeedFile1[[#This Row],[Return to Work Date ]]="","","Y")</f>
        <v/>
      </c>
    </row>
    <row r="1017" spans="1:34" x14ac:dyDescent="0.25">
      <c r="A1017" t="s">
        <v>37</v>
      </c>
      <c r="B1017">
        <v>314304</v>
      </c>
      <c r="C1017">
        <v>26465977</v>
      </c>
      <c r="D1017" s="1" t="s">
        <v>1337</v>
      </c>
      <c r="E1017" t="s">
        <v>1338</v>
      </c>
      <c r="F1017" t="s">
        <v>1339</v>
      </c>
      <c r="G1017">
        <v>20160419</v>
      </c>
      <c r="H1017">
        <v>20160617</v>
      </c>
      <c r="I1017" t="s">
        <v>36</v>
      </c>
      <c r="L1017" t="s">
        <v>34</v>
      </c>
      <c r="M1017" t="s">
        <v>34</v>
      </c>
      <c r="N1017" t="s">
        <v>35</v>
      </c>
      <c r="O1017" t="s">
        <v>35</v>
      </c>
      <c r="P1017" t="s">
        <v>35</v>
      </c>
      <c r="Q1017" t="s">
        <v>35</v>
      </c>
      <c r="R1017" t="s">
        <v>35</v>
      </c>
      <c r="S1017" t="s">
        <v>34</v>
      </c>
      <c r="AD1017">
        <v>20170124</v>
      </c>
      <c r="AF1017" t="str">
        <f>IFERROR(VLOOKUP(RIGHT(TblFeedFile1[[#This Row],[Leave Type ]],6),LkupPayType[],2,FALSE),"TBD")</f>
        <v>TBD</v>
      </c>
      <c r="AG1017" t="str">
        <f>IFERROR(VLOOKUP(TblFeedFile1[[#This Row],[ Report Number ]],LkupPayrollCycle[],2,FALSE),"TBD")</f>
        <v>Bi-Weekly</v>
      </c>
      <c r="AH1017" t="str">
        <f>IF(TblFeedFile1[[#This Row],[Return to Work Date ]]="","","Y")</f>
        <v/>
      </c>
    </row>
    <row r="1018" spans="1:34" x14ac:dyDescent="0.25">
      <c r="A1018" t="s">
        <v>37</v>
      </c>
      <c r="B1018">
        <v>314304</v>
      </c>
      <c r="C1018">
        <v>26470317</v>
      </c>
      <c r="D1018" s="1" t="s">
        <v>1340</v>
      </c>
      <c r="E1018" t="s">
        <v>1341</v>
      </c>
      <c r="F1018" t="s">
        <v>955</v>
      </c>
      <c r="G1018">
        <v>20170123</v>
      </c>
      <c r="H1018">
        <v>20170219</v>
      </c>
      <c r="I1018" t="s">
        <v>36</v>
      </c>
      <c r="L1018" t="s">
        <v>34</v>
      </c>
      <c r="M1018" t="s">
        <v>34</v>
      </c>
      <c r="N1018" t="s">
        <v>35</v>
      </c>
      <c r="O1018" t="s">
        <v>35</v>
      </c>
      <c r="P1018" t="s">
        <v>35</v>
      </c>
      <c r="Q1018" t="s">
        <v>35</v>
      </c>
      <c r="R1018" t="s">
        <v>35</v>
      </c>
      <c r="S1018" t="s">
        <v>34</v>
      </c>
      <c r="AD1018">
        <v>20170124</v>
      </c>
      <c r="AF1018" t="str">
        <f>IFERROR(VLOOKUP(RIGHT(TblFeedFile1[[#This Row],[Leave Type ]],6),LkupPayType[],2,FALSE),"TBD")</f>
        <v>TBD</v>
      </c>
      <c r="AG1018" t="str">
        <f>IFERROR(VLOOKUP(TblFeedFile1[[#This Row],[ Report Number ]],LkupPayrollCycle[],2,FALSE),"TBD")</f>
        <v>Bi-Weekly</v>
      </c>
      <c r="AH1018" t="str">
        <f>IF(TblFeedFile1[[#This Row],[Return to Work Date ]]="","","Y")</f>
        <v/>
      </c>
    </row>
    <row r="1019" spans="1:34" x14ac:dyDescent="0.25">
      <c r="A1019" t="s">
        <v>29</v>
      </c>
      <c r="B1019">
        <v>314304</v>
      </c>
      <c r="C1019">
        <v>26471189</v>
      </c>
      <c r="D1019" s="1">
        <v>521701038642</v>
      </c>
      <c r="E1019" t="s">
        <v>1091</v>
      </c>
      <c r="F1019" t="s">
        <v>1342</v>
      </c>
      <c r="G1019">
        <v>20170110</v>
      </c>
      <c r="H1019">
        <v>20170310</v>
      </c>
      <c r="I1019" t="s">
        <v>40</v>
      </c>
      <c r="L1019" t="s">
        <v>34</v>
      </c>
      <c r="M1019" t="s">
        <v>34</v>
      </c>
      <c r="N1019" t="s">
        <v>34</v>
      </c>
      <c r="O1019" t="s">
        <v>35</v>
      </c>
      <c r="P1019" t="s">
        <v>35</v>
      </c>
      <c r="Q1019" t="s">
        <v>35</v>
      </c>
      <c r="R1019" t="s">
        <v>35</v>
      </c>
      <c r="S1019" t="s">
        <v>35</v>
      </c>
      <c r="AD1019">
        <v>20170124</v>
      </c>
      <c r="AF1019" t="str">
        <f>IFERROR(VLOOKUP(RIGHT(TblFeedFile1[[#This Row],[Leave Type ]],6),LkupPayType[],2,FALSE),"TBD")</f>
        <v>TBD</v>
      </c>
      <c r="AG1019" t="str">
        <f>IFERROR(VLOOKUP(TblFeedFile1[[#This Row],[ Report Number ]],LkupPayrollCycle[],2,FALSE),"TBD")</f>
        <v>Bi-Weekly</v>
      </c>
      <c r="AH1019" t="str">
        <f>IF(TblFeedFile1[[#This Row],[Return to Work Date ]]="","","Y")</f>
        <v/>
      </c>
    </row>
    <row r="1020" spans="1:34" x14ac:dyDescent="0.25">
      <c r="A1020" t="s">
        <v>37</v>
      </c>
      <c r="B1020">
        <v>314304</v>
      </c>
      <c r="C1020">
        <v>26471189</v>
      </c>
      <c r="D1020" s="1">
        <v>521701038642</v>
      </c>
      <c r="E1020" t="s">
        <v>1091</v>
      </c>
      <c r="F1020" t="s">
        <v>1342</v>
      </c>
      <c r="G1020">
        <v>20170110</v>
      </c>
      <c r="H1020">
        <v>20170310</v>
      </c>
      <c r="I1020" t="s">
        <v>40</v>
      </c>
      <c r="L1020" t="s">
        <v>34</v>
      </c>
      <c r="M1020" t="s">
        <v>34</v>
      </c>
      <c r="N1020" t="s">
        <v>35</v>
      </c>
      <c r="O1020" t="s">
        <v>35</v>
      </c>
      <c r="P1020" t="s">
        <v>35</v>
      </c>
      <c r="Q1020" t="s">
        <v>35</v>
      </c>
      <c r="R1020" t="s">
        <v>35</v>
      </c>
      <c r="S1020" t="s">
        <v>34</v>
      </c>
      <c r="AD1020">
        <v>20170124</v>
      </c>
      <c r="AF1020" t="str">
        <f>IFERROR(VLOOKUP(RIGHT(TblFeedFile1[[#This Row],[Leave Type ]],6),LkupPayType[],2,FALSE),"TBD")</f>
        <v>TBD</v>
      </c>
      <c r="AG1020" t="str">
        <f>IFERROR(VLOOKUP(TblFeedFile1[[#This Row],[ Report Number ]],LkupPayrollCycle[],2,FALSE),"TBD")</f>
        <v>Bi-Weekly</v>
      </c>
      <c r="AH1020" t="str">
        <f>IF(TblFeedFile1[[#This Row],[Return to Work Date ]]="","","Y")</f>
        <v/>
      </c>
    </row>
    <row r="1021" spans="1:34" x14ac:dyDescent="0.25">
      <c r="A1021" t="s">
        <v>37</v>
      </c>
      <c r="B1021">
        <v>314304</v>
      </c>
      <c r="C1021">
        <v>26489065</v>
      </c>
      <c r="D1021" s="1">
        <v>561701248496</v>
      </c>
      <c r="E1021" t="s">
        <v>1343</v>
      </c>
      <c r="F1021" t="s">
        <v>1344</v>
      </c>
      <c r="G1021">
        <v>20170121</v>
      </c>
      <c r="I1021" t="s">
        <v>53</v>
      </c>
      <c r="L1021" t="s">
        <v>34</v>
      </c>
      <c r="M1021" t="s">
        <v>34</v>
      </c>
      <c r="N1021" t="s">
        <v>35</v>
      </c>
      <c r="O1021" t="s">
        <v>35</v>
      </c>
      <c r="P1021" t="s">
        <v>35</v>
      </c>
      <c r="Q1021" t="s">
        <v>35</v>
      </c>
      <c r="R1021" t="s">
        <v>35</v>
      </c>
      <c r="S1021" t="s">
        <v>34</v>
      </c>
      <c r="AD1021">
        <v>20170124</v>
      </c>
      <c r="AF1021" t="str">
        <f>IFERROR(VLOOKUP(RIGHT(TblFeedFile1[[#This Row],[Leave Type ]],6),LkupPayType[],2,FALSE),"TBD")</f>
        <v>TBD</v>
      </c>
      <c r="AG1021" t="str">
        <f>IFERROR(VLOOKUP(TblFeedFile1[[#This Row],[ Report Number ]],LkupPayrollCycle[],2,FALSE),"TBD")</f>
        <v>Bi-Weekly</v>
      </c>
      <c r="AH1021" t="str">
        <f>IF(TblFeedFile1[[#This Row],[Return to Work Date ]]="","","Y")</f>
        <v/>
      </c>
    </row>
    <row r="1022" spans="1:34" x14ac:dyDescent="0.25">
      <c r="A1022" t="s">
        <v>37</v>
      </c>
      <c r="B1022">
        <v>314304</v>
      </c>
      <c r="C1022">
        <v>26489065</v>
      </c>
      <c r="D1022" s="1" t="s">
        <v>1345</v>
      </c>
      <c r="E1022" t="s">
        <v>1343</v>
      </c>
      <c r="F1022" t="s">
        <v>1344</v>
      </c>
      <c r="G1022">
        <v>20170123</v>
      </c>
      <c r="H1022">
        <v>20170221</v>
      </c>
      <c r="I1022" t="s">
        <v>78</v>
      </c>
      <c r="K1022" t="s">
        <v>79</v>
      </c>
      <c r="L1022" t="s">
        <v>34</v>
      </c>
      <c r="M1022" t="s">
        <v>34</v>
      </c>
      <c r="N1022" t="s">
        <v>35</v>
      </c>
      <c r="O1022" t="s">
        <v>35</v>
      </c>
      <c r="P1022" t="s">
        <v>35</v>
      </c>
      <c r="Q1022" t="s">
        <v>35</v>
      </c>
      <c r="R1022" t="s">
        <v>35</v>
      </c>
      <c r="S1022" t="s">
        <v>34</v>
      </c>
      <c r="AD1022">
        <v>20170124</v>
      </c>
      <c r="AF1022" t="str">
        <f>IFERROR(VLOOKUP(RIGHT(TblFeedFile1[[#This Row],[Leave Type ]],6),LkupPayType[],2,FALSE),"TBD")</f>
        <v>TBD</v>
      </c>
      <c r="AG1022" t="str">
        <f>IFERROR(VLOOKUP(TblFeedFile1[[#This Row],[ Report Number ]],LkupPayrollCycle[],2,FALSE),"TBD")</f>
        <v>Bi-Weekly</v>
      </c>
      <c r="AH1022" t="str">
        <f>IF(TblFeedFile1[[#This Row],[Return to Work Date ]]="","","Y")</f>
        <v/>
      </c>
    </row>
    <row r="1023" spans="1:34" x14ac:dyDescent="0.25">
      <c r="A1023" t="s">
        <v>29</v>
      </c>
      <c r="B1023">
        <v>314304</v>
      </c>
      <c r="C1023">
        <v>26499581</v>
      </c>
      <c r="D1023" s="1">
        <v>541701108174</v>
      </c>
      <c r="E1023" t="s">
        <v>1012</v>
      </c>
      <c r="F1023" t="s">
        <v>1346</v>
      </c>
      <c r="G1023">
        <v>20170111</v>
      </c>
      <c r="H1023">
        <v>20170125</v>
      </c>
      <c r="I1023" t="s">
        <v>40</v>
      </c>
      <c r="L1023" t="s">
        <v>35</v>
      </c>
      <c r="AD1023">
        <v>20170124</v>
      </c>
      <c r="AF1023" t="str">
        <f>IFERROR(VLOOKUP(RIGHT(TblFeedFile1[[#This Row],[Leave Type ]],6),LkupPayType[],2,FALSE),"TBD")</f>
        <v>TBD</v>
      </c>
      <c r="AG1023" t="str">
        <f>IFERROR(VLOOKUP(TblFeedFile1[[#This Row],[ Report Number ]],LkupPayrollCycle[],2,FALSE),"TBD")</f>
        <v>Bi-Weekly</v>
      </c>
      <c r="AH1023" t="str">
        <f>IF(TblFeedFile1[[#This Row],[Return to Work Date ]]="","","Y")</f>
        <v/>
      </c>
    </row>
    <row r="1024" spans="1:34" x14ac:dyDescent="0.25">
      <c r="A1024" t="s">
        <v>37</v>
      </c>
      <c r="B1024">
        <v>314304</v>
      </c>
      <c r="C1024">
        <v>26499581</v>
      </c>
      <c r="D1024" s="1">
        <v>541701108174</v>
      </c>
      <c r="E1024" t="s">
        <v>1012</v>
      </c>
      <c r="F1024" t="s">
        <v>1346</v>
      </c>
      <c r="G1024">
        <v>20170111</v>
      </c>
      <c r="H1024">
        <v>20170126</v>
      </c>
      <c r="I1024" t="s">
        <v>40</v>
      </c>
      <c r="L1024" t="s">
        <v>35</v>
      </c>
      <c r="AD1024">
        <v>20170124</v>
      </c>
      <c r="AF1024" t="str">
        <f>IFERROR(VLOOKUP(RIGHT(TblFeedFile1[[#This Row],[Leave Type ]],6),LkupPayType[],2,FALSE),"TBD")</f>
        <v>TBD</v>
      </c>
      <c r="AG1024" t="str">
        <f>IFERROR(VLOOKUP(TblFeedFile1[[#This Row],[ Report Number ]],LkupPayrollCycle[],2,FALSE),"TBD")</f>
        <v>Bi-Weekly</v>
      </c>
      <c r="AH1024" t="str">
        <f>IF(TblFeedFile1[[#This Row],[Return to Work Date ]]="","","Y")</f>
        <v/>
      </c>
    </row>
    <row r="1025" spans="1:34" x14ac:dyDescent="0.25">
      <c r="A1025" t="s">
        <v>29</v>
      </c>
      <c r="B1025">
        <v>314304</v>
      </c>
      <c r="C1025">
        <v>26513652</v>
      </c>
      <c r="D1025" s="1" t="s">
        <v>1347</v>
      </c>
      <c r="E1025" t="s">
        <v>1348</v>
      </c>
      <c r="F1025" t="s">
        <v>1349</v>
      </c>
      <c r="G1025">
        <v>20160909</v>
      </c>
      <c r="H1025">
        <v>20160909</v>
      </c>
      <c r="I1025" t="s">
        <v>33</v>
      </c>
      <c r="L1025" t="s">
        <v>34</v>
      </c>
      <c r="M1025" t="s">
        <v>34</v>
      </c>
      <c r="N1025" t="s">
        <v>35</v>
      </c>
      <c r="O1025" t="s">
        <v>35</v>
      </c>
      <c r="P1025" t="s">
        <v>35</v>
      </c>
      <c r="Q1025" t="s">
        <v>35</v>
      </c>
      <c r="R1025" t="s">
        <v>35</v>
      </c>
      <c r="S1025" t="s">
        <v>34</v>
      </c>
      <c r="AC1025" t="s">
        <v>35</v>
      </c>
      <c r="AD1025">
        <v>20170124</v>
      </c>
      <c r="AF1025" t="str">
        <f>IFERROR(VLOOKUP(RIGHT(TblFeedFile1[[#This Row],[Leave Type ]],6),LkupPayType[],2,FALSE),"TBD")</f>
        <v>TBD</v>
      </c>
      <c r="AG1025" t="str">
        <f>IFERROR(VLOOKUP(TblFeedFile1[[#This Row],[ Report Number ]],LkupPayrollCycle[],2,FALSE),"TBD")</f>
        <v>Bi-Weekly</v>
      </c>
      <c r="AH1025" t="str">
        <f>IF(TblFeedFile1[[#This Row],[Return to Work Date ]]="","","Y")</f>
        <v/>
      </c>
    </row>
    <row r="1026" spans="1:34" x14ac:dyDescent="0.25">
      <c r="A1026" t="s">
        <v>29</v>
      </c>
      <c r="B1026">
        <v>314304</v>
      </c>
      <c r="C1026">
        <v>26513652</v>
      </c>
      <c r="D1026" s="1" t="s">
        <v>1347</v>
      </c>
      <c r="E1026" t="s">
        <v>1348</v>
      </c>
      <c r="F1026" t="s">
        <v>1349</v>
      </c>
      <c r="G1026">
        <v>20160523</v>
      </c>
      <c r="H1026">
        <v>20160908</v>
      </c>
      <c r="I1026" t="s">
        <v>223</v>
      </c>
      <c r="L1026" t="s">
        <v>34</v>
      </c>
      <c r="M1026" t="s">
        <v>34</v>
      </c>
      <c r="N1026" t="s">
        <v>35</v>
      </c>
      <c r="O1026" t="s">
        <v>35</v>
      </c>
      <c r="P1026" t="s">
        <v>35</v>
      </c>
      <c r="Q1026" t="s">
        <v>35</v>
      </c>
      <c r="R1026" t="s">
        <v>35</v>
      </c>
      <c r="S1026" t="s">
        <v>34</v>
      </c>
      <c r="AC1026" t="s">
        <v>35</v>
      </c>
      <c r="AD1026">
        <v>20170124</v>
      </c>
      <c r="AF1026" t="str">
        <f>IFERROR(VLOOKUP(RIGHT(TblFeedFile1[[#This Row],[Leave Type ]],6),LkupPayType[],2,FALSE),"TBD")</f>
        <v>TBD</v>
      </c>
      <c r="AG1026" t="str">
        <f>IFERROR(VLOOKUP(TblFeedFile1[[#This Row],[ Report Number ]],LkupPayrollCycle[],2,FALSE),"TBD")</f>
        <v>Bi-Weekly</v>
      </c>
      <c r="AH1026" t="str">
        <f>IF(TblFeedFile1[[#This Row],[Return to Work Date ]]="","","Y")</f>
        <v/>
      </c>
    </row>
    <row r="1027" spans="1:34" x14ac:dyDescent="0.25">
      <c r="A1027" t="s">
        <v>37</v>
      </c>
      <c r="B1027">
        <v>314304</v>
      </c>
      <c r="C1027">
        <v>26513652</v>
      </c>
      <c r="D1027" s="1" t="s">
        <v>1347</v>
      </c>
      <c r="E1027" t="s">
        <v>1348</v>
      </c>
      <c r="F1027" t="s">
        <v>1349</v>
      </c>
      <c r="G1027">
        <v>20160523</v>
      </c>
      <c r="H1027">
        <v>20160814</v>
      </c>
      <c r="I1027" t="s">
        <v>223</v>
      </c>
      <c r="L1027" t="s">
        <v>34</v>
      </c>
      <c r="M1027" t="s">
        <v>34</v>
      </c>
      <c r="N1027" t="s">
        <v>35</v>
      </c>
      <c r="O1027" t="s">
        <v>35</v>
      </c>
      <c r="P1027" t="s">
        <v>35</v>
      </c>
      <c r="Q1027" t="s">
        <v>35</v>
      </c>
      <c r="R1027" t="s">
        <v>35</v>
      </c>
      <c r="S1027" t="s">
        <v>34</v>
      </c>
      <c r="AC1027" t="s">
        <v>35</v>
      </c>
      <c r="AD1027">
        <v>20170124</v>
      </c>
      <c r="AF1027" t="str">
        <f>IFERROR(VLOOKUP(RIGHT(TblFeedFile1[[#This Row],[Leave Type ]],6),LkupPayType[],2,FALSE),"TBD")</f>
        <v>TBD</v>
      </c>
      <c r="AG1027" t="str">
        <f>IFERROR(VLOOKUP(TblFeedFile1[[#This Row],[ Report Number ]],LkupPayrollCycle[],2,FALSE),"TBD")</f>
        <v>Bi-Weekly</v>
      </c>
      <c r="AH1027" t="str">
        <f>IF(TblFeedFile1[[#This Row],[Return to Work Date ]]="","","Y")</f>
        <v/>
      </c>
    </row>
    <row r="1028" spans="1:34" x14ac:dyDescent="0.25">
      <c r="A1028" t="s">
        <v>37</v>
      </c>
      <c r="B1028">
        <v>314304</v>
      </c>
      <c r="C1028">
        <v>26513652</v>
      </c>
      <c r="D1028" s="1" t="s">
        <v>1347</v>
      </c>
      <c r="E1028" t="s">
        <v>1348</v>
      </c>
      <c r="F1028" t="s">
        <v>1349</v>
      </c>
      <c r="G1028">
        <v>20160523</v>
      </c>
      <c r="H1028">
        <v>20160814</v>
      </c>
      <c r="I1028" t="s">
        <v>185</v>
      </c>
      <c r="L1028" t="s">
        <v>34</v>
      </c>
      <c r="M1028" t="s">
        <v>34</v>
      </c>
      <c r="N1028" t="s">
        <v>35</v>
      </c>
      <c r="O1028" t="s">
        <v>35</v>
      </c>
      <c r="P1028" t="s">
        <v>35</v>
      </c>
      <c r="Q1028" t="s">
        <v>35</v>
      </c>
      <c r="R1028" t="s">
        <v>35</v>
      </c>
      <c r="S1028" t="s">
        <v>34</v>
      </c>
      <c r="AC1028" t="s">
        <v>35</v>
      </c>
      <c r="AD1028">
        <v>20170124</v>
      </c>
      <c r="AF1028" t="str">
        <f>IFERROR(VLOOKUP(RIGHT(TblFeedFile1[[#This Row],[Leave Type ]],6),LkupPayType[],2,FALSE),"TBD")</f>
        <v>TBD</v>
      </c>
      <c r="AG1028" t="str">
        <f>IFERROR(VLOOKUP(TblFeedFile1[[#This Row],[ Report Number ]],LkupPayrollCycle[],2,FALSE),"TBD")</f>
        <v>Bi-Weekly</v>
      </c>
      <c r="AH1028" t="str">
        <f>IF(TblFeedFile1[[#This Row],[Return to Work Date ]]="","","Y")</f>
        <v/>
      </c>
    </row>
    <row r="1029" spans="1:34" x14ac:dyDescent="0.25">
      <c r="A1029" t="s">
        <v>37</v>
      </c>
      <c r="B1029">
        <v>314304</v>
      </c>
      <c r="C1029">
        <v>26513652</v>
      </c>
      <c r="D1029" s="1" t="s">
        <v>1347</v>
      </c>
      <c r="E1029" t="s">
        <v>1348</v>
      </c>
      <c r="F1029" t="s">
        <v>1349</v>
      </c>
      <c r="G1029">
        <v>20160815</v>
      </c>
      <c r="H1029">
        <v>20160815</v>
      </c>
      <c r="I1029" t="s">
        <v>33</v>
      </c>
      <c r="L1029" t="s">
        <v>34</v>
      </c>
      <c r="M1029" t="s">
        <v>34</v>
      </c>
      <c r="N1029" t="s">
        <v>35</v>
      </c>
      <c r="O1029" t="s">
        <v>35</v>
      </c>
      <c r="P1029" t="s">
        <v>35</v>
      </c>
      <c r="Q1029" t="s">
        <v>35</v>
      </c>
      <c r="R1029" t="s">
        <v>35</v>
      </c>
      <c r="S1029" t="s">
        <v>34</v>
      </c>
      <c r="AC1029" t="s">
        <v>35</v>
      </c>
      <c r="AD1029">
        <v>20170124</v>
      </c>
      <c r="AF1029" t="str">
        <f>IFERROR(VLOOKUP(RIGHT(TblFeedFile1[[#This Row],[Leave Type ]],6),LkupPayType[],2,FALSE),"TBD")</f>
        <v>TBD</v>
      </c>
      <c r="AG1029" t="str">
        <f>IFERROR(VLOOKUP(TblFeedFile1[[#This Row],[ Report Number ]],LkupPayrollCycle[],2,FALSE),"TBD")</f>
        <v>Bi-Weekly</v>
      </c>
      <c r="AH1029" t="str">
        <f>IF(TblFeedFile1[[#This Row],[Return to Work Date ]]="","","Y")</f>
        <v/>
      </c>
    </row>
    <row r="1030" spans="1:34" x14ac:dyDescent="0.25">
      <c r="A1030" t="s">
        <v>29</v>
      </c>
      <c r="B1030">
        <v>314304</v>
      </c>
      <c r="C1030">
        <v>26517009</v>
      </c>
      <c r="D1030" s="1" t="s">
        <v>1350</v>
      </c>
      <c r="E1030" t="s">
        <v>1320</v>
      </c>
      <c r="F1030" t="s">
        <v>1351</v>
      </c>
      <c r="G1030">
        <v>20170110</v>
      </c>
      <c r="H1030">
        <v>20170113</v>
      </c>
      <c r="I1030" t="s">
        <v>36</v>
      </c>
      <c r="L1030" t="s">
        <v>34</v>
      </c>
      <c r="M1030" t="s">
        <v>34</v>
      </c>
      <c r="N1030" t="s">
        <v>35</v>
      </c>
      <c r="O1030" t="s">
        <v>35</v>
      </c>
      <c r="P1030" t="s">
        <v>35</v>
      </c>
      <c r="Q1030" t="s">
        <v>35</v>
      </c>
      <c r="R1030" t="s">
        <v>35</v>
      </c>
      <c r="S1030" t="s">
        <v>34</v>
      </c>
      <c r="AD1030">
        <v>20170124</v>
      </c>
      <c r="AF1030" t="str">
        <f>IFERROR(VLOOKUP(RIGHT(TblFeedFile1[[#This Row],[Leave Type ]],6),LkupPayType[],2,FALSE),"TBD")</f>
        <v>TBD</v>
      </c>
      <c r="AG1030" t="str">
        <f>IFERROR(VLOOKUP(TblFeedFile1[[#This Row],[ Report Number ]],LkupPayrollCycle[],2,FALSE),"TBD")</f>
        <v>Bi-Weekly</v>
      </c>
      <c r="AH1030" t="str">
        <f>IF(TblFeedFile1[[#This Row],[Return to Work Date ]]="","","Y")</f>
        <v/>
      </c>
    </row>
    <row r="1031" spans="1:34" x14ac:dyDescent="0.25">
      <c r="A1031" t="s">
        <v>37</v>
      </c>
      <c r="B1031">
        <v>314304</v>
      </c>
      <c r="C1031">
        <v>26517009</v>
      </c>
      <c r="D1031" s="1" t="s">
        <v>1350</v>
      </c>
      <c r="E1031" t="s">
        <v>1320</v>
      </c>
      <c r="F1031" t="s">
        <v>1351</v>
      </c>
      <c r="G1031">
        <v>20170110</v>
      </c>
      <c r="H1031">
        <v>20170113</v>
      </c>
      <c r="I1031" t="s">
        <v>78</v>
      </c>
      <c r="K1031" t="s">
        <v>79</v>
      </c>
      <c r="L1031" t="s">
        <v>34</v>
      </c>
      <c r="M1031" t="s">
        <v>34</v>
      </c>
      <c r="N1031" t="s">
        <v>35</v>
      </c>
      <c r="O1031" t="s">
        <v>35</v>
      </c>
      <c r="P1031" t="s">
        <v>35</v>
      </c>
      <c r="Q1031" t="s">
        <v>35</v>
      </c>
      <c r="R1031" t="s">
        <v>35</v>
      </c>
      <c r="S1031" t="s">
        <v>34</v>
      </c>
      <c r="AD1031">
        <v>20170124</v>
      </c>
      <c r="AF1031" t="str">
        <f>IFERROR(VLOOKUP(RIGHT(TblFeedFile1[[#This Row],[Leave Type ]],6),LkupPayType[],2,FALSE),"TBD")</f>
        <v>TBD</v>
      </c>
      <c r="AG1031" t="str">
        <f>IFERROR(VLOOKUP(TblFeedFile1[[#This Row],[ Report Number ]],LkupPayrollCycle[],2,FALSE),"TBD")</f>
        <v>Bi-Weekly</v>
      </c>
      <c r="AH1031" t="str">
        <f>IF(TblFeedFile1[[#This Row],[Return to Work Date ]]="","","Y")</f>
        <v/>
      </c>
    </row>
    <row r="1032" spans="1:34" x14ac:dyDescent="0.25">
      <c r="A1032" t="s">
        <v>29</v>
      </c>
      <c r="B1032">
        <v>314304</v>
      </c>
      <c r="C1032">
        <v>26548748</v>
      </c>
      <c r="D1032" s="1">
        <v>511701108931</v>
      </c>
      <c r="E1032" t="s">
        <v>1352</v>
      </c>
      <c r="F1032" t="s">
        <v>1353</v>
      </c>
      <c r="G1032">
        <v>20170110</v>
      </c>
      <c r="H1032">
        <v>20170210</v>
      </c>
      <c r="I1032" t="s">
        <v>40</v>
      </c>
      <c r="L1032" t="s">
        <v>34</v>
      </c>
      <c r="M1032" t="s">
        <v>34</v>
      </c>
      <c r="N1032" t="s">
        <v>35</v>
      </c>
      <c r="O1032" t="s">
        <v>35</v>
      </c>
      <c r="P1032" t="s">
        <v>35</v>
      </c>
      <c r="Q1032" t="s">
        <v>35</v>
      </c>
      <c r="R1032" t="s">
        <v>35</v>
      </c>
      <c r="S1032" t="s">
        <v>34</v>
      </c>
      <c r="AD1032">
        <v>20170124</v>
      </c>
      <c r="AF1032" t="str">
        <f>IFERROR(VLOOKUP(RIGHT(TblFeedFile1[[#This Row],[Leave Type ]],6),LkupPayType[],2,FALSE),"TBD")</f>
        <v>TBD</v>
      </c>
      <c r="AG1032" t="str">
        <f>IFERROR(VLOOKUP(TblFeedFile1[[#This Row],[ Report Number ]],LkupPayrollCycle[],2,FALSE),"TBD")</f>
        <v>Bi-Weekly</v>
      </c>
      <c r="AH1032" t="str">
        <f>IF(TblFeedFile1[[#This Row],[Return to Work Date ]]="","","Y")</f>
        <v/>
      </c>
    </row>
    <row r="1033" spans="1:34" x14ac:dyDescent="0.25">
      <c r="A1033" t="s">
        <v>37</v>
      </c>
      <c r="B1033">
        <v>314304</v>
      </c>
      <c r="C1033">
        <v>26548748</v>
      </c>
      <c r="D1033" s="1">
        <v>511701108931</v>
      </c>
      <c r="E1033" t="s">
        <v>1352</v>
      </c>
      <c r="F1033" t="s">
        <v>1353</v>
      </c>
      <c r="G1033">
        <v>20170110</v>
      </c>
      <c r="H1033">
        <v>20170217</v>
      </c>
      <c r="I1033" t="s">
        <v>40</v>
      </c>
      <c r="L1033" t="s">
        <v>34</v>
      </c>
      <c r="M1033" t="s">
        <v>34</v>
      </c>
      <c r="N1033" t="s">
        <v>35</v>
      </c>
      <c r="O1033" t="s">
        <v>35</v>
      </c>
      <c r="P1033" t="s">
        <v>35</v>
      </c>
      <c r="Q1033" t="s">
        <v>35</v>
      </c>
      <c r="R1033" t="s">
        <v>35</v>
      </c>
      <c r="S1033" t="s">
        <v>34</v>
      </c>
      <c r="AD1033">
        <v>20170124</v>
      </c>
      <c r="AF1033" t="str">
        <f>IFERROR(VLOOKUP(RIGHT(TblFeedFile1[[#This Row],[Leave Type ]],6),LkupPayType[],2,FALSE),"TBD")</f>
        <v>TBD</v>
      </c>
      <c r="AG1033" t="str">
        <f>IFERROR(VLOOKUP(TblFeedFile1[[#This Row],[ Report Number ]],LkupPayrollCycle[],2,FALSE),"TBD")</f>
        <v>Bi-Weekly</v>
      </c>
      <c r="AH1033" t="str">
        <f>IF(TblFeedFile1[[#This Row],[Return to Work Date ]]="","","Y")</f>
        <v/>
      </c>
    </row>
    <row r="1034" spans="1:34" x14ac:dyDescent="0.25">
      <c r="A1034" t="s">
        <v>29</v>
      </c>
      <c r="B1034">
        <v>314304</v>
      </c>
      <c r="C1034">
        <v>26557336</v>
      </c>
      <c r="D1034" s="1" t="s">
        <v>1354</v>
      </c>
      <c r="E1034" t="s">
        <v>304</v>
      </c>
      <c r="F1034" t="s">
        <v>1355</v>
      </c>
      <c r="G1034">
        <v>20160809</v>
      </c>
      <c r="H1034">
        <v>20170110</v>
      </c>
      <c r="I1034" t="s">
        <v>36</v>
      </c>
      <c r="L1034" t="s">
        <v>34</v>
      </c>
      <c r="M1034" t="s">
        <v>34</v>
      </c>
      <c r="N1034" t="s">
        <v>35</v>
      </c>
      <c r="O1034" t="s">
        <v>35</v>
      </c>
      <c r="P1034" t="s">
        <v>35</v>
      </c>
      <c r="Q1034" t="s">
        <v>35</v>
      </c>
      <c r="R1034" t="s">
        <v>35</v>
      </c>
      <c r="S1034" t="s">
        <v>34</v>
      </c>
      <c r="AC1034" t="s">
        <v>35</v>
      </c>
      <c r="AD1034">
        <v>20170124</v>
      </c>
      <c r="AF1034" t="str">
        <f>IFERROR(VLOOKUP(RIGHT(TblFeedFile1[[#This Row],[Leave Type ]],6),LkupPayType[],2,FALSE),"TBD")</f>
        <v>TBD</v>
      </c>
      <c r="AG1034" t="str">
        <f>IFERROR(VLOOKUP(TblFeedFile1[[#This Row],[ Report Number ]],LkupPayrollCycle[],2,FALSE),"TBD")</f>
        <v>Bi-Weekly</v>
      </c>
      <c r="AH1034" t="str">
        <f>IF(TblFeedFile1[[#This Row],[Return to Work Date ]]="","","Y")</f>
        <v/>
      </c>
    </row>
    <row r="1035" spans="1:34" x14ac:dyDescent="0.25">
      <c r="A1035" t="s">
        <v>37</v>
      </c>
      <c r="B1035">
        <v>314304</v>
      </c>
      <c r="C1035">
        <v>26557336</v>
      </c>
      <c r="D1035" s="1" t="s">
        <v>1354</v>
      </c>
      <c r="E1035" t="s">
        <v>304</v>
      </c>
      <c r="F1035" t="s">
        <v>1355</v>
      </c>
      <c r="G1035">
        <v>20160222</v>
      </c>
      <c r="H1035">
        <v>20170110</v>
      </c>
      <c r="I1035" t="s">
        <v>36</v>
      </c>
      <c r="L1035" t="s">
        <v>34</v>
      </c>
      <c r="M1035" t="s">
        <v>34</v>
      </c>
      <c r="N1035" t="s">
        <v>35</v>
      </c>
      <c r="O1035" t="s">
        <v>35</v>
      </c>
      <c r="P1035" t="s">
        <v>35</v>
      </c>
      <c r="Q1035" t="s">
        <v>35</v>
      </c>
      <c r="R1035" t="s">
        <v>35</v>
      </c>
      <c r="S1035" t="s">
        <v>34</v>
      </c>
      <c r="AD1035">
        <v>20170124</v>
      </c>
      <c r="AF1035" t="str">
        <f>IFERROR(VLOOKUP(RIGHT(TblFeedFile1[[#This Row],[Leave Type ]],6),LkupPayType[],2,FALSE),"TBD")</f>
        <v>TBD</v>
      </c>
      <c r="AG1035" t="str">
        <f>IFERROR(VLOOKUP(TblFeedFile1[[#This Row],[ Report Number ]],LkupPayrollCycle[],2,FALSE),"TBD")</f>
        <v>Bi-Weekly</v>
      </c>
      <c r="AH1035" t="str">
        <f>IF(TblFeedFile1[[#This Row],[Return to Work Date ]]="","","Y")</f>
        <v/>
      </c>
    </row>
    <row r="1036" spans="1:34" x14ac:dyDescent="0.25">
      <c r="A1036" t="s">
        <v>37</v>
      </c>
      <c r="B1036">
        <v>314304</v>
      </c>
      <c r="C1036">
        <v>26565117</v>
      </c>
      <c r="D1036" s="1">
        <v>541701238304</v>
      </c>
      <c r="E1036" t="s">
        <v>1356</v>
      </c>
      <c r="F1036" t="s">
        <v>1357</v>
      </c>
      <c r="G1036">
        <v>20170116</v>
      </c>
      <c r="H1036">
        <v>20170509</v>
      </c>
      <c r="I1036" t="s">
        <v>53</v>
      </c>
      <c r="L1036" t="s">
        <v>34</v>
      </c>
      <c r="M1036" t="s">
        <v>34</v>
      </c>
      <c r="N1036" t="s">
        <v>35</v>
      </c>
      <c r="O1036" t="s">
        <v>35</v>
      </c>
      <c r="P1036" t="s">
        <v>35</v>
      </c>
      <c r="Q1036" t="s">
        <v>35</v>
      </c>
      <c r="R1036" t="s">
        <v>35</v>
      </c>
      <c r="S1036" t="s">
        <v>34</v>
      </c>
      <c r="AD1036">
        <v>20170124</v>
      </c>
      <c r="AF1036" t="str">
        <f>IFERROR(VLOOKUP(RIGHT(TblFeedFile1[[#This Row],[Leave Type ]],6),LkupPayType[],2,FALSE),"TBD")</f>
        <v>TBD</v>
      </c>
      <c r="AG1036" t="str">
        <f>IFERROR(VLOOKUP(TblFeedFile1[[#This Row],[ Report Number ]],LkupPayrollCycle[],2,FALSE),"TBD")</f>
        <v>Bi-Weekly</v>
      </c>
      <c r="AH1036" t="str">
        <f>IF(TblFeedFile1[[#This Row],[Return to Work Date ]]="","","Y")</f>
        <v/>
      </c>
    </row>
    <row r="1037" spans="1:34" x14ac:dyDescent="0.25">
      <c r="A1037" t="s">
        <v>37</v>
      </c>
      <c r="B1037">
        <v>314304</v>
      </c>
      <c r="C1037">
        <v>26565117</v>
      </c>
      <c r="D1037" s="1">
        <v>541701238304</v>
      </c>
      <c r="E1037" t="s">
        <v>1356</v>
      </c>
      <c r="F1037" t="s">
        <v>1357</v>
      </c>
      <c r="G1037">
        <v>20170123</v>
      </c>
      <c r="H1037">
        <v>20170509</v>
      </c>
      <c r="I1037" t="s">
        <v>40</v>
      </c>
      <c r="L1037" t="s">
        <v>34</v>
      </c>
      <c r="M1037" t="s">
        <v>34</v>
      </c>
      <c r="N1037" t="s">
        <v>35</v>
      </c>
      <c r="O1037" t="s">
        <v>35</v>
      </c>
      <c r="P1037" t="s">
        <v>35</v>
      </c>
      <c r="Q1037" t="s">
        <v>35</v>
      </c>
      <c r="R1037" t="s">
        <v>35</v>
      </c>
      <c r="S1037" t="s">
        <v>34</v>
      </c>
      <c r="AD1037">
        <v>20170124</v>
      </c>
      <c r="AF1037" t="str">
        <f>IFERROR(VLOOKUP(RIGHT(TblFeedFile1[[#This Row],[Leave Type ]],6),LkupPayType[],2,FALSE),"TBD")</f>
        <v>TBD</v>
      </c>
      <c r="AG1037" t="str">
        <f>IFERROR(VLOOKUP(TblFeedFile1[[#This Row],[ Report Number ]],LkupPayrollCycle[],2,FALSE),"TBD")</f>
        <v>Bi-Weekly</v>
      </c>
      <c r="AH1037" t="str">
        <f>IF(TblFeedFile1[[#This Row],[Return to Work Date ]]="","","Y")</f>
        <v/>
      </c>
    </row>
    <row r="1038" spans="1:34" x14ac:dyDescent="0.25">
      <c r="A1038" t="s">
        <v>37</v>
      </c>
      <c r="B1038">
        <v>314304</v>
      </c>
      <c r="C1038">
        <v>26570313</v>
      </c>
      <c r="D1038" s="1">
        <v>501701098798</v>
      </c>
      <c r="E1038" t="s">
        <v>60</v>
      </c>
      <c r="F1038" t="s">
        <v>1358</v>
      </c>
      <c r="G1038">
        <v>20170124</v>
      </c>
      <c r="H1038">
        <v>20170601</v>
      </c>
      <c r="I1038" t="s">
        <v>53</v>
      </c>
      <c r="L1038" t="s">
        <v>35</v>
      </c>
      <c r="AD1038">
        <v>20170124</v>
      </c>
      <c r="AF1038" t="str">
        <f>IFERROR(VLOOKUP(RIGHT(TblFeedFile1[[#This Row],[Leave Type ]],6),LkupPayType[],2,FALSE),"TBD")</f>
        <v>TBD</v>
      </c>
      <c r="AG1038" t="str">
        <f>IFERROR(VLOOKUP(TblFeedFile1[[#This Row],[ Report Number ]],LkupPayrollCycle[],2,FALSE),"TBD")</f>
        <v>Bi-Weekly</v>
      </c>
      <c r="AH1038" t="str">
        <f>IF(TblFeedFile1[[#This Row],[Return to Work Date ]]="","","Y")</f>
        <v/>
      </c>
    </row>
    <row r="1039" spans="1:34" x14ac:dyDescent="0.25">
      <c r="A1039" t="s">
        <v>29</v>
      </c>
      <c r="B1039">
        <v>314304</v>
      </c>
      <c r="C1039">
        <v>26587426</v>
      </c>
      <c r="D1039" s="1" t="s">
        <v>1359</v>
      </c>
      <c r="E1039" t="s">
        <v>1260</v>
      </c>
      <c r="F1039" t="s">
        <v>263</v>
      </c>
      <c r="G1039">
        <v>20170120</v>
      </c>
      <c r="H1039">
        <v>20170120</v>
      </c>
      <c r="I1039" t="s">
        <v>33</v>
      </c>
      <c r="L1039" t="s">
        <v>34</v>
      </c>
      <c r="M1039" t="s">
        <v>35</v>
      </c>
      <c r="N1039" t="s">
        <v>35</v>
      </c>
      <c r="O1039" t="s">
        <v>35</v>
      </c>
      <c r="P1039" t="s">
        <v>35</v>
      </c>
      <c r="Q1039" t="s">
        <v>35</v>
      </c>
      <c r="R1039" t="s">
        <v>34</v>
      </c>
      <c r="S1039" t="s">
        <v>34</v>
      </c>
      <c r="AD1039">
        <v>20170124</v>
      </c>
      <c r="AF1039" t="str">
        <f>IFERROR(VLOOKUP(RIGHT(TblFeedFile1[[#This Row],[Leave Type ]],6),LkupPayType[],2,FALSE),"TBD")</f>
        <v>TBD</v>
      </c>
      <c r="AG1039" t="str">
        <f>IFERROR(VLOOKUP(TblFeedFile1[[#This Row],[ Report Number ]],LkupPayrollCycle[],2,FALSE),"TBD")</f>
        <v>Bi-Weekly</v>
      </c>
      <c r="AH1039" t="str">
        <f>IF(TblFeedFile1[[#This Row],[Return to Work Date ]]="","","Y")</f>
        <v/>
      </c>
    </row>
    <row r="1040" spans="1:34" x14ac:dyDescent="0.25">
      <c r="A1040" t="s">
        <v>37</v>
      </c>
      <c r="B1040">
        <v>314304</v>
      </c>
      <c r="C1040">
        <v>26587426</v>
      </c>
      <c r="D1040" s="1" t="s">
        <v>1359</v>
      </c>
      <c r="E1040" t="s">
        <v>1260</v>
      </c>
      <c r="F1040" t="s">
        <v>263</v>
      </c>
      <c r="G1040">
        <v>20170120</v>
      </c>
      <c r="H1040">
        <v>20170120</v>
      </c>
      <c r="I1040" t="s">
        <v>33</v>
      </c>
      <c r="L1040" t="s">
        <v>34</v>
      </c>
      <c r="M1040" t="s">
        <v>35</v>
      </c>
      <c r="N1040" t="s">
        <v>35</v>
      </c>
      <c r="O1040" t="s">
        <v>35</v>
      </c>
      <c r="P1040" t="s">
        <v>35</v>
      </c>
      <c r="Q1040" t="s">
        <v>35</v>
      </c>
      <c r="R1040" t="s">
        <v>35</v>
      </c>
      <c r="S1040" t="s">
        <v>34</v>
      </c>
      <c r="AD1040">
        <v>20170124</v>
      </c>
      <c r="AF1040" t="str">
        <f>IFERROR(VLOOKUP(RIGHT(TblFeedFile1[[#This Row],[Leave Type ]],6),LkupPayType[],2,FALSE),"TBD")</f>
        <v>TBD</v>
      </c>
      <c r="AG1040" t="str">
        <f>IFERROR(VLOOKUP(TblFeedFile1[[#This Row],[ Report Number ]],LkupPayrollCycle[],2,FALSE),"TBD")</f>
        <v>Bi-Weekly</v>
      </c>
      <c r="AH1040" t="str">
        <f>IF(TblFeedFile1[[#This Row],[Return to Work Date ]]="","","Y")</f>
        <v/>
      </c>
    </row>
    <row r="1041" spans="1:34" x14ac:dyDescent="0.25">
      <c r="A1041" t="s">
        <v>37</v>
      </c>
      <c r="B1041">
        <v>314304</v>
      </c>
      <c r="C1041">
        <v>26649934</v>
      </c>
      <c r="D1041" s="1">
        <v>531701248523</v>
      </c>
      <c r="E1041" t="s">
        <v>1360</v>
      </c>
      <c r="F1041" t="s">
        <v>324</v>
      </c>
      <c r="G1041">
        <v>20170113</v>
      </c>
      <c r="I1041" t="s">
        <v>53</v>
      </c>
      <c r="L1041" t="s">
        <v>34</v>
      </c>
      <c r="M1041" t="s">
        <v>35</v>
      </c>
      <c r="N1041" t="s">
        <v>35</v>
      </c>
      <c r="O1041" t="s">
        <v>35</v>
      </c>
      <c r="P1041" t="s">
        <v>35</v>
      </c>
      <c r="Q1041" t="s">
        <v>35</v>
      </c>
      <c r="R1041" t="s">
        <v>34</v>
      </c>
      <c r="S1041" t="s">
        <v>34</v>
      </c>
      <c r="AD1041">
        <v>20170124</v>
      </c>
      <c r="AF1041" t="str">
        <f>IFERROR(VLOOKUP(RIGHT(TblFeedFile1[[#This Row],[Leave Type ]],6),LkupPayType[],2,FALSE),"TBD")</f>
        <v>TBD</v>
      </c>
      <c r="AG1041" t="str">
        <f>IFERROR(VLOOKUP(TblFeedFile1[[#This Row],[ Report Number ]],LkupPayrollCycle[],2,FALSE),"TBD")</f>
        <v>Bi-Weekly</v>
      </c>
      <c r="AH1041" t="str">
        <f>IF(TblFeedFile1[[#This Row],[Return to Work Date ]]="","","Y")</f>
        <v/>
      </c>
    </row>
    <row r="1042" spans="1:34" x14ac:dyDescent="0.25">
      <c r="A1042" t="s">
        <v>29</v>
      </c>
      <c r="B1042">
        <v>314304</v>
      </c>
      <c r="C1042">
        <v>26692637</v>
      </c>
      <c r="D1042" s="1" t="s">
        <v>1361</v>
      </c>
      <c r="E1042" t="s">
        <v>1219</v>
      </c>
      <c r="F1042" t="s">
        <v>1362</v>
      </c>
      <c r="G1042">
        <v>20170114</v>
      </c>
      <c r="H1042">
        <v>20170114</v>
      </c>
      <c r="I1042" t="s">
        <v>33</v>
      </c>
      <c r="L1042" t="s">
        <v>34</v>
      </c>
      <c r="M1042" t="s">
        <v>34</v>
      </c>
      <c r="N1042" t="s">
        <v>35</v>
      </c>
      <c r="O1042" t="s">
        <v>35</v>
      </c>
      <c r="P1042" t="s">
        <v>35</v>
      </c>
      <c r="Q1042" t="s">
        <v>35</v>
      </c>
      <c r="R1042" t="s">
        <v>35</v>
      </c>
      <c r="S1042" t="s">
        <v>34</v>
      </c>
      <c r="AC1042" t="s">
        <v>35</v>
      </c>
      <c r="AD1042">
        <v>20170124</v>
      </c>
      <c r="AF1042" t="str">
        <f>IFERROR(VLOOKUP(RIGHT(TblFeedFile1[[#This Row],[Leave Type ]],6),LkupPayType[],2,FALSE),"TBD")</f>
        <v>TBD</v>
      </c>
      <c r="AG1042" t="str">
        <f>IFERROR(VLOOKUP(TblFeedFile1[[#This Row],[ Report Number ]],LkupPayrollCycle[],2,FALSE),"TBD")</f>
        <v>Bi-Weekly</v>
      </c>
      <c r="AH1042" t="str">
        <f>IF(TblFeedFile1[[#This Row],[Return to Work Date ]]="","","Y")</f>
        <v/>
      </c>
    </row>
    <row r="1043" spans="1:34" x14ac:dyDescent="0.25">
      <c r="A1043" t="s">
        <v>29</v>
      </c>
      <c r="B1043">
        <v>314304</v>
      </c>
      <c r="C1043">
        <v>26692637</v>
      </c>
      <c r="D1043" s="1" t="s">
        <v>1361</v>
      </c>
      <c r="E1043" t="s">
        <v>1219</v>
      </c>
      <c r="F1043" t="s">
        <v>1362</v>
      </c>
      <c r="G1043">
        <v>20160926</v>
      </c>
      <c r="H1043">
        <v>20170113</v>
      </c>
      <c r="I1043" t="s">
        <v>223</v>
      </c>
      <c r="L1043" t="s">
        <v>34</v>
      </c>
      <c r="M1043" t="s">
        <v>34</v>
      </c>
      <c r="N1043" t="s">
        <v>35</v>
      </c>
      <c r="O1043" t="s">
        <v>35</v>
      </c>
      <c r="P1043" t="s">
        <v>35</v>
      </c>
      <c r="Q1043" t="s">
        <v>35</v>
      </c>
      <c r="R1043" t="s">
        <v>35</v>
      </c>
      <c r="S1043" t="s">
        <v>34</v>
      </c>
      <c r="AC1043" t="s">
        <v>35</v>
      </c>
      <c r="AD1043">
        <v>20170124</v>
      </c>
      <c r="AF1043" t="str">
        <f>IFERROR(VLOOKUP(RIGHT(TblFeedFile1[[#This Row],[Leave Type ]],6),LkupPayType[],2,FALSE),"TBD")</f>
        <v>TBD</v>
      </c>
      <c r="AG1043" t="str">
        <f>IFERROR(VLOOKUP(TblFeedFile1[[#This Row],[ Report Number ]],LkupPayrollCycle[],2,FALSE),"TBD")</f>
        <v>Bi-Weekly</v>
      </c>
      <c r="AH1043" t="str">
        <f>IF(TblFeedFile1[[#This Row],[Return to Work Date ]]="","","Y")</f>
        <v/>
      </c>
    </row>
    <row r="1044" spans="1:34" x14ac:dyDescent="0.25">
      <c r="A1044" t="s">
        <v>37</v>
      </c>
      <c r="B1044">
        <v>314304</v>
      </c>
      <c r="C1044">
        <v>26692637</v>
      </c>
      <c r="D1044" s="1" t="s">
        <v>1361</v>
      </c>
      <c r="E1044" t="s">
        <v>1219</v>
      </c>
      <c r="F1044" t="s">
        <v>1362</v>
      </c>
      <c r="G1044">
        <v>20160926</v>
      </c>
      <c r="H1044">
        <v>20170116</v>
      </c>
      <c r="I1044" t="s">
        <v>223</v>
      </c>
      <c r="L1044" t="s">
        <v>34</v>
      </c>
      <c r="M1044" t="s">
        <v>34</v>
      </c>
      <c r="N1044" t="s">
        <v>35</v>
      </c>
      <c r="O1044" t="s">
        <v>35</v>
      </c>
      <c r="P1044" t="s">
        <v>35</v>
      </c>
      <c r="Q1044" t="s">
        <v>35</v>
      </c>
      <c r="R1044" t="s">
        <v>35</v>
      </c>
      <c r="S1044" t="s">
        <v>34</v>
      </c>
      <c r="AC1044" t="s">
        <v>35</v>
      </c>
      <c r="AD1044">
        <v>20170124</v>
      </c>
      <c r="AF1044" t="str">
        <f>IFERROR(VLOOKUP(RIGHT(TblFeedFile1[[#This Row],[Leave Type ]],6),LkupPayType[],2,FALSE),"TBD")</f>
        <v>TBD</v>
      </c>
      <c r="AG1044" t="str">
        <f>IFERROR(VLOOKUP(TblFeedFile1[[#This Row],[ Report Number ]],LkupPayrollCycle[],2,FALSE),"TBD")</f>
        <v>Bi-Weekly</v>
      </c>
      <c r="AH1044" t="str">
        <f>IF(TblFeedFile1[[#This Row],[Return to Work Date ]]="","","Y")</f>
        <v/>
      </c>
    </row>
    <row r="1045" spans="1:34" x14ac:dyDescent="0.25">
      <c r="A1045" t="s">
        <v>37</v>
      </c>
      <c r="B1045">
        <v>314304</v>
      </c>
      <c r="C1045">
        <v>26692637</v>
      </c>
      <c r="D1045" s="1" t="s">
        <v>1361</v>
      </c>
      <c r="E1045" t="s">
        <v>1219</v>
      </c>
      <c r="F1045" t="s">
        <v>1362</v>
      </c>
      <c r="G1045">
        <v>20170116</v>
      </c>
      <c r="H1045">
        <v>20170116</v>
      </c>
      <c r="I1045" t="s">
        <v>185</v>
      </c>
      <c r="L1045" t="s">
        <v>34</v>
      </c>
      <c r="M1045" t="s">
        <v>34</v>
      </c>
      <c r="N1045" t="s">
        <v>35</v>
      </c>
      <c r="O1045" t="s">
        <v>35</v>
      </c>
      <c r="P1045" t="s">
        <v>35</v>
      </c>
      <c r="Q1045" t="s">
        <v>35</v>
      </c>
      <c r="R1045" t="s">
        <v>35</v>
      </c>
      <c r="S1045" t="s">
        <v>34</v>
      </c>
      <c r="T1045">
        <v>20170117</v>
      </c>
      <c r="AC1045" t="s">
        <v>35</v>
      </c>
      <c r="AD1045">
        <v>20170124</v>
      </c>
      <c r="AF1045" t="str">
        <f>IFERROR(VLOOKUP(RIGHT(TblFeedFile1[[#This Row],[Leave Type ]],6),LkupPayType[],2,FALSE),"TBD")</f>
        <v>TBD</v>
      </c>
      <c r="AG1045" t="str">
        <f>IFERROR(VLOOKUP(TblFeedFile1[[#This Row],[ Report Number ]],LkupPayrollCycle[],2,FALSE),"TBD")</f>
        <v>Bi-Weekly</v>
      </c>
      <c r="AH1045" t="str">
        <f>IF(TblFeedFile1[[#This Row],[Return to Work Date ]]="","","Y")</f>
        <v>Y</v>
      </c>
    </row>
    <row r="1046" spans="1:34" x14ac:dyDescent="0.25">
      <c r="A1046" t="s">
        <v>29</v>
      </c>
      <c r="B1046">
        <v>314304</v>
      </c>
      <c r="C1046">
        <v>26700713</v>
      </c>
      <c r="D1046" s="1">
        <v>501701188340</v>
      </c>
      <c r="E1046" t="s">
        <v>1363</v>
      </c>
      <c r="F1046" t="s">
        <v>1364</v>
      </c>
      <c r="G1046">
        <v>20170117</v>
      </c>
      <c r="H1046">
        <v>20170129</v>
      </c>
      <c r="I1046" t="s">
        <v>53</v>
      </c>
      <c r="L1046" t="s">
        <v>34</v>
      </c>
      <c r="M1046" t="s">
        <v>34</v>
      </c>
      <c r="N1046" t="s">
        <v>35</v>
      </c>
      <c r="O1046" t="s">
        <v>35</v>
      </c>
      <c r="P1046" t="s">
        <v>35</v>
      </c>
      <c r="Q1046" t="s">
        <v>35</v>
      </c>
      <c r="R1046" t="s">
        <v>35</v>
      </c>
      <c r="S1046" t="s">
        <v>34</v>
      </c>
      <c r="AD1046">
        <v>20170124</v>
      </c>
      <c r="AF1046" t="str">
        <f>IFERROR(VLOOKUP(RIGHT(TblFeedFile1[[#This Row],[Leave Type ]],6),LkupPayType[],2,FALSE),"TBD")</f>
        <v>TBD</v>
      </c>
      <c r="AG1046" t="str">
        <f>IFERROR(VLOOKUP(TblFeedFile1[[#This Row],[ Report Number ]],LkupPayrollCycle[],2,FALSE),"TBD")</f>
        <v>Bi-Weekly</v>
      </c>
      <c r="AH1046" t="str">
        <f>IF(TblFeedFile1[[#This Row],[Return to Work Date ]]="","","Y")</f>
        <v/>
      </c>
    </row>
    <row r="1047" spans="1:34" x14ac:dyDescent="0.25">
      <c r="A1047" t="s">
        <v>37</v>
      </c>
      <c r="B1047">
        <v>314304</v>
      </c>
      <c r="C1047">
        <v>26700713</v>
      </c>
      <c r="D1047" s="1">
        <v>501701188340</v>
      </c>
      <c r="E1047" t="s">
        <v>1363</v>
      </c>
      <c r="F1047" t="s">
        <v>1364</v>
      </c>
      <c r="G1047">
        <v>20170117</v>
      </c>
      <c r="H1047">
        <v>20170206</v>
      </c>
      <c r="I1047" t="s">
        <v>53</v>
      </c>
      <c r="L1047" t="s">
        <v>34</v>
      </c>
      <c r="M1047" t="s">
        <v>34</v>
      </c>
      <c r="N1047" t="s">
        <v>35</v>
      </c>
      <c r="O1047" t="s">
        <v>35</v>
      </c>
      <c r="P1047" t="s">
        <v>35</v>
      </c>
      <c r="Q1047" t="s">
        <v>35</v>
      </c>
      <c r="R1047" t="s">
        <v>35</v>
      </c>
      <c r="S1047" t="s">
        <v>34</v>
      </c>
      <c r="AD1047">
        <v>20170124</v>
      </c>
      <c r="AF1047" t="str">
        <f>IFERROR(VLOOKUP(RIGHT(TblFeedFile1[[#This Row],[Leave Type ]],6),LkupPayType[],2,FALSE),"TBD")</f>
        <v>TBD</v>
      </c>
      <c r="AG1047" t="str">
        <f>IFERROR(VLOOKUP(TblFeedFile1[[#This Row],[ Report Number ]],LkupPayrollCycle[],2,FALSE),"TBD")</f>
        <v>Bi-Weekly</v>
      </c>
      <c r="AH1047" t="str">
        <f>IF(TblFeedFile1[[#This Row],[Return to Work Date ]]="","","Y")</f>
        <v/>
      </c>
    </row>
    <row r="1048" spans="1:34" x14ac:dyDescent="0.25">
      <c r="A1048" t="s">
        <v>37</v>
      </c>
      <c r="B1048">
        <v>314304</v>
      </c>
      <c r="C1048">
        <v>26700713</v>
      </c>
      <c r="D1048" s="1">
        <v>501701188340</v>
      </c>
      <c r="E1048" t="s">
        <v>1363</v>
      </c>
      <c r="F1048" t="s">
        <v>1364</v>
      </c>
      <c r="G1048">
        <v>20170124</v>
      </c>
      <c r="H1048">
        <v>20170206</v>
      </c>
      <c r="I1048" t="s">
        <v>40</v>
      </c>
      <c r="L1048" t="s">
        <v>34</v>
      </c>
      <c r="M1048" t="s">
        <v>34</v>
      </c>
      <c r="N1048" t="s">
        <v>35</v>
      </c>
      <c r="O1048" t="s">
        <v>35</v>
      </c>
      <c r="P1048" t="s">
        <v>35</v>
      </c>
      <c r="Q1048" t="s">
        <v>35</v>
      </c>
      <c r="R1048" t="s">
        <v>35</v>
      </c>
      <c r="S1048" t="s">
        <v>34</v>
      </c>
      <c r="AD1048">
        <v>20170124</v>
      </c>
      <c r="AF1048" t="str">
        <f>IFERROR(VLOOKUP(RIGHT(TblFeedFile1[[#This Row],[Leave Type ]],6),LkupPayType[],2,FALSE),"TBD")</f>
        <v>TBD</v>
      </c>
      <c r="AG1048" t="str">
        <f>IFERROR(VLOOKUP(TblFeedFile1[[#This Row],[ Report Number ]],LkupPayrollCycle[],2,FALSE),"TBD")</f>
        <v>Bi-Weekly</v>
      </c>
      <c r="AH1048" t="str">
        <f>IF(TblFeedFile1[[#This Row],[Return to Work Date ]]="","","Y")</f>
        <v/>
      </c>
    </row>
    <row r="1049" spans="1:34" x14ac:dyDescent="0.25">
      <c r="A1049" t="s">
        <v>29</v>
      </c>
      <c r="B1049">
        <v>314301</v>
      </c>
      <c r="C1049">
        <v>26710548</v>
      </c>
      <c r="D1049" s="1" t="s">
        <v>1365</v>
      </c>
      <c r="E1049" t="s">
        <v>1366</v>
      </c>
      <c r="F1049" t="s">
        <v>1367</v>
      </c>
      <c r="G1049">
        <v>20170114</v>
      </c>
      <c r="H1049">
        <v>20170114</v>
      </c>
      <c r="I1049" t="s">
        <v>33</v>
      </c>
      <c r="L1049" t="s">
        <v>34</v>
      </c>
      <c r="M1049" t="s">
        <v>34</v>
      </c>
      <c r="N1049" t="s">
        <v>35</v>
      </c>
      <c r="O1049" t="s">
        <v>35</v>
      </c>
      <c r="P1049" t="s">
        <v>35</v>
      </c>
      <c r="Q1049" t="s">
        <v>35</v>
      </c>
      <c r="R1049" t="s">
        <v>35</v>
      </c>
      <c r="S1049" t="s">
        <v>34</v>
      </c>
      <c r="AC1049" t="s">
        <v>35</v>
      </c>
      <c r="AD1049">
        <v>20170124</v>
      </c>
      <c r="AF1049" t="str">
        <f>IFERROR(VLOOKUP(RIGHT(TblFeedFile1[[#This Row],[Leave Type ]],6),LkupPayType[],2,FALSE),"TBD")</f>
        <v>TBD</v>
      </c>
      <c r="AG1049" t="str">
        <f>IFERROR(VLOOKUP(TblFeedFile1[[#This Row],[ Report Number ]],LkupPayrollCycle[],2,FALSE),"TBD")</f>
        <v>Semi-Monthly</v>
      </c>
      <c r="AH1049" t="str">
        <f>IF(TblFeedFile1[[#This Row],[Return to Work Date ]]="","","Y")</f>
        <v/>
      </c>
    </row>
    <row r="1050" spans="1:34" x14ac:dyDescent="0.25">
      <c r="A1050" t="s">
        <v>29</v>
      </c>
      <c r="B1050">
        <v>314301</v>
      </c>
      <c r="C1050">
        <v>26710548</v>
      </c>
      <c r="D1050" s="1" t="s">
        <v>1365</v>
      </c>
      <c r="E1050" t="s">
        <v>1366</v>
      </c>
      <c r="F1050" t="s">
        <v>1367</v>
      </c>
      <c r="G1050">
        <v>20160926</v>
      </c>
      <c r="H1050">
        <v>20170113</v>
      </c>
      <c r="I1050" t="s">
        <v>223</v>
      </c>
      <c r="L1050" t="s">
        <v>34</v>
      </c>
      <c r="M1050" t="s">
        <v>34</v>
      </c>
      <c r="N1050" t="s">
        <v>35</v>
      </c>
      <c r="O1050" t="s">
        <v>35</v>
      </c>
      <c r="P1050" t="s">
        <v>35</v>
      </c>
      <c r="Q1050" t="s">
        <v>35</v>
      </c>
      <c r="R1050" t="s">
        <v>35</v>
      </c>
      <c r="S1050" t="s">
        <v>34</v>
      </c>
      <c r="AC1050" t="s">
        <v>35</v>
      </c>
      <c r="AD1050">
        <v>20170124</v>
      </c>
      <c r="AF1050" t="str">
        <f>IFERROR(VLOOKUP(RIGHT(TblFeedFile1[[#This Row],[Leave Type ]],6),LkupPayType[],2,FALSE),"TBD")</f>
        <v>TBD</v>
      </c>
      <c r="AG1050" t="str">
        <f>IFERROR(VLOOKUP(TblFeedFile1[[#This Row],[ Report Number ]],LkupPayrollCycle[],2,FALSE),"TBD")</f>
        <v>Semi-Monthly</v>
      </c>
      <c r="AH1050" t="str">
        <f>IF(TblFeedFile1[[#This Row],[Return to Work Date ]]="","","Y")</f>
        <v/>
      </c>
    </row>
    <row r="1051" spans="1:34" x14ac:dyDescent="0.25">
      <c r="A1051" t="s">
        <v>37</v>
      </c>
      <c r="B1051">
        <v>314301</v>
      </c>
      <c r="C1051">
        <v>26710548</v>
      </c>
      <c r="D1051" s="1" t="s">
        <v>1365</v>
      </c>
      <c r="E1051" t="s">
        <v>1366</v>
      </c>
      <c r="F1051" t="s">
        <v>1367</v>
      </c>
      <c r="G1051">
        <v>20160926</v>
      </c>
      <c r="H1051">
        <v>20170116</v>
      </c>
      <c r="I1051" t="s">
        <v>223</v>
      </c>
      <c r="L1051" t="s">
        <v>34</v>
      </c>
      <c r="M1051" t="s">
        <v>34</v>
      </c>
      <c r="N1051" t="s">
        <v>35</v>
      </c>
      <c r="O1051" t="s">
        <v>35</v>
      </c>
      <c r="P1051" t="s">
        <v>35</v>
      </c>
      <c r="Q1051" t="s">
        <v>35</v>
      </c>
      <c r="R1051" t="s">
        <v>35</v>
      </c>
      <c r="S1051" t="s">
        <v>34</v>
      </c>
      <c r="T1051">
        <v>20170117</v>
      </c>
      <c r="AC1051" t="s">
        <v>35</v>
      </c>
      <c r="AD1051">
        <v>20170124</v>
      </c>
      <c r="AF1051" t="str">
        <f>IFERROR(VLOOKUP(RIGHT(TblFeedFile1[[#This Row],[Leave Type ]],6),LkupPayType[],2,FALSE),"TBD")</f>
        <v>TBD</v>
      </c>
      <c r="AG1051" t="str">
        <f>IFERROR(VLOOKUP(TblFeedFile1[[#This Row],[ Report Number ]],LkupPayrollCycle[],2,FALSE),"TBD")</f>
        <v>Semi-Monthly</v>
      </c>
      <c r="AH1051" t="str">
        <f>IF(TblFeedFile1[[#This Row],[Return to Work Date ]]="","","Y")</f>
        <v>Y</v>
      </c>
    </row>
    <row r="1052" spans="1:34" x14ac:dyDescent="0.25">
      <c r="A1052" t="s">
        <v>37</v>
      </c>
      <c r="B1052">
        <v>314304</v>
      </c>
      <c r="C1052">
        <v>26714034</v>
      </c>
      <c r="D1052" s="1" t="s">
        <v>1368</v>
      </c>
      <c r="E1052" t="s">
        <v>1369</v>
      </c>
      <c r="F1052" t="s">
        <v>1370</v>
      </c>
      <c r="G1052">
        <v>20170124</v>
      </c>
      <c r="H1052">
        <v>20170124</v>
      </c>
      <c r="I1052" t="s">
        <v>33</v>
      </c>
      <c r="L1052" t="s">
        <v>34</v>
      </c>
      <c r="M1052" t="s">
        <v>34</v>
      </c>
      <c r="N1052" t="s">
        <v>35</v>
      </c>
      <c r="O1052" t="s">
        <v>35</v>
      </c>
      <c r="P1052" t="s">
        <v>35</v>
      </c>
      <c r="Q1052" t="s">
        <v>35</v>
      </c>
      <c r="R1052" t="s">
        <v>35</v>
      </c>
      <c r="S1052" t="s">
        <v>34</v>
      </c>
      <c r="AD1052">
        <v>20170124</v>
      </c>
      <c r="AF1052" t="str">
        <f>IFERROR(VLOOKUP(RIGHT(TblFeedFile1[[#This Row],[Leave Type ]],6),LkupPayType[],2,FALSE),"TBD")</f>
        <v>TBD</v>
      </c>
      <c r="AG1052" t="str">
        <f>IFERROR(VLOOKUP(TblFeedFile1[[#This Row],[ Report Number ]],LkupPayrollCycle[],2,FALSE),"TBD")</f>
        <v>Bi-Weekly</v>
      </c>
      <c r="AH1052" t="str">
        <f>IF(TblFeedFile1[[#This Row],[Return to Work Date ]]="","","Y")</f>
        <v/>
      </c>
    </row>
    <row r="1053" spans="1:34" x14ac:dyDescent="0.25">
      <c r="A1053" t="s">
        <v>37</v>
      </c>
      <c r="B1053">
        <v>314301</v>
      </c>
      <c r="C1053">
        <v>26725696</v>
      </c>
      <c r="D1053" s="1">
        <v>501701248580</v>
      </c>
      <c r="E1053" t="s">
        <v>601</v>
      </c>
      <c r="F1053" t="s">
        <v>1371</v>
      </c>
      <c r="G1053">
        <v>20170118</v>
      </c>
      <c r="I1053" t="s">
        <v>53</v>
      </c>
      <c r="L1053" t="s">
        <v>34</v>
      </c>
      <c r="M1053" t="s">
        <v>34</v>
      </c>
      <c r="N1053" t="s">
        <v>35</v>
      </c>
      <c r="O1053" t="s">
        <v>35</v>
      </c>
      <c r="P1053" t="s">
        <v>35</v>
      </c>
      <c r="Q1053" t="s">
        <v>35</v>
      </c>
      <c r="R1053" t="s">
        <v>35</v>
      </c>
      <c r="S1053" t="s">
        <v>34</v>
      </c>
      <c r="AD1053">
        <v>20170124</v>
      </c>
      <c r="AF1053" t="str">
        <f>IFERROR(VLOOKUP(RIGHT(TblFeedFile1[[#This Row],[Leave Type ]],6),LkupPayType[],2,FALSE),"TBD")</f>
        <v>TBD</v>
      </c>
      <c r="AG1053" t="str">
        <f>IFERROR(VLOOKUP(TblFeedFile1[[#This Row],[ Report Number ]],LkupPayrollCycle[],2,FALSE),"TBD")</f>
        <v>Semi-Monthly</v>
      </c>
      <c r="AH1053" t="str">
        <f>IF(TblFeedFile1[[#This Row],[Return to Work Date ]]="","","Y")</f>
        <v/>
      </c>
    </row>
    <row r="1054" spans="1:34" x14ac:dyDescent="0.25">
      <c r="A1054" t="s">
        <v>37</v>
      </c>
      <c r="B1054">
        <v>314301</v>
      </c>
      <c r="C1054">
        <v>26770955</v>
      </c>
      <c r="D1054" s="1" t="s">
        <v>1372</v>
      </c>
      <c r="E1054" t="s">
        <v>1373</v>
      </c>
      <c r="F1054" t="s">
        <v>120</v>
      </c>
      <c r="G1054">
        <v>20170121</v>
      </c>
      <c r="H1054">
        <v>20170121</v>
      </c>
      <c r="I1054" t="s">
        <v>33</v>
      </c>
      <c r="L1054" t="s">
        <v>34</v>
      </c>
      <c r="M1054" t="s">
        <v>34</v>
      </c>
      <c r="N1054" t="s">
        <v>35</v>
      </c>
      <c r="O1054" t="s">
        <v>35</v>
      </c>
      <c r="P1054" t="s">
        <v>35</v>
      </c>
      <c r="Q1054" t="s">
        <v>35</v>
      </c>
      <c r="R1054" t="s">
        <v>35</v>
      </c>
      <c r="S1054" t="s">
        <v>34</v>
      </c>
      <c r="AC1054" t="s">
        <v>35</v>
      </c>
      <c r="AD1054">
        <v>20170124</v>
      </c>
      <c r="AF1054" t="str">
        <f>IFERROR(VLOOKUP(RIGHT(TblFeedFile1[[#This Row],[Leave Type ]],6),LkupPayType[],2,FALSE),"TBD")</f>
        <v>TBD</v>
      </c>
      <c r="AG1054" t="str">
        <f>IFERROR(VLOOKUP(TblFeedFile1[[#This Row],[ Report Number ]],LkupPayrollCycle[],2,FALSE),"TBD")</f>
        <v>Semi-Monthly</v>
      </c>
      <c r="AH1054" t="str">
        <f>IF(TblFeedFile1[[#This Row],[Return to Work Date ]]="","","Y")</f>
        <v/>
      </c>
    </row>
    <row r="1055" spans="1:34" x14ac:dyDescent="0.25">
      <c r="A1055" t="s">
        <v>37</v>
      </c>
      <c r="B1055">
        <v>314301</v>
      </c>
      <c r="C1055">
        <v>26775794</v>
      </c>
      <c r="D1055" s="1" t="s">
        <v>1374</v>
      </c>
      <c r="E1055" t="s">
        <v>681</v>
      </c>
      <c r="F1055" t="s">
        <v>1375</v>
      </c>
      <c r="G1055">
        <v>20170126</v>
      </c>
      <c r="H1055">
        <v>20170517</v>
      </c>
      <c r="I1055" t="s">
        <v>273</v>
      </c>
      <c r="L1055" t="s">
        <v>34</v>
      </c>
      <c r="M1055" t="s">
        <v>34</v>
      </c>
      <c r="N1055" t="s">
        <v>35</v>
      </c>
      <c r="O1055" t="s">
        <v>35</v>
      </c>
      <c r="P1055" t="s">
        <v>35</v>
      </c>
      <c r="Q1055" t="s">
        <v>35</v>
      </c>
      <c r="R1055" t="s">
        <v>35</v>
      </c>
      <c r="S1055" t="s">
        <v>35</v>
      </c>
      <c r="AD1055">
        <v>20170124</v>
      </c>
      <c r="AF1055" t="str">
        <f>IFERROR(VLOOKUP(RIGHT(TblFeedFile1[[#This Row],[Leave Type ]],6),LkupPayType[],2,FALSE),"TBD")</f>
        <v>TBD</v>
      </c>
      <c r="AG1055" t="str">
        <f>IFERROR(VLOOKUP(TblFeedFile1[[#This Row],[ Report Number ]],LkupPayrollCycle[],2,FALSE),"TBD")</f>
        <v>Semi-Monthly</v>
      </c>
      <c r="AH1055" t="str">
        <f>IF(TblFeedFile1[[#This Row],[Return to Work Date ]]="","","Y")</f>
        <v/>
      </c>
    </row>
    <row r="1056" spans="1:34" x14ac:dyDescent="0.25">
      <c r="A1056" t="s">
        <v>37</v>
      </c>
      <c r="B1056">
        <v>314304</v>
      </c>
      <c r="C1056">
        <v>26779847</v>
      </c>
      <c r="D1056" s="1" t="s">
        <v>1376</v>
      </c>
      <c r="E1056" t="s">
        <v>313</v>
      </c>
      <c r="F1056" t="s">
        <v>1377</v>
      </c>
      <c r="G1056">
        <v>20170123</v>
      </c>
      <c r="H1056">
        <v>20170515</v>
      </c>
      <c r="I1056" t="s">
        <v>223</v>
      </c>
      <c r="L1056" t="s">
        <v>34</v>
      </c>
      <c r="M1056" t="s">
        <v>34</v>
      </c>
      <c r="N1056" t="s">
        <v>35</v>
      </c>
      <c r="O1056" t="s">
        <v>35</v>
      </c>
      <c r="P1056" t="s">
        <v>35</v>
      </c>
      <c r="Q1056" t="s">
        <v>35</v>
      </c>
      <c r="R1056" t="s">
        <v>35</v>
      </c>
      <c r="S1056" t="s">
        <v>34</v>
      </c>
      <c r="AD1056">
        <v>20170124</v>
      </c>
      <c r="AF1056" t="str">
        <f>IFERROR(VLOOKUP(RIGHT(TblFeedFile1[[#This Row],[Leave Type ]],6),LkupPayType[],2,FALSE),"TBD")</f>
        <v>TBD</v>
      </c>
      <c r="AG1056" t="str">
        <f>IFERROR(VLOOKUP(TblFeedFile1[[#This Row],[ Report Number ]],LkupPayrollCycle[],2,FALSE),"TBD")</f>
        <v>Bi-Weekly</v>
      </c>
      <c r="AH1056" t="str">
        <f>IF(TblFeedFile1[[#This Row],[Return to Work Date ]]="","","Y")</f>
        <v/>
      </c>
    </row>
    <row r="1057" spans="1:34" x14ac:dyDescent="0.25">
      <c r="A1057" t="s">
        <v>37</v>
      </c>
      <c r="B1057">
        <v>314304</v>
      </c>
      <c r="C1057">
        <v>26806270</v>
      </c>
      <c r="D1057" s="1">
        <v>561701098606</v>
      </c>
      <c r="E1057" t="s">
        <v>533</v>
      </c>
      <c r="F1057" t="s">
        <v>1378</v>
      </c>
      <c r="G1057">
        <v>20170124</v>
      </c>
      <c r="H1057">
        <v>20170717</v>
      </c>
      <c r="I1057" t="s">
        <v>40</v>
      </c>
      <c r="L1057" t="s">
        <v>34</v>
      </c>
      <c r="M1057" t="s">
        <v>34</v>
      </c>
      <c r="N1057" t="s">
        <v>35</v>
      </c>
      <c r="O1057" t="s">
        <v>35</v>
      </c>
      <c r="P1057" t="s">
        <v>35</v>
      </c>
      <c r="Q1057" t="s">
        <v>35</v>
      </c>
      <c r="R1057" t="s">
        <v>35</v>
      </c>
      <c r="S1057" t="s">
        <v>34</v>
      </c>
      <c r="AD1057">
        <v>20170124</v>
      </c>
      <c r="AF1057" t="str">
        <f>IFERROR(VLOOKUP(RIGHT(TblFeedFile1[[#This Row],[Leave Type ]],6),LkupPayType[],2,FALSE),"TBD")</f>
        <v>TBD</v>
      </c>
      <c r="AG1057" t="str">
        <f>IFERROR(VLOOKUP(TblFeedFile1[[#This Row],[ Report Number ]],LkupPayrollCycle[],2,FALSE),"TBD")</f>
        <v>Bi-Weekly</v>
      </c>
      <c r="AH1057" t="str">
        <f>IF(TblFeedFile1[[#This Row],[Return to Work Date ]]="","","Y")</f>
        <v/>
      </c>
    </row>
    <row r="1058" spans="1:34" x14ac:dyDescent="0.25">
      <c r="A1058" t="s">
        <v>37</v>
      </c>
      <c r="B1058">
        <v>314304</v>
      </c>
      <c r="C1058">
        <v>26808466</v>
      </c>
      <c r="D1058" s="1">
        <v>501701128560</v>
      </c>
      <c r="E1058" t="s">
        <v>1379</v>
      </c>
      <c r="F1058" t="s">
        <v>1380</v>
      </c>
      <c r="G1058">
        <v>20170123</v>
      </c>
      <c r="H1058">
        <v>20170518</v>
      </c>
      <c r="I1058" t="s">
        <v>53</v>
      </c>
      <c r="L1058" t="s">
        <v>34</v>
      </c>
      <c r="M1058" t="s">
        <v>34</v>
      </c>
      <c r="N1058" t="s">
        <v>35</v>
      </c>
      <c r="O1058" t="s">
        <v>35</v>
      </c>
      <c r="P1058" t="s">
        <v>35</v>
      </c>
      <c r="Q1058" t="s">
        <v>35</v>
      </c>
      <c r="R1058" t="s">
        <v>35</v>
      </c>
      <c r="S1058" t="s">
        <v>34</v>
      </c>
      <c r="AD1058">
        <v>20170124</v>
      </c>
      <c r="AF1058" t="str">
        <f>IFERROR(VLOOKUP(RIGHT(TblFeedFile1[[#This Row],[Leave Type ]],6),LkupPayType[],2,FALSE),"TBD")</f>
        <v>TBD</v>
      </c>
      <c r="AG1058" t="str">
        <f>IFERROR(VLOOKUP(TblFeedFile1[[#This Row],[ Report Number ]],LkupPayrollCycle[],2,FALSE),"TBD")</f>
        <v>Bi-Weekly</v>
      </c>
      <c r="AH1058" t="str">
        <f>IF(TblFeedFile1[[#This Row],[Return to Work Date ]]="","","Y")</f>
        <v/>
      </c>
    </row>
    <row r="1059" spans="1:34" x14ac:dyDescent="0.25">
      <c r="A1059" t="s">
        <v>29</v>
      </c>
      <c r="B1059">
        <v>314304</v>
      </c>
      <c r="C1059">
        <v>26825009</v>
      </c>
      <c r="D1059" s="1">
        <v>511701108109</v>
      </c>
      <c r="E1059" t="s">
        <v>1381</v>
      </c>
      <c r="F1059" t="s">
        <v>1382</v>
      </c>
      <c r="G1059">
        <v>20170116</v>
      </c>
      <c r="H1059">
        <v>20170118</v>
      </c>
      <c r="I1059" t="s">
        <v>40</v>
      </c>
      <c r="L1059" t="s">
        <v>34</v>
      </c>
      <c r="M1059" t="s">
        <v>34</v>
      </c>
      <c r="N1059" t="s">
        <v>35</v>
      </c>
      <c r="O1059" t="s">
        <v>35</v>
      </c>
      <c r="P1059" t="s">
        <v>35</v>
      </c>
      <c r="Q1059" t="s">
        <v>35</v>
      </c>
      <c r="R1059" t="s">
        <v>35</v>
      </c>
      <c r="S1059" t="s">
        <v>34</v>
      </c>
      <c r="T1059">
        <v>20170119</v>
      </c>
      <c r="AD1059">
        <v>20170124</v>
      </c>
      <c r="AF1059" t="str">
        <f>IFERROR(VLOOKUP(RIGHT(TblFeedFile1[[#This Row],[Leave Type ]],6),LkupPayType[],2,FALSE),"TBD")</f>
        <v>TBD</v>
      </c>
      <c r="AG1059" t="str">
        <f>IFERROR(VLOOKUP(TblFeedFile1[[#This Row],[ Report Number ]],LkupPayrollCycle[],2,FALSE),"TBD")</f>
        <v>Bi-Weekly</v>
      </c>
      <c r="AH1059" t="str">
        <f>IF(TblFeedFile1[[#This Row],[Return to Work Date ]]="","","Y")</f>
        <v>Y</v>
      </c>
    </row>
    <row r="1060" spans="1:34" x14ac:dyDescent="0.25">
      <c r="A1060" t="s">
        <v>29</v>
      </c>
      <c r="B1060">
        <v>314304</v>
      </c>
      <c r="C1060">
        <v>26825009</v>
      </c>
      <c r="D1060" s="1" t="s">
        <v>1383</v>
      </c>
      <c r="E1060" t="s">
        <v>1381</v>
      </c>
      <c r="F1060" t="s">
        <v>1382</v>
      </c>
      <c r="G1060">
        <v>20170109</v>
      </c>
      <c r="H1060">
        <v>20170118</v>
      </c>
      <c r="I1060" t="s">
        <v>78</v>
      </c>
      <c r="K1060" t="s">
        <v>79</v>
      </c>
      <c r="L1060" t="s">
        <v>34</v>
      </c>
      <c r="M1060" t="s">
        <v>34</v>
      </c>
      <c r="N1060" t="s">
        <v>35</v>
      </c>
      <c r="O1060" t="s">
        <v>35</v>
      </c>
      <c r="P1060" t="s">
        <v>35</v>
      </c>
      <c r="Q1060" t="s">
        <v>35</v>
      </c>
      <c r="R1060" t="s">
        <v>35</v>
      </c>
      <c r="S1060" t="s">
        <v>34</v>
      </c>
      <c r="T1060">
        <v>20170119</v>
      </c>
      <c r="AD1060">
        <v>20170124</v>
      </c>
      <c r="AF1060" t="str">
        <f>IFERROR(VLOOKUP(RIGHT(TblFeedFile1[[#This Row],[Leave Type ]],6),LkupPayType[],2,FALSE),"TBD")</f>
        <v>TBD</v>
      </c>
      <c r="AG1060" t="str">
        <f>IFERROR(VLOOKUP(TblFeedFile1[[#This Row],[ Report Number ]],LkupPayrollCycle[],2,FALSE),"TBD")</f>
        <v>Bi-Weekly</v>
      </c>
      <c r="AH1060" t="str">
        <f>IF(TblFeedFile1[[#This Row],[Return to Work Date ]]="","","Y")</f>
        <v>Y</v>
      </c>
    </row>
    <row r="1061" spans="1:34" x14ac:dyDescent="0.25">
      <c r="A1061" t="s">
        <v>37</v>
      </c>
      <c r="B1061">
        <v>314304</v>
      </c>
      <c r="C1061">
        <v>26825009</v>
      </c>
      <c r="D1061" s="1">
        <v>511701108109</v>
      </c>
      <c r="E1061" t="s">
        <v>1381</v>
      </c>
      <c r="F1061" t="s">
        <v>1382</v>
      </c>
      <c r="G1061">
        <v>20170116</v>
      </c>
      <c r="H1061">
        <v>20170228</v>
      </c>
      <c r="I1061" t="s">
        <v>40</v>
      </c>
      <c r="L1061" t="s">
        <v>34</v>
      </c>
      <c r="M1061" t="s">
        <v>34</v>
      </c>
      <c r="N1061" t="s">
        <v>35</v>
      </c>
      <c r="O1061" t="s">
        <v>35</v>
      </c>
      <c r="P1061" t="s">
        <v>35</v>
      </c>
      <c r="Q1061" t="s">
        <v>35</v>
      </c>
      <c r="R1061" t="s">
        <v>35</v>
      </c>
      <c r="S1061" t="s">
        <v>34</v>
      </c>
      <c r="AD1061">
        <v>20170124</v>
      </c>
      <c r="AF1061" t="str">
        <f>IFERROR(VLOOKUP(RIGHT(TblFeedFile1[[#This Row],[Leave Type ]],6),LkupPayType[],2,FALSE),"TBD")</f>
        <v>TBD</v>
      </c>
      <c r="AG1061" t="str">
        <f>IFERROR(VLOOKUP(TblFeedFile1[[#This Row],[ Report Number ]],LkupPayrollCycle[],2,FALSE),"TBD")</f>
        <v>Bi-Weekly</v>
      </c>
      <c r="AH1061" t="str">
        <f>IF(TblFeedFile1[[#This Row],[Return to Work Date ]]="","","Y")</f>
        <v/>
      </c>
    </row>
    <row r="1062" spans="1:34" x14ac:dyDescent="0.25">
      <c r="A1062" t="s">
        <v>37</v>
      </c>
      <c r="B1062">
        <v>314304</v>
      </c>
      <c r="C1062">
        <v>26825009</v>
      </c>
      <c r="D1062" s="1" t="s">
        <v>1383</v>
      </c>
      <c r="E1062" t="s">
        <v>1381</v>
      </c>
      <c r="F1062" t="s">
        <v>1382</v>
      </c>
      <c r="G1062">
        <v>20170119</v>
      </c>
      <c r="H1062">
        <v>20170228</v>
      </c>
      <c r="I1062" t="s">
        <v>78</v>
      </c>
      <c r="K1062" t="s">
        <v>79</v>
      </c>
      <c r="L1062" t="s">
        <v>34</v>
      </c>
      <c r="M1062" t="s">
        <v>34</v>
      </c>
      <c r="N1062" t="s">
        <v>35</v>
      </c>
      <c r="O1062" t="s">
        <v>35</v>
      </c>
      <c r="P1062" t="s">
        <v>35</v>
      </c>
      <c r="Q1062" t="s">
        <v>35</v>
      </c>
      <c r="R1062" t="s">
        <v>35</v>
      </c>
      <c r="S1062" t="s">
        <v>34</v>
      </c>
      <c r="AD1062">
        <v>20170124</v>
      </c>
      <c r="AF1062" t="str">
        <f>IFERROR(VLOOKUP(RIGHT(TblFeedFile1[[#This Row],[Leave Type ]],6),LkupPayType[],2,FALSE),"TBD")</f>
        <v>TBD</v>
      </c>
      <c r="AG1062" t="str">
        <f>IFERROR(VLOOKUP(TblFeedFile1[[#This Row],[ Report Number ]],LkupPayrollCycle[],2,FALSE),"TBD")</f>
        <v>Bi-Weekly</v>
      </c>
      <c r="AH1062" t="str">
        <f>IF(TblFeedFile1[[#This Row],[Return to Work Date ]]="","","Y")</f>
        <v/>
      </c>
    </row>
    <row r="1063" spans="1:34" x14ac:dyDescent="0.25">
      <c r="A1063" t="s">
        <v>29</v>
      </c>
      <c r="B1063">
        <v>314304</v>
      </c>
      <c r="C1063">
        <v>26838701</v>
      </c>
      <c r="D1063" s="1" t="s">
        <v>1384</v>
      </c>
      <c r="E1063" t="s">
        <v>756</v>
      </c>
      <c r="F1063" t="s">
        <v>1385</v>
      </c>
      <c r="G1063">
        <v>20160521</v>
      </c>
      <c r="H1063">
        <v>20160524</v>
      </c>
      <c r="I1063" t="s">
        <v>36</v>
      </c>
      <c r="L1063" t="s">
        <v>34</v>
      </c>
      <c r="M1063" t="s">
        <v>34</v>
      </c>
      <c r="N1063" t="s">
        <v>35</v>
      </c>
      <c r="O1063" t="s">
        <v>35</v>
      </c>
      <c r="P1063" t="s">
        <v>35</v>
      </c>
      <c r="Q1063" t="s">
        <v>35</v>
      </c>
      <c r="R1063" t="s">
        <v>35</v>
      </c>
      <c r="S1063" t="s">
        <v>34</v>
      </c>
      <c r="AC1063" t="s">
        <v>35</v>
      </c>
      <c r="AD1063">
        <v>20170124</v>
      </c>
      <c r="AF1063" t="str">
        <f>IFERROR(VLOOKUP(RIGHT(TblFeedFile1[[#This Row],[Leave Type ]],6),LkupPayType[],2,FALSE),"TBD")</f>
        <v>TBD</v>
      </c>
      <c r="AG1063" t="str">
        <f>IFERROR(VLOOKUP(TblFeedFile1[[#This Row],[ Report Number ]],LkupPayrollCycle[],2,FALSE),"TBD")</f>
        <v>Bi-Weekly</v>
      </c>
      <c r="AH1063" t="str">
        <f>IF(TblFeedFile1[[#This Row],[Return to Work Date ]]="","","Y")</f>
        <v/>
      </c>
    </row>
    <row r="1064" spans="1:34" x14ac:dyDescent="0.25">
      <c r="A1064" t="s">
        <v>29</v>
      </c>
      <c r="B1064">
        <v>314304</v>
      </c>
      <c r="C1064">
        <v>26838701</v>
      </c>
      <c r="D1064" s="1" t="s">
        <v>1384</v>
      </c>
      <c r="E1064" t="s">
        <v>756</v>
      </c>
      <c r="F1064" t="s">
        <v>1385</v>
      </c>
      <c r="G1064">
        <v>20160510</v>
      </c>
      <c r="H1064">
        <v>20160510</v>
      </c>
      <c r="I1064" t="s">
        <v>33</v>
      </c>
      <c r="L1064" t="s">
        <v>34</v>
      </c>
      <c r="M1064" t="s">
        <v>34</v>
      </c>
      <c r="N1064" t="s">
        <v>35</v>
      </c>
      <c r="O1064" t="s">
        <v>35</v>
      </c>
      <c r="P1064" t="s">
        <v>35</v>
      </c>
      <c r="Q1064" t="s">
        <v>35</v>
      </c>
      <c r="R1064" t="s">
        <v>35</v>
      </c>
      <c r="S1064" t="s">
        <v>34</v>
      </c>
      <c r="AC1064" t="s">
        <v>35</v>
      </c>
      <c r="AD1064">
        <v>20170124</v>
      </c>
      <c r="AF1064" t="str">
        <f>IFERROR(VLOOKUP(RIGHT(TblFeedFile1[[#This Row],[Leave Type ]],6),LkupPayType[],2,FALSE),"TBD")</f>
        <v>TBD</v>
      </c>
      <c r="AG1064" t="str">
        <f>IFERROR(VLOOKUP(TblFeedFile1[[#This Row],[ Report Number ]],LkupPayrollCycle[],2,FALSE),"TBD")</f>
        <v>Bi-Weekly</v>
      </c>
      <c r="AH1064" t="str">
        <f>IF(TblFeedFile1[[#This Row],[Return to Work Date ]]="","","Y")</f>
        <v/>
      </c>
    </row>
    <row r="1065" spans="1:34" x14ac:dyDescent="0.25">
      <c r="A1065" t="s">
        <v>37</v>
      </c>
      <c r="B1065">
        <v>314304</v>
      </c>
      <c r="C1065">
        <v>26838881</v>
      </c>
      <c r="D1065" s="1">
        <v>501701138660</v>
      </c>
      <c r="E1065" t="s">
        <v>1386</v>
      </c>
      <c r="F1065" t="s">
        <v>1387</v>
      </c>
      <c r="G1065">
        <v>20170112</v>
      </c>
      <c r="H1065">
        <v>20170112</v>
      </c>
      <c r="I1065" t="s">
        <v>40</v>
      </c>
      <c r="L1065" t="s">
        <v>34</v>
      </c>
      <c r="M1065" t="s">
        <v>34</v>
      </c>
      <c r="N1065" t="s">
        <v>35</v>
      </c>
      <c r="O1065" t="s">
        <v>35</v>
      </c>
      <c r="P1065" t="s">
        <v>35</v>
      </c>
      <c r="Q1065" t="s">
        <v>35</v>
      </c>
      <c r="R1065" t="s">
        <v>35</v>
      </c>
      <c r="S1065" t="s">
        <v>34</v>
      </c>
      <c r="T1065">
        <v>20170113</v>
      </c>
      <c r="Y1065">
        <v>170</v>
      </c>
      <c r="Z1065" t="s">
        <v>341</v>
      </c>
      <c r="AA1065">
        <v>20170112</v>
      </c>
      <c r="AB1065">
        <v>20170703</v>
      </c>
      <c r="AD1065">
        <v>20170124</v>
      </c>
      <c r="AF1065" t="str">
        <f>IFERROR(VLOOKUP(RIGHT(TblFeedFile1[[#This Row],[Leave Type ]],6),LkupPayType[],2,FALSE),"TBD")</f>
        <v>TBD</v>
      </c>
      <c r="AG1065" t="str">
        <f>IFERROR(VLOOKUP(TblFeedFile1[[#This Row],[ Report Number ]],LkupPayrollCycle[],2,FALSE),"TBD")</f>
        <v>Bi-Weekly</v>
      </c>
      <c r="AH1065" t="str">
        <f>IF(TblFeedFile1[[#This Row],[Return to Work Date ]]="","","Y")</f>
        <v>Y</v>
      </c>
    </row>
    <row r="1066" spans="1:34" x14ac:dyDescent="0.25">
      <c r="A1066" t="s">
        <v>29</v>
      </c>
      <c r="B1066">
        <v>314301</v>
      </c>
      <c r="C1066">
        <v>26852327</v>
      </c>
      <c r="D1066" s="1" t="s">
        <v>1388</v>
      </c>
      <c r="E1066" t="s">
        <v>421</v>
      </c>
      <c r="F1066" t="s">
        <v>1389</v>
      </c>
      <c r="G1066">
        <v>20161130</v>
      </c>
      <c r="H1066">
        <v>20170321</v>
      </c>
      <c r="I1066" t="s">
        <v>223</v>
      </c>
      <c r="L1066" t="s">
        <v>34</v>
      </c>
      <c r="M1066" t="s">
        <v>34</v>
      </c>
      <c r="N1066" t="s">
        <v>35</v>
      </c>
      <c r="O1066" t="s">
        <v>35</v>
      </c>
      <c r="P1066" t="s">
        <v>35</v>
      </c>
      <c r="Q1066" t="s">
        <v>35</v>
      </c>
      <c r="R1066" t="s">
        <v>35</v>
      </c>
      <c r="S1066" t="s">
        <v>34</v>
      </c>
      <c r="AC1066" t="s">
        <v>35</v>
      </c>
      <c r="AD1066">
        <v>20170124</v>
      </c>
      <c r="AF1066" t="str">
        <f>IFERROR(VLOOKUP(RIGHT(TblFeedFile1[[#This Row],[Leave Type ]],6),LkupPayType[],2,FALSE),"TBD")</f>
        <v>TBD</v>
      </c>
      <c r="AG1066" t="str">
        <f>IFERROR(VLOOKUP(TblFeedFile1[[#This Row],[ Report Number ]],LkupPayrollCycle[],2,FALSE),"TBD")</f>
        <v>Semi-Monthly</v>
      </c>
      <c r="AH1066" t="str">
        <f>IF(TblFeedFile1[[#This Row],[Return to Work Date ]]="","","Y")</f>
        <v/>
      </c>
    </row>
    <row r="1067" spans="1:34" x14ac:dyDescent="0.25">
      <c r="A1067" t="s">
        <v>37</v>
      </c>
      <c r="B1067">
        <v>314301</v>
      </c>
      <c r="C1067">
        <v>26852327</v>
      </c>
      <c r="D1067" s="1" t="s">
        <v>1388</v>
      </c>
      <c r="E1067" t="s">
        <v>421</v>
      </c>
      <c r="F1067" t="s">
        <v>1389</v>
      </c>
      <c r="G1067">
        <v>20161130</v>
      </c>
      <c r="H1067">
        <v>20170102</v>
      </c>
      <c r="I1067" t="s">
        <v>223</v>
      </c>
      <c r="L1067" t="s">
        <v>34</v>
      </c>
      <c r="M1067" t="s">
        <v>34</v>
      </c>
      <c r="N1067" t="s">
        <v>35</v>
      </c>
      <c r="O1067" t="s">
        <v>35</v>
      </c>
      <c r="P1067" t="s">
        <v>35</v>
      </c>
      <c r="Q1067" t="s">
        <v>35</v>
      </c>
      <c r="R1067" t="s">
        <v>35</v>
      </c>
      <c r="S1067" t="s">
        <v>34</v>
      </c>
      <c r="AC1067" t="s">
        <v>35</v>
      </c>
      <c r="AD1067">
        <v>20170124</v>
      </c>
      <c r="AF1067" t="str">
        <f>IFERROR(VLOOKUP(RIGHT(TblFeedFile1[[#This Row],[Leave Type ]],6),LkupPayType[],2,FALSE),"TBD")</f>
        <v>TBD</v>
      </c>
      <c r="AG1067" t="str">
        <f>IFERROR(VLOOKUP(TblFeedFile1[[#This Row],[ Report Number ]],LkupPayrollCycle[],2,FALSE),"TBD")</f>
        <v>Semi-Monthly</v>
      </c>
      <c r="AH1067" t="str">
        <f>IF(TblFeedFile1[[#This Row],[Return to Work Date ]]="","","Y")</f>
        <v/>
      </c>
    </row>
    <row r="1068" spans="1:34" x14ac:dyDescent="0.25">
      <c r="A1068" t="s">
        <v>37</v>
      </c>
      <c r="B1068">
        <v>314301</v>
      </c>
      <c r="C1068">
        <v>26855127</v>
      </c>
      <c r="D1068" s="1" t="s">
        <v>1390</v>
      </c>
      <c r="E1068" t="s">
        <v>1391</v>
      </c>
      <c r="F1068" t="s">
        <v>1392</v>
      </c>
      <c r="G1068">
        <v>20170104</v>
      </c>
      <c r="H1068">
        <v>20170120</v>
      </c>
      <c r="I1068" t="s">
        <v>36</v>
      </c>
      <c r="L1068" t="s">
        <v>34</v>
      </c>
      <c r="M1068" t="s">
        <v>34</v>
      </c>
      <c r="N1068" t="s">
        <v>35</v>
      </c>
      <c r="O1068" t="s">
        <v>35</v>
      </c>
      <c r="P1068" t="s">
        <v>35</v>
      </c>
      <c r="Q1068" t="s">
        <v>35</v>
      </c>
      <c r="R1068" t="s">
        <v>35</v>
      </c>
      <c r="S1068" t="s">
        <v>34</v>
      </c>
      <c r="AD1068">
        <v>20170124</v>
      </c>
      <c r="AF1068" t="str">
        <f>IFERROR(VLOOKUP(RIGHT(TblFeedFile1[[#This Row],[Leave Type ]],6),LkupPayType[],2,FALSE),"TBD")</f>
        <v>TBD</v>
      </c>
      <c r="AG1068" t="str">
        <f>IFERROR(VLOOKUP(TblFeedFile1[[#This Row],[ Report Number ]],LkupPayrollCycle[],2,FALSE),"TBD")</f>
        <v>Semi-Monthly</v>
      </c>
      <c r="AH1068" t="str">
        <f>IF(TblFeedFile1[[#This Row],[Return to Work Date ]]="","","Y")</f>
        <v/>
      </c>
    </row>
    <row r="1069" spans="1:34" x14ac:dyDescent="0.25">
      <c r="A1069" t="s">
        <v>37</v>
      </c>
      <c r="B1069">
        <v>314301</v>
      </c>
      <c r="C1069">
        <v>26855127</v>
      </c>
      <c r="D1069" s="1" t="s">
        <v>1390</v>
      </c>
      <c r="E1069" t="s">
        <v>1391</v>
      </c>
      <c r="F1069" t="s">
        <v>1392</v>
      </c>
      <c r="G1069">
        <v>20170121</v>
      </c>
      <c r="H1069">
        <v>20170121</v>
      </c>
      <c r="I1069" t="s">
        <v>33</v>
      </c>
      <c r="L1069" t="s">
        <v>34</v>
      </c>
      <c r="M1069" t="s">
        <v>34</v>
      </c>
      <c r="N1069" t="s">
        <v>35</v>
      </c>
      <c r="O1069" t="s">
        <v>35</v>
      </c>
      <c r="P1069" t="s">
        <v>35</v>
      </c>
      <c r="Q1069" t="s">
        <v>35</v>
      </c>
      <c r="R1069" t="s">
        <v>35</v>
      </c>
      <c r="S1069" t="s">
        <v>34</v>
      </c>
      <c r="AD1069">
        <v>20170124</v>
      </c>
      <c r="AF1069" t="str">
        <f>IFERROR(VLOOKUP(RIGHT(TblFeedFile1[[#This Row],[Leave Type ]],6),LkupPayType[],2,FALSE),"TBD")</f>
        <v>TBD</v>
      </c>
      <c r="AG1069" t="str">
        <f>IFERROR(VLOOKUP(TblFeedFile1[[#This Row],[ Report Number ]],LkupPayrollCycle[],2,FALSE),"TBD")</f>
        <v>Semi-Monthly</v>
      </c>
      <c r="AH1069" t="str">
        <f>IF(TblFeedFile1[[#This Row],[Return to Work Date ]]="","","Y")</f>
        <v/>
      </c>
    </row>
    <row r="1070" spans="1:34" x14ac:dyDescent="0.25">
      <c r="A1070" t="s">
        <v>37</v>
      </c>
      <c r="B1070">
        <v>314301</v>
      </c>
      <c r="C1070">
        <v>26875337</v>
      </c>
      <c r="D1070" s="1" t="s">
        <v>1393</v>
      </c>
      <c r="E1070" t="s">
        <v>1394</v>
      </c>
      <c r="F1070" t="s">
        <v>1395</v>
      </c>
      <c r="G1070">
        <v>20170123</v>
      </c>
      <c r="H1070">
        <v>20170123</v>
      </c>
      <c r="I1070" t="s">
        <v>33</v>
      </c>
      <c r="L1070" t="s">
        <v>34</v>
      </c>
      <c r="M1070" t="s">
        <v>34</v>
      </c>
      <c r="N1070" t="s">
        <v>35</v>
      </c>
      <c r="O1070" t="s">
        <v>35</v>
      </c>
      <c r="P1070" t="s">
        <v>35</v>
      </c>
      <c r="Q1070" t="s">
        <v>35</v>
      </c>
      <c r="R1070" t="s">
        <v>35</v>
      </c>
      <c r="S1070" t="s">
        <v>34</v>
      </c>
      <c r="AD1070">
        <v>20170124</v>
      </c>
      <c r="AF1070" t="str">
        <f>IFERROR(VLOOKUP(RIGHT(TblFeedFile1[[#This Row],[Leave Type ]],6),LkupPayType[],2,FALSE),"TBD")</f>
        <v>TBD</v>
      </c>
      <c r="AG1070" t="str">
        <f>IFERROR(VLOOKUP(TblFeedFile1[[#This Row],[ Report Number ]],LkupPayrollCycle[],2,FALSE),"TBD")</f>
        <v>Semi-Monthly</v>
      </c>
      <c r="AH1070" t="str">
        <f>IF(TblFeedFile1[[#This Row],[Return to Work Date ]]="","","Y")</f>
        <v/>
      </c>
    </row>
    <row r="1071" spans="1:34" x14ac:dyDescent="0.25">
      <c r="A1071" t="s">
        <v>29</v>
      </c>
      <c r="B1071">
        <v>314304</v>
      </c>
      <c r="C1071">
        <v>26909014</v>
      </c>
      <c r="D1071" s="1">
        <v>561701208006</v>
      </c>
      <c r="E1071" t="s">
        <v>1396</v>
      </c>
      <c r="F1071" t="s">
        <v>907</v>
      </c>
      <c r="G1071">
        <v>20170110</v>
      </c>
      <c r="I1071" t="s">
        <v>53</v>
      </c>
      <c r="L1071" t="s">
        <v>34</v>
      </c>
      <c r="M1071" t="s">
        <v>34</v>
      </c>
      <c r="N1071" t="s">
        <v>35</v>
      </c>
      <c r="O1071" t="s">
        <v>35</v>
      </c>
      <c r="P1071" t="s">
        <v>35</v>
      </c>
      <c r="Q1071" t="s">
        <v>35</v>
      </c>
      <c r="R1071" t="s">
        <v>35</v>
      </c>
      <c r="S1071" t="s">
        <v>34</v>
      </c>
      <c r="AD1071">
        <v>20170124</v>
      </c>
      <c r="AF1071" t="str">
        <f>IFERROR(VLOOKUP(RIGHT(TblFeedFile1[[#This Row],[Leave Type ]],6),LkupPayType[],2,FALSE),"TBD")</f>
        <v>TBD</v>
      </c>
      <c r="AG1071" t="str">
        <f>IFERROR(VLOOKUP(TblFeedFile1[[#This Row],[ Report Number ]],LkupPayrollCycle[],2,FALSE),"TBD")</f>
        <v>Bi-Weekly</v>
      </c>
      <c r="AH1071" t="str">
        <f>IF(TblFeedFile1[[#This Row],[Return to Work Date ]]="","","Y")</f>
        <v/>
      </c>
    </row>
    <row r="1072" spans="1:34" x14ac:dyDescent="0.25">
      <c r="A1072" t="s">
        <v>37</v>
      </c>
      <c r="B1072">
        <v>314304</v>
      </c>
      <c r="C1072">
        <v>26909014</v>
      </c>
      <c r="D1072" s="1">
        <v>561701208006</v>
      </c>
      <c r="E1072" t="s">
        <v>1396</v>
      </c>
      <c r="F1072" t="s">
        <v>907</v>
      </c>
      <c r="G1072">
        <v>20170116</v>
      </c>
      <c r="H1072">
        <v>20170331</v>
      </c>
      <c r="I1072" t="s">
        <v>155</v>
      </c>
      <c r="L1072" t="s">
        <v>34</v>
      </c>
      <c r="M1072" t="s">
        <v>34</v>
      </c>
      <c r="N1072" t="s">
        <v>35</v>
      </c>
      <c r="O1072" t="s">
        <v>35</v>
      </c>
      <c r="P1072" t="s">
        <v>35</v>
      </c>
      <c r="Q1072" t="s">
        <v>35</v>
      </c>
      <c r="R1072" t="s">
        <v>35</v>
      </c>
      <c r="S1072" t="s">
        <v>34</v>
      </c>
      <c r="AD1072">
        <v>20170124</v>
      </c>
      <c r="AF1072" t="str">
        <f>IFERROR(VLOOKUP(RIGHT(TblFeedFile1[[#This Row],[Leave Type ]],6),LkupPayType[],2,FALSE),"TBD")</f>
        <v>TBD</v>
      </c>
      <c r="AG1072" t="str">
        <f>IFERROR(VLOOKUP(TblFeedFile1[[#This Row],[ Report Number ]],LkupPayrollCycle[],2,FALSE),"TBD")</f>
        <v>Bi-Weekly</v>
      </c>
      <c r="AH1072" t="str">
        <f>IF(TblFeedFile1[[#This Row],[Return to Work Date ]]="","","Y")</f>
        <v/>
      </c>
    </row>
    <row r="1073" spans="1:34" x14ac:dyDescent="0.25">
      <c r="A1073" t="s">
        <v>37</v>
      </c>
      <c r="B1073">
        <v>314304</v>
      </c>
      <c r="C1073">
        <v>26909014</v>
      </c>
      <c r="D1073" s="1">
        <v>561701208006</v>
      </c>
      <c r="E1073" t="s">
        <v>1396</v>
      </c>
      <c r="F1073" t="s">
        <v>907</v>
      </c>
      <c r="G1073">
        <v>20170123</v>
      </c>
      <c r="H1073">
        <v>20170331</v>
      </c>
      <c r="I1073" t="s">
        <v>459</v>
      </c>
      <c r="L1073" t="s">
        <v>34</v>
      </c>
      <c r="M1073" t="s">
        <v>34</v>
      </c>
      <c r="N1073" t="s">
        <v>35</v>
      </c>
      <c r="O1073" t="s">
        <v>35</v>
      </c>
      <c r="P1073" t="s">
        <v>35</v>
      </c>
      <c r="Q1073" t="s">
        <v>35</v>
      </c>
      <c r="R1073" t="s">
        <v>35</v>
      </c>
      <c r="S1073" t="s">
        <v>34</v>
      </c>
      <c r="AD1073">
        <v>20170124</v>
      </c>
      <c r="AF1073" t="str">
        <f>IFERROR(VLOOKUP(RIGHT(TblFeedFile1[[#This Row],[Leave Type ]],6),LkupPayType[],2,FALSE),"TBD")</f>
        <v>TBD</v>
      </c>
      <c r="AG1073" t="str">
        <f>IFERROR(VLOOKUP(TblFeedFile1[[#This Row],[ Report Number ]],LkupPayrollCycle[],2,FALSE),"TBD")</f>
        <v>Bi-Weekly</v>
      </c>
      <c r="AH1073" t="str">
        <f>IF(TblFeedFile1[[#This Row],[Return to Work Date ]]="","","Y")</f>
        <v/>
      </c>
    </row>
    <row r="1074" spans="1:34" x14ac:dyDescent="0.25">
      <c r="A1074" t="s">
        <v>37</v>
      </c>
      <c r="B1074">
        <v>314305</v>
      </c>
      <c r="C1074">
        <v>26923047</v>
      </c>
      <c r="D1074" s="1" t="s">
        <v>1397</v>
      </c>
      <c r="E1074" t="s">
        <v>346</v>
      </c>
      <c r="F1074" t="s">
        <v>1015</v>
      </c>
      <c r="G1074">
        <v>20170120</v>
      </c>
      <c r="H1074">
        <v>20170220</v>
      </c>
      <c r="I1074" t="s">
        <v>78</v>
      </c>
      <c r="K1074" t="s">
        <v>79</v>
      </c>
      <c r="L1074" t="s">
        <v>34</v>
      </c>
      <c r="M1074" t="s">
        <v>34</v>
      </c>
      <c r="N1074" t="s">
        <v>35</v>
      </c>
      <c r="O1074" t="s">
        <v>35</v>
      </c>
      <c r="P1074" t="s">
        <v>35</v>
      </c>
      <c r="Q1074" t="s">
        <v>35</v>
      </c>
      <c r="R1074" t="s">
        <v>35</v>
      </c>
      <c r="S1074" t="s">
        <v>34</v>
      </c>
      <c r="AD1074">
        <v>20170124</v>
      </c>
      <c r="AF1074" t="str">
        <f>IFERROR(VLOOKUP(RIGHT(TblFeedFile1[[#This Row],[Leave Type ]],6),LkupPayType[],2,FALSE),"TBD")</f>
        <v>TBD</v>
      </c>
      <c r="AG1074" t="str">
        <f>IFERROR(VLOOKUP(TblFeedFile1[[#This Row],[ Report Number ]],LkupPayrollCycle[],2,FALSE),"TBD")</f>
        <v>Bi-Weekly</v>
      </c>
      <c r="AH1074" t="str">
        <f>IF(TblFeedFile1[[#This Row],[Return to Work Date ]]="","","Y")</f>
        <v/>
      </c>
    </row>
    <row r="1075" spans="1:34" x14ac:dyDescent="0.25">
      <c r="A1075" t="s">
        <v>37</v>
      </c>
      <c r="B1075">
        <v>314305</v>
      </c>
      <c r="C1075">
        <v>26923047</v>
      </c>
      <c r="D1075" s="1">
        <v>511701248421</v>
      </c>
      <c r="E1075" t="s">
        <v>346</v>
      </c>
      <c r="F1075" t="s">
        <v>1015</v>
      </c>
      <c r="G1075">
        <v>20170120</v>
      </c>
      <c r="I1075" t="s">
        <v>53</v>
      </c>
      <c r="L1075" t="s">
        <v>34</v>
      </c>
      <c r="M1075" t="s">
        <v>34</v>
      </c>
      <c r="N1075" t="s">
        <v>35</v>
      </c>
      <c r="O1075" t="s">
        <v>35</v>
      </c>
      <c r="P1075" t="s">
        <v>35</v>
      </c>
      <c r="Q1075" t="s">
        <v>35</v>
      </c>
      <c r="R1075" t="s">
        <v>35</v>
      </c>
      <c r="S1075" t="s">
        <v>34</v>
      </c>
      <c r="AD1075">
        <v>20170124</v>
      </c>
      <c r="AF1075" t="str">
        <f>IFERROR(VLOOKUP(RIGHT(TblFeedFile1[[#This Row],[Leave Type ]],6),LkupPayType[],2,FALSE),"TBD")</f>
        <v>TBD</v>
      </c>
      <c r="AG1075" t="str">
        <f>IFERROR(VLOOKUP(TblFeedFile1[[#This Row],[ Report Number ]],LkupPayrollCycle[],2,FALSE),"TBD")</f>
        <v>Bi-Weekly</v>
      </c>
      <c r="AH1075" t="str">
        <f>IF(TblFeedFile1[[#This Row],[Return to Work Date ]]="","","Y")</f>
        <v/>
      </c>
    </row>
    <row r="1076" spans="1:34" x14ac:dyDescent="0.25">
      <c r="A1076" t="s">
        <v>29</v>
      </c>
      <c r="B1076">
        <v>314301</v>
      </c>
      <c r="C1076">
        <v>26925782</v>
      </c>
      <c r="D1076" s="1" t="s">
        <v>1398</v>
      </c>
      <c r="E1076" t="s">
        <v>1399</v>
      </c>
      <c r="F1076" t="s">
        <v>1400</v>
      </c>
      <c r="G1076">
        <v>20161219</v>
      </c>
      <c r="H1076">
        <v>20170303</v>
      </c>
      <c r="I1076" t="s">
        <v>185</v>
      </c>
      <c r="L1076" t="s">
        <v>34</v>
      </c>
      <c r="M1076" t="s">
        <v>34</v>
      </c>
      <c r="N1076" t="s">
        <v>35</v>
      </c>
      <c r="O1076" t="s">
        <v>35</v>
      </c>
      <c r="P1076" t="s">
        <v>35</v>
      </c>
      <c r="Q1076" t="s">
        <v>35</v>
      </c>
      <c r="R1076" t="s">
        <v>35</v>
      </c>
      <c r="S1076" t="s">
        <v>34</v>
      </c>
      <c r="AC1076" t="s">
        <v>35</v>
      </c>
      <c r="AD1076">
        <v>20170124</v>
      </c>
      <c r="AF1076" t="str">
        <f>IFERROR(VLOOKUP(RIGHT(TblFeedFile1[[#This Row],[Leave Type ]],6),LkupPayType[],2,FALSE),"TBD")</f>
        <v>TBD</v>
      </c>
      <c r="AG1076" t="str">
        <f>IFERROR(VLOOKUP(TblFeedFile1[[#This Row],[ Report Number ]],LkupPayrollCycle[],2,FALSE),"TBD")</f>
        <v>Semi-Monthly</v>
      </c>
      <c r="AH1076" t="str">
        <f>IF(TblFeedFile1[[#This Row],[Return to Work Date ]]="","","Y")</f>
        <v/>
      </c>
    </row>
    <row r="1077" spans="1:34" x14ac:dyDescent="0.25">
      <c r="A1077" t="s">
        <v>37</v>
      </c>
      <c r="B1077">
        <v>314304</v>
      </c>
      <c r="C1077">
        <v>26928483</v>
      </c>
      <c r="D1077" s="1" t="s">
        <v>1401</v>
      </c>
      <c r="E1077" t="s">
        <v>1402</v>
      </c>
      <c r="F1077" t="s">
        <v>48</v>
      </c>
      <c r="G1077">
        <v>20170124</v>
      </c>
      <c r="H1077">
        <v>20170516</v>
      </c>
      <c r="I1077" t="s">
        <v>36</v>
      </c>
      <c r="L1077" t="s">
        <v>34</v>
      </c>
      <c r="M1077" t="s">
        <v>34</v>
      </c>
      <c r="N1077" t="s">
        <v>35</v>
      </c>
      <c r="O1077" t="s">
        <v>35</v>
      </c>
      <c r="P1077" t="s">
        <v>35</v>
      </c>
      <c r="Q1077" t="s">
        <v>35</v>
      </c>
      <c r="R1077" t="s">
        <v>35</v>
      </c>
      <c r="S1077" t="s">
        <v>34</v>
      </c>
      <c r="AD1077">
        <v>20170124</v>
      </c>
      <c r="AF1077" t="str">
        <f>IFERROR(VLOOKUP(RIGHT(TblFeedFile1[[#This Row],[Leave Type ]],6),LkupPayType[],2,FALSE),"TBD")</f>
        <v>TBD</v>
      </c>
      <c r="AG1077" t="str">
        <f>IFERROR(VLOOKUP(TblFeedFile1[[#This Row],[ Report Number ]],LkupPayrollCycle[],2,FALSE),"TBD")</f>
        <v>Bi-Weekly</v>
      </c>
      <c r="AH1077" t="str">
        <f>IF(TblFeedFile1[[#This Row],[Return to Work Date ]]="","","Y")</f>
        <v/>
      </c>
    </row>
    <row r="1078" spans="1:34" x14ac:dyDescent="0.25">
      <c r="A1078" t="s">
        <v>37</v>
      </c>
      <c r="B1078">
        <v>314304</v>
      </c>
      <c r="C1078">
        <v>26942440</v>
      </c>
      <c r="D1078" s="1" t="s">
        <v>1403</v>
      </c>
      <c r="E1078" t="s">
        <v>1404</v>
      </c>
      <c r="F1078" t="s">
        <v>1405</v>
      </c>
      <c r="G1078">
        <v>20161215</v>
      </c>
      <c r="H1078">
        <v>20170105</v>
      </c>
      <c r="I1078" t="s">
        <v>49</v>
      </c>
      <c r="L1078" t="s">
        <v>34</v>
      </c>
      <c r="M1078" t="s">
        <v>34</v>
      </c>
      <c r="N1078" t="s">
        <v>35</v>
      </c>
      <c r="O1078" t="s">
        <v>35</v>
      </c>
      <c r="P1078" t="s">
        <v>35</v>
      </c>
      <c r="Q1078" t="s">
        <v>35</v>
      </c>
      <c r="R1078" t="s">
        <v>35</v>
      </c>
      <c r="S1078" t="s">
        <v>34</v>
      </c>
      <c r="T1078">
        <v>20170109</v>
      </c>
      <c r="AC1078" t="s">
        <v>35</v>
      </c>
      <c r="AD1078">
        <v>20170124</v>
      </c>
      <c r="AF1078" t="str">
        <f>IFERROR(VLOOKUP(RIGHT(TblFeedFile1[[#This Row],[Leave Type ]],6),LkupPayType[],2,FALSE),"TBD")</f>
        <v>TBD</v>
      </c>
      <c r="AG1078" t="str">
        <f>IFERROR(VLOOKUP(TblFeedFile1[[#This Row],[ Report Number ]],LkupPayrollCycle[],2,FALSE),"TBD")</f>
        <v>Bi-Weekly</v>
      </c>
      <c r="AH1078" t="str">
        <f>IF(TblFeedFile1[[#This Row],[Return to Work Date ]]="","","Y")</f>
        <v>Y</v>
      </c>
    </row>
    <row r="1079" spans="1:34" x14ac:dyDescent="0.25">
      <c r="A1079" t="s">
        <v>29</v>
      </c>
      <c r="B1079">
        <v>314304</v>
      </c>
      <c r="C1079">
        <v>26952972</v>
      </c>
      <c r="D1079" s="1">
        <v>541701198644</v>
      </c>
      <c r="E1079" t="s">
        <v>1406</v>
      </c>
      <c r="F1079" t="s">
        <v>421</v>
      </c>
      <c r="G1079">
        <v>20170119</v>
      </c>
      <c r="H1079">
        <v>20170323</v>
      </c>
      <c r="I1079" t="s">
        <v>53</v>
      </c>
      <c r="L1079" t="s">
        <v>34</v>
      </c>
      <c r="M1079" t="s">
        <v>34</v>
      </c>
      <c r="N1079" t="s">
        <v>34</v>
      </c>
      <c r="O1079" t="s">
        <v>34</v>
      </c>
      <c r="P1079" t="s">
        <v>35</v>
      </c>
      <c r="Q1079" t="s">
        <v>35</v>
      </c>
      <c r="R1079" t="s">
        <v>35</v>
      </c>
      <c r="S1079" t="s">
        <v>35</v>
      </c>
      <c r="X1079" t="s">
        <v>35</v>
      </c>
      <c r="AD1079">
        <v>20170124</v>
      </c>
      <c r="AF1079" t="str">
        <f>IFERROR(VLOOKUP(RIGHT(TblFeedFile1[[#This Row],[Leave Type ]],6),LkupPayType[],2,FALSE),"TBD")</f>
        <v>TBD</v>
      </c>
      <c r="AG1079" t="str">
        <f>IFERROR(VLOOKUP(TblFeedFile1[[#This Row],[ Report Number ]],LkupPayrollCycle[],2,FALSE),"TBD")</f>
        <v>Bi-Weekly</v>
      </c>
      <c r="AH1079" t="str">
        <f>IF(TblFeedFile1[[#This Row],[Return to Work Date ]]="","","Y")</f>
        <v/>
      </c>
    </row>
    <row r="1080" spans="1:34" x14ac:dyDescent="0.25">
      <c r="A1080" t="s">
        <v>37</v>
      </c>
      <c r="B1080">
        <v>314304</v>
      </c>
      <c r="C1080">
        <v>26952972</v>
      </c>
      <c r="D1080" s="1">
        <v>541701198644</v>
      </c>
      <c r="E1080" t="s">
        <v>1406</v>
      </c>
      <c r="F1080" t="s">
        <v>421</v>
      </c>
      <c r="G1080">
        <v>20170119</v>
      </c>
      <c r="H1080">
        <v>20170323</v>
      </c>
      <c r="I1080" t="s">
        <v>53</v>
      </c>
      <c r="L1080" t="s">
        <v>34</v>
      </c>
      <c r="M1080" t="s">
        <v>34</v>
      </c>
      <c r="N1080" t="s">
        <v>35</v>
      </c>
      <c r="O1080" t="s">
        <v>35</v>
      </c>
      <c r="P1080" t="s">
        <v>35</v>
      </c>
      <c r="Q1080" t="s">
        <v>35</v>
      </c>
      <c r="R1080" t="s">
        <v>35</v>
      </c>
      <c r="S1080" t="s">
        <v>35</v>
      </c>
      <c r="X1080" t="s">
        <v>35</v>
      </c>
      <c r="AD1080">
        <v>20170124</v>
      </c>
      <c r="AF1080" t="str">
        <f>IFERROR(VLOOKUP(RIGHT(TblFeedFile1[[#This Row],[Leave Type ]],6),LkupPayType[],2,FALSE),"TBD")</f>
        <v>TBD</v>
      </c>
      <c r="AG1080" t="str">
        <f>IFERROR(VLOOKUP(TblFeedFile1[[#This Row],[ Report Number ]],LkupPayrollCycle[],2,FALSE),"TBD")</f>
        <v>Bi-Weekly</v>
      </c>
      <c r="AH1080" t="str">
        <f>IF(TblFeedFile1[[#This Row],[Return to Work Date ]]="","","Y")</f>
        <v/>
      </c>
    </row>
    <row r="1081" spans="1:34" x14ac:dyDescent="0.25">
      <c r="A1081" t="s">
        <v>37</v>
      </c>
      <c r="B1081">
        <v>314305</v>
      </c>
      <c r="C1081">
        <v>26978023</v>
      </c>
      <c r="D1081" s="1" t="s">
        <v>1407</v>
      </c>
      <c r="E1081" t="s">
        <v>329</v>
      </c>
      <c r="F1081" t="s">
        <v>955</v>
      </c>
      <c r="G1081">
        <v>20170122</v>
      </c>
      <c r="H1081">
        <v>20170122</v>
      </c>
      <c r="I1081" t="s">
        <v>33</v>
      </c>
      <c r="L1081" t="s">
        <v>34</v>
      </c>
      <c r="M1081" t="s">
        <v>34</v>
      </c>
      <c r="N1081" t="s">
        <v>35</v>
      </c>
      <c r="O1081" t="s">
        <v>35</v>
      </c>
      <c r="P1081" t="s">
        <v>35</v>
      </c>
      <c r="Q1081" t="s">
        <v>35</v>
      </c>
      <c r="R1081" t="s">
        <v>35</v>
      </c>
      <c r="S1081" t="s">
        <v>34</v>
      </c>
      <c r="AC1081" t="s">
        <v>35</v>
      </c>
      <c r="AD1081">
        <v>20170124</v>
      </c>
      <c r="AF1081" t="str">
        <f>IFERROR(VLOOKUP(RIGHT(TblFeedFile1[[#This Row],[Leave Type ]],6),LkupPayType[],2,FALSE),"TBD")</f>
        <v>TBD</v>
      </c>
      <c r="AG1081" t="str">
        <f>IFERROR(VLOOKUP(TblFeedFile1[[#This Row],[ Report Number ]],LkupPayrollCycle[],2,FALSE),"TBD")</f>
        <v>Bi-Weekly</v>
      </c>
      <c r="AH1081" t="str">
        <f>IF(TblFeedFile1[[#This Row],[Return to Work Date ]]="","","Y")</f>
        <v/>
      </c>
    </row>
    <row r="1082" spans="1:34" x14ac:dyDescent="0.25">
      <c r="A1082" t="s">
        <v>37</v>
      </c>
      <c r="B1082">
        <v>314304</v>
      </c>
      <c r="C1082">
        <v>27004676</v>
      </c>
      <c r="D1082" s="1">
        <v>541701118284</v>
      </c>
      <c r="E1082" t="s">
        <v>799</v>
      </c>
      <c r="F1082" t="s">
        <v>1408</v>
      </c>
      <c r="G1082">
        <v>20170123</v>
      </c>
      <c r="H1082">
        <v>20170327</v>
      </c>
      <c r="I1082" t="s">
        <v>53</v>
      </c>
      <c r="L1082" t="s">
        <v>34</v>
      </c>
      <c r="M1082" t="s">
        <v>34</v>
      </c>
      <c r="N1082" t="s">
        <v>35</v>
      </c>
      <c r="O1082" t="s">
        <v>35</v>
      </c>
      <c r="P1082" t="s">
        <v>35</v>
      </c>
      <c r="Q1082" t="s">
        <v>35</v>
      </c>
      <c r="R1082" t="s">
        <v>34</v>
      </c>
      <c r="S1082" t="s">
        <v>34</v>
      </c>
      <c r="AD1082">
        <v>20170124</v>
      </c>
      <c r="AF1082" t="str">
        <f>IFERROR(VLOOKUP(RIGHT(TblFeedFile1[[#This Row],[Leave Type ]],6),LkupPayType[],2,FALSE),"TBD")</f>
        <v>TBD</v>
      </c>
      <c r="AG1082" t="str">
        <f>IFERROR(VLOOKUP(TblFeedFile1[[#This Row],[ Report Number ]],LkupPayrollCycle[],2,FALSE),"TBD")</f>
        <v>Bi-Weekly</v>
      </c>
      <c r="AH1082" t="str">
        <f>IF(TblFeedFile1[[#This Row],[Return to Work Date ]]="","","Y")</f>
        <v/>
      </c>
    </row>
    <row r="1083" spans="1:34" x14ac:dyDescent="0.25">
      <c r="A1083" t="s">
        <v>29</v>
      </c>
      <c r="B1083">
        <v>314304</v>
      </c>
      <c r="C1083">
        <v>27026999</v>
      </c>
      <c r="D1083" s="1" t="s">
        <v>1409</v>
      </c>
      <c r="E1083" t="s">
        <v>1058</v>
      </c>
      <c r="F1083" t="s">
        <v>1089</v>
      </c>
      <c r="G1083">
        <v>20161216</v>
      </c>
      <c r="H1083">
        <v>20161229</v>
      </c>
      <c r="I1083" t="s">
        <v>36</v>
      </c>
      <c r="L1083" t="s">
        <v>34</v>
      </c>
      <c r="M1083" t="s">
        <v>34</v>
      </c>
      <c r="N1083" t="s">
        <v>35</v>
      </c>
      <c r="O1083" t="s">
        <v>35</v>
      </c>
      <c r="P1083" t="s">
        <v>35</v>
      </c>
      <c r="Q1083" t="s">
        <v>35</v>
      </c>
      <c r="R1083" t="s">
        <v>35</v>
      </c>
      <c r="S1083" t="s">
        <v>34</v>
      </c>
      <c r="T1083">
        <v>20161230</v>
      </c>
      <c r="AC1083" t="s">
        <v>35</v>
      </c>
      <c r="AD1083">
        <v>20170124</v>
      </c>
      <c r="AF1083" t="str">
        <f>IFERROR(VLOOKUP(RIGHT(TblFeedFile1[[#This Row],[Leave Type ]],6),LkupPayType[],2,FALSE),"TBD")</f>
        <v>TBD</v>
      </c>
      <c r="AG1083" t="str">
        <f>IFERROR(VLOOKUP(TblFeedFile1[[#This Row],[ Report Number ]],LkupPayrollCycle[],2,FALSE),"TBD")</f>
        <v>Bi-Weekly</v>
      </c>
      <c r="AH1083" t="str">
        <f>IF(TblFeedFile1[[#This Row],[Return to Work Date ]]="","","Y")</f>
        <v>Y</v>
      </c>
    </row>
    <row r="1084" spans="1:34" x14ac:dyDescent="0.25">
      <c r="A1084" t="s">
        <v>37</v>
      </c>
      <c r="B1084">
        <v>314304</v>
      </c>
      <c r="C1084">
        <v>27026999</v>
      </c>
      <c r="D1084" s="1" t="s">
        <v>1409</v>
      </c>
      <c r="E1084" t="s">
        <v>1058</v>
      </c>
      <c r="F1084" t="s">
        <v>1089</v>
      </c>
      <c r="G1084">
        <v>20161216</v>
      </c>
      <c r="H1084">
        <v>20161227</v>
      </c>
      <c r="I1084" t="s">
        <v>36</v>
      </c>
      <c r="L1084" t="s">
        <v>34</v>
      </c>
      <c r="M1084" t="s">
        <v>34</v>
      </c>
      <c r="N1084" t="s">
        <v>35</v>
      </c>
      <c r="O1084" t="s">
        <v>35</v>
      </c>
      <c r="P1084" t="s">
        <v>35</v>
      </c>
      <c r="Q1084" t="s">
        <v>35</v>
      </c>
      <c r="R1084" t="s">
        <v>35</v>
      </c>
      <c r="S1084" t="s">
        <v>34</v>
      </c>
      <c r="T1084">
        <v>20161228</v>
      </c>
      <c r="AC1084" t="s">
        <v>35</v>
      </c>
      <c r="AD1084">
        <v>20170124</v>
      </c>
      <c r="AF1084" t="str">
        <f>IFERROR(VLOOKUP(RIGHT(TblFeedFile1[[#This Row],[Leave Type ]],6),LkupPayType[],2,FALSE),"TBD")</f>
        <v>TBD</v>
      </c>
      <c r="AG1084" t="str">
        <f>IFERROR(VLOOKUP(TblFeedFile1[[#This Row],[ Report Number ]],LkupPayrollCycle[],2,FALSE),"TBD")</f>
        <v>Bi-Weekly</v>
      </c>
      <c r="AH1084" t="str">
        <f>IF(TblFeedFile1[[#This Row],[Return to Work Date ]]="","","Y")</f>
        <v>Y</v>
      </c>
    </row>
    <row r="1085" spans="1:34" x14ac:dyDescent="0.25">
      <c r="A1085" t="s">
        <v>37</v>
      </c>
      <c r="B1085">
        <v>314304</v>
      </c>
      <c r="C1085">
        <v>27034848</v>
      </c>
      <c r="D1085" s="1">
        <v>571701038867</v>
      </c>
      <c r="E1085" t="s">
        <v>1410</v>
      </c>
      <c r="F1085" t="s">
        <v>1411</v>
      </c>
      <c r="G1085">
        <v>20170110</v>
      </c>
      <c r="H1085">
        <v>20170124</v>
      </c>
      <c r="I1085" t="s">
        <v>40</v>
      </c>
      <c r="L1085" t="s">
        <v>34</v>
      </c>
      <c r="M1085" t="s">
        <v>34</v>
      </c>
      <c r="N1085" t="s">
        <v>35</v>
      </c>
      <c r="O1085" t="s">
        <v>35</v>
      </c>
      <c r="P1085" t="s">
        <v>35</v>
      </c>
      <c r="Q1085" t="s">
        <v>35</v>
      </c>
      <c r="R1085" t="s">
        <v>35</v>
      </c>
      <c r="S1085" t="s">
        <v>34</v>
      </c>
      <c r="T1085">
        <v>20170125</v>
      </c>
      <c r="AD1085">
        <v>20170124</v>
      </c>
      <c r="AF1085" t="str">
        <f>IFERROR(VLOOKUP(RIGHT(TblFeedFile1[[#This Row],[Leave Type ]],6),LkupPayType[],2,FALSE),"TBD")</f>
        <v>TBD</v>
      </c>
      <c r="AG1085" t="str">
        <f>IFERROR(VLOOKUP(TblFeedFile1[[#This Row],[ Report Number ]],LkupPayrollCycle[],2,FALSE),"TBD")</f>
        <v>Bi-Weekly</v>
      </c>
      <c r="AH1085" t="str">
        <f>IF(TblFeedFile1[[#This Row],[Return to Work Date ]]="","","Y")</f>
        <v>Y</v>
      </c>
    </row>
    <row r="1086" spans="1:34" x14ac:dyDescent="0.25">
      <c r="A1086" t="s">
        <v>29</v>
      </c>
      <c r="B1086">
        <v>314305</v>
      </c>
      <c r="C1086">
        <v>27055755</v>
      </c>
      <c r="D1086" s="1" t="s">
        <v>1412</v>
      </c>
      <c r="E1086" t="s">
        <v>313</v>
      </c>
      <c r="F1086" t="s">
        <v>154</v>
      </c>
      <c r="G1086">
        <v>20161201</v>
      </c>
      <c r="H1086">
        <v>20161201</v>
      </c>
      <c r="I1086" t="s">
        <v>33</v>
      </c>
      <c r="L1086" t="s">
        <v>34</v>
      </c>
      <c r="M1086" t="s">
        <v>34</v>
      </c>
      <c r="N1086" t="s">
        <v>35</v>
      </c>
      <c r="O1086" t="s">
        <v>35</v>
      </c>
      <c r="P1086" t="s">
        <v>35</v>
      </c>
      <c r="Q1086" t="s">
        <v>35</v>
      </c>
      <c r="R1086" t="s">
        <v>35</v>
      </c>
      <c r="S1086" t="s">
        <v>34</v>
      </c>
      <c r="AC1086" t="s">
        <v>35</v>
      </c>
      <c r="AD1086">
        <v>20170124</v>
      </c>
      <c r="AF1086" t="str">
        <f>IFERROR(VLOOKUP(RIGHT(TblFeedFile1[[#This Row],[Leave Type ]],6),LkupPayType[],2,FALSE),"TBD")</f>
        <v>TBD</v>
      </c>
      <c r="AG1086" t="str">
        <f>IFERROR(VLOOKUP(TblFeedFile1[[#This Row],[ Report Number ]],LkupPayrollCycle[],2,FALSE),"TBD")</f>
        <v>Bi-Weekly</v>
      </c>
      <c r="AH1086" t="str">
        <f>IF(TblFeedFile1[[#This Row],[Return to Work Date ]]="","","Y")</f>
        <v/>
      </c>
    </row>
    <row r="1087" spans="1:34" x14ac:dyDescent="0.25">
      <c r="A1087" t="s">
        <v>29</v>
      </c>
      <c r="B1087">
        <v>314305</v>
      </c>
      <c r="C1087">
        <v>27055755</v>
      </c>
      <c r="D1087" s="1" t="s">
        <v>1412</v>
      </c>
      <c r="E1087" t="s">
        <v>313</v>
      </c>
      <c r="F1087" t="s">
        <v>154</v>
      </c>
      <c r="G1087">
        <v>20161113</v>
      </c>
      <c r="H1087">
        <v>20161130</v>
      </c>
      <c r="I1087" t="s">
        <v>303</v>
      </c>
      <c r="L1087" t="s">
        <v>34</v>
      </c>
      <c r="M1087" t="s">
        <v>34</v>
      </c>
      <c r="N1087" t="s">
        <v>35</v>
      </c>
      <c r="O1087" t="s">
        <v>35</v>
      </c>
      <c r="P1087" t="s">
        <v>35</v>
      </c>
      <c r="Q1087" t="s">
        <v>35</v>
      </c>
      <c r="R1087" t="s">
        <v>35</v>
      </c>
      <c r="S1087" t="s">
        <v>34</v>
      </c>
      <c r="AC1087" t="s">
        <v>35</v>
      </c>
      <c r="AD1087">
        <v>20170124</v>
      </c>
      <c r="AF1087" t="str">
        <f>IFERROR(VLOOKUP(RIGHT(TblFeedFile1[[#This Row],[Leave Type ]],6),LkupPayType[],2,FALSE),"TBD")</f>
        <v>TBD</v>
      </c>
      <c r="AG1087" t="str">
        <f>IFERROR(VLOOKUP(TblFeedFile1[[#This Row],[ Report Number ]],LkupPayrollCycle[],2,FALSE),"TBD")</f>
        <v>Bi-Weekly</v>
      </c>
      <c r="AH1087" t="str">
        <f>IF(TblFeedFile1[[#This Row],[Return to Work Date ]]="","","Y")</f>
        <v/>
      </c>
    </row>
    <row r="1088" spans="1:34" x14ac:dyDescent="0.25">
      <c r="A1088" t="s">
        <v>37</v>
      </c>
      <c r="B1088">
        <v>314305</v>
      </c>
      <c r="C1088">
        <v>27055755</v>
      </c>
      <c r="D1088" s="1" t="s">
        <v>1412</v>
      </c>
      <c r="E1088" t="s">
        <v>313</v>
      </c>
      <c r="F1088" t="s">
        <v>154</v>
      </c>
      <c r="G1088">
        <v>20161113</v>
      </c>
      <c r="H1088">
        <v>20170131</v>
      </c>
      <c r="I1088" t="s">
        <v>303</v>
      </c>
      <c r="L1088" t="s">
        <v>34</v>
      </c>
      <c r="M1088" t="s">
        <v>34</v>
      </c>
      <c r="N1088" t="s">
        <v>35</v>
      </c>
      <c r="O1088" t="s">
        <v>35</v>
      </c>
      <c r="P1088" t="s">
        <v>35</v>
      </c>
      <c r="Q1088" t="s">
        <v>35</v>
      </c>
      <c r="R1088" t="s">
        <v>35</v>
      </c>
      <c r="S1088" t="s">
        <v>34</v>
      </c>
      <c r="AC1088" t="s">
        <v>35</v>
      </c>
      <c r="AD1088">
        <v>20170124</v>
      </c>
      <c r="AF1088" t="str">
        <f>IFERROR(VLOOKUP(RIGHT(TblFeedFile1[[#This Row],[Leave Type ]],6),LkupPayType[],2,FALSE),"TBD")</f>
        <v>TBD</v>
      </c>
      <c r="AG1088" t="str">
        <f>IFERROR(VLOOKUP(TblFeedFile1[[#This Row],[ Report Number ]],LkupPayrollCycle[],2,FALSE),"TBD")</f>
        <v>Bi-Weekly</v>
      </c>
      <c r="AH1088" t="str">
        <f>IF(TblFeedFile1[[#This Row],[Return to Work Date ]]="","","Y")</f>
        <v/>
      </c>
    </row>
    <row r="1089" spans="1:34" x14ac:dyDescent="0.25">
      <c r="A1089" t="s">
        <v>37</v>
      </c>
      <c r="B1089">
        <v>314305</v>
      </c>
      <c r="C1089">
        <v>27055755</v>
      </c>
      <c r="D1089" s="1" t="s">
        <v>1412</v>
      </c>
      <c r="E1089" t="s">
        <v>313</v>
      </c>
      <c r="F1089" t="s">
        <v>154</v>
      </c>
      <c r="G1089">
        <v>20170112</v>
      </c>
      <c r="H1089">
        <v>20170131</v>
      </c>
      <c r="I1089" t="s">
        <v>201</v>
      </c>
      <c r="L1089" t="s">
        <v>34</v>
      </c>
      <c r="M1089" t="s">
        <v>34</v>
      </c>
      <c r="N1089" t="s">
        <v>35</v>
      </c>
      <c r="O1089" t="s">
        <v>35</v>
      </c>
      <c r="P1089" t="s">
        <v>35</v>
      </c>
      <c r="Q1089" t="s">
        <v>35</v>
      </c>
      <c r="R1089" t="s">
        <v>35</v>
      </c>
      <c r="S1089" t="s">
        <v>34</v>
      </c>
      <c r="AC1089" t="s">
        <v>35</v>
      </c>
      <c r="AD1089">
        <v>20170124</v>
      </c>
      <c r="AF1089" t="str">
        <f>IFERROR(VLOOKUP(RIGHT(TblFeedFile1[[#This Row],[Leave Type ]],6),LkupPayType[],2,FALSE),"TBD")</f>
        <v>TBD</v>
      </c>
      <c r="AG1089" t="str">
        <f>IFERROR(VLOOKUP(TblFeedFile1[[#This Row],[ Report Number ]],LkupPayrollCycle[],2,FALSE),"TBD")</f>
        <v>Bi-Weekly</v>
      </c>
      <c r="AH1089" t="str">
        <f>IF(TblFeedFile1[[#This Row],[Return to Work Date ]]="","","Y")</f>
        <v/>
      </c>
    </row>
    <row r="1090" spans="1:34" x14ac:dyDescent="0.25">
      <c r="A1090" t="s">
        <v>37</v>
      </c>
      <c r="B1090">
        <v>314304</v>
      </c>
      <c r="C1090">
        <v>27063364</v>
      </c>
      <c r="D1090" s="1" t="s">
        <v>1413</v>
      </c>
      <c r="E1090" t="s">
        <v>619</v>
      </c>
      <c r="F1090" t="s">
        <v>292</v>
      </c>
      <c r="G1090">
        <v>20170110</v>
      </c>
      <c r="H1090">
        <v>20170525</v>
      </c>
      <c r="I1090" t="s">
        <v>78</v>
      </c>
      <c r="K1090" t="s">
        <v>79</v>
      </c>
      <c r="L1090" t="s">
        <v>34</v>
      </c>
      <c r="M1090" t="s">
        <v>34</v>
      </c>
      <c r="N1090" t="s">
        <v>35</v>
      </c>
      <c r="O1090" t="s">
        <v>35</v>
      </c>
      <c r="P1090" t="s">
        <v>35</v>
      </c>
      <c r="Q1090" t="s">
        <v>35</v>
      </c>
      <c r="R1090" t="s">
        <v>35</v>
      </c>
      <c r="S1090" t="s">
        <v>34</v>
      </c>
      <c r="AD1090">
        <v>20170124</v>
      </c>
      <c r="AF1090" t="str">
        <f>IFERROR(VLOOKUP(RIGHT(TblFeedFile1[[#This Row],[Leave Type ]],6),LkupPayType[],2,FALSE),"TBD")</f>
        <v>TBD</v>
      </c>
      <c r="AG1090" t="str">
        <f>IFERROR(VLOOKUP(TblFeedFile1[[#This Row],[ Report Number ]],LkupPayrollCycle[],2,FALSE),"TBD")</f>
        <v>Bi-Weekly</v>
      </c>
      <c r="AH1090" t="str">
        <f>IF(TblFeedFile1[[#This Row],[Return to Work Date ]]="","","Y")</f>
        <v/>
      </c>
    </row>
    <row r="1091" spans="1:34" x14ac:dyDescent="0.25">
      <c r="A1091" t="s">
        <v>37</v>
      </c>
      <c r="B1091">
        <v>314304</v>
      </c>
      <c r="C1091">
        <v>27089538</v>
      </c>
      <c r="D1091" s="1" t="s">
        <v>1414</v>
      </c>
      <c r="E1091" t="s">
        <v>295</v>
      </c>
      <c r="F1091" t="s">
        <v>1415</v>
      </c>
      <c r="G1091">
        <v>20170123</v>
      </c>
      <c r="H1091">
        <v>20170219</v>
      </c>
      <c r="I1091" t="s">
        <v>423</v>
      </c>
      <c r="L1091" t="s">
        <v>34</v>
      </c>
      <c r="M1091" t="s">
        <v>34</v>
      </c>
      <c r="N1091" t="s">
        <v>35</v>
      </c>
      <c r="O1091" t="s">
        <v>35</v>
      </c>
      <c r="P1091" t="s">
        <v>35</v>
      </c>
      <c r="Q1091" t="s">
        <v>35</v>
      </c>
      <c r="R1091" t="s">
        <v>35</v>
      </c>
      <c r="S1091" t="s">
        <v>34</v>
      </c>
      <c r="AD1091">
        <v>20170124</v>
      </c>
      <c r="AF1091" t="str">
        <f>IFERROR(VLOOKUP(RIGHT(TblFeedFile1[[#This Row],[Leave Type ]],6),LkupPayType[],2,FALSE),"TBD")</f>
        <v>TBD</v>
      </c>
      <c r="AG1091" t="str">
        <f>IFERROR(VLOOKUP(TblFeedFile1[[#This Row],[ Report Number ]],LkupPayrollCycle[],2,FALSE),"TBD")</f>
        <v>Bi-Weekly</v>
      </c>
      <c r="AH1091" t="str">
        <f>IF(TblFeedFile1[[#This Row],[Return to Work Date ]]="","","Y")</f>
        <v/>
      </c>
    </row>
    <row r="1092" spans="1:34" x14ac:dyDescent="0.25">
      <c r="A1092" t="s">
        <v>29</v>
      </c>
      <c r="B1092">
        <v>314305</v>
      </c>
      <c r="C1092">
        <v>27090730</v>
      </c>
      <c r="D1092" s="1" t="s">
        <v>1416</v>
      </c>
      <c r="E1092" t="s">
        <v>775</v>
      </c>
      <c r="F1092" t="s">
        <v>1417</v>
      </c>
      <c r="G1092">
        <v>20170110</v>
      </c>
      <c r="H1092">
        <v>20170110</v>
      </c>
      <c r="I1092" t="s">
        <v>33</v>
      </c>
      <c r="L1092" t="s">
        <v>34</v>
      </c>
      <c r="M1092" t="s">
        <v>35</v>
      </c>
      <c r="N1092" t="s">
        <v>35</v>
      </c>
      <c r="O1092" t="s">
        <v>35</v>
      </c>
      <c r="P1092" t="s">
        <v>35</v>
      </c>
      <c r="Q1092" t="s">
        <v>35</v>
      </c>
      <c r="R1092" t="s">
        <v>35</v>
      </c>
      <c r="S1092" t="s">
        <v>34</v>
      </c>
      <c r="AD1092">
        <v>20170124</v>
      </c>
      <c r="AF1092" t="str">
        <f>IFERROR(VLOOKUP(RIGHT(TblFeedFile1[[#This Row],[Leave Type ]],6),LkupPayType[],2,FALSE),"TBD")</f>
        <v>TBD</v>
      </c>
      <c r="AG1092" t="str">
        <f>IFERROR(VLOOKUP(TblFeedFile1[[#This Row],[ Report Number ]],LkupPayrollCycle[],2,FALSE),"TBD")</f>
        <v>Bi-Weekly</v>
      </c>
      <c r="AH1092" t="str">
        <f>IF(TblFeedFile1[[#This Row],[Return to Work Date ]]="","","Y")</f>
        <v/>
      </c>
    </row>
    <row r="1093" spans="1:34" x14ac:dyDescent="0.25">
      <c r="A1093" t="s">
        <v>29</v>
      </c>
      <c r="B1093">
        <v>314305</v>
      </c>
      <c r="C1093">
        <v>27090730</v>
      </c>
      <c r="D1093" s="1" t="s">
        <v>1416</v>
      </c>
      <c r="E1093" t="s">
        <v>775</v>
      </c>
      <c r="F1093" t="s">
        <v>1417</v>
      </c>
      <c r="G1093">
        <v>20170103</v>
      </c>
      <c r="H1093">
        <v>20170109</v>
      </c>
      <c r="I1093" t="s">
        <v>36</v>
      </c>
      <c r="L1093" t="s">
        <v>34</v>
      </c>
      <c r="M1093" t="s">
        <v>35</v>
      </c>
      <c r="N1093" t="s">
        <v>35</v>
      </c>
      <c r="O1093" t="s">
        <v>35</v>
      </c>
      <c r="P1093" t="s">
        <v>35</v>
      </c>
      <c r="Q1093" t="s">
        <v>35</v>
      </c>
      <c r="R1093" t="s">
        <v>34</v>
      </c>
      <c r="S1093" t="s">
        <v>34</v>
      </c>
      <c r="AD1093">
        <v>20170124</v>
      </c>
      <c r="AF1093" t="str">
        <f>IFERROR(VLOOKUP(RIGHT(TblFeedFile1[[#This Row],[Leave Type ]],6),LkupPayType[],2,FALSE),"TBD")</f>
        <v>TBD</v>
      </c>
      <c r="AG1093" t="str">
        <f>IFERROR(VLOOKUP(TblFeedFile1[[#This Row],[ Report Number ]],LkupPayrollCycle[],2,FALSE),"TBD")</f>
        <v>Bi-Weekly</v>
      </c>
      <c r="AH1093" t="str">
        <f>IF(TblFeedFile1[[#This Row],[Return to Work Date ]]="","","Y")</f>
        <v/>
      </c>
    </row>
    <row r="1094" spans="1:34" x14ac:dyDescent="0.25">
      <c r="A1094" t="s">
        <v>37</v>
      </c>
      <c r="B1094">
        <v>314305</v>
      </c>
      <c r="C1094">
        <v>27090730</v>
      </c>
      <c r="D1094" s="1" t="s">
        <v>1416</v>
      </c>
      <c r="E1094" t="s">
        <v>775</v>
      </c>
      <c r="F1094" t="s">
        <v>1417</v>
      </c>
      <c r="G1094">
        <v>20170103</v>
      </c>
      <c r="H1094">
        <v>20170109</v>
      </c>
      <c r="I1094" t="s">
        <v>36</v>
      </c>
      <c r="L1094" t="s">
        <v>34</v>
      </c>
      <c r="M1094" t="s">
        <v>34</v>
      </c>
      <c r="N1094" t="s">
        <v>35</v>
      </c>
      <c r="O1094" t="s">
        <v>35</v>
      </c>
      <c r="P1094" t="s">
        <v>35</v>
      </c>
      <c r="Q1094" t="s">
        <v>35</v>
      </c>
      <c r="R1094" t="s">
        <v>35</v>
      </c>
      <c r="S1094" t="s">
        <v>34</v>
      </c>
      <c r="T1094">
        <v>20170119</v>
      </c>
      <c r="AD1094">
        <v>20170124</v>
      </c>
      <c r="AF1094" t="str">
        <f>IFERROR(VLOOKUP(RIGHT(TblFeedFile1[[#This Row],[Leave Type ]],6),LkupPayType[],2,FALSE),"TBD")</f>
        <v>TBD</v>
      </c>
      <c r="AG1094" t="str">
        <f>IFERROR(VLOOKUP(TblFeedFile1[[#This Row],[ Report Number ]],LkupPayrollCycle[],2,FALSE),"TBD")</f>
        <v>Bi-Weekly</v>
      </c>
      <c r="AH1094" t="str">
        <f>IF(TblFeedFile1[[#This Row],[Return to Work Date ]]="","","Y")</f>
        <v>Y</v>
      </c>
    </row>
    <row r="1095" spans="1:34" x14ac:dyDescent="0.25">
      <c r="A1095" t="s">
        <v>37</v>
      </c>
      <c r="B1095">
        <v>314304</v>
      </c>
      <c r="C1095">
        <v>27092252</v>
      </c>
      <c r="D1095" s="1">
        <v>571612158787</v>
      </c>
      <c r="E1095" t="s">
        <v>1072</v>
      </c>
      <c r="F1095" t="s">
        <v>1418</v>
      </c>
      <c r="G1095">
        <v>20170124</v>
      </c>
      <c r="H1095">
        <v>20170508</v>
      </c>
      <c r="I1095" t="s">
        <v>40</v>
      </c>
      <c r="L1095" t="s">
        <v>34</v>
      </c>
      <c r="M1095" t="s">
        <v>34</v>
      </c>
      <c r="N1095" t="s">
        <v>35</v>
      </c>
      <c r="O1095" t="s">
        <v>35</v>
      </c>
      <c r="P1095" t="s">
        <v>35</v>
      </c>
      <c r="Q1095" t="s">
        <v>35</v>
      </c>
      <c r="R1095" t="s">
        <v>35</v>
      </c>
      <c r="S1095" t="s">
        <v>34</v>
      </c>
      <c r="AD1095">
        <v>20170124</v>
      </c>
      <c r="AF1095" t="str">
        <f>IFERROR(VLOOKUP(RIGHT(TblFeedFile1[[#This Row],[Leave Type ]],6),LkupPayType[],2,FALSE),"TBD")</f>
        <v>TBD</v>
      </c>
      <c r="AG1095" t="str">
        <f>IFERROR(VLOOKUP(TblFeedFile1[[#This Row],[ Report Number ]],LkupPayrollCycle[],2,FALSE),"TBD")</f>
        <v>Bi-Weekly</v>
      </c>
      <c r="AH1095" t="str">
        <f>IF(TblFeedFile1[[#This Row],[Return to Work Date ]]="","","Y")</f>
        <v/>
      </c>
    </row>
    <row r="1096" spans="1:34" x14ac:dyDescent="0.25">
      <c r="A1096" t="s">
        <v>29</v>
      </c>
      <c r="B1096">
        <v>314304</v>
      </c>
      <c r="C1096">
        <v>27097774</v>
      </c>
      <c r="D1096" s="1" t="s">
        <v>1419</v>
      </c>
      <c r="E1096" t="s">
        <v>1420</v>
      </c>
      <c r="F1096" t="s">
        <v>1421</v>
      </c>
      <c r="G1096">
        <v>20170117</v>
      </c>
      <c r="H1096">
        <v>20170117</v>
      </c>
      <c r="I1096" t="s">
        <v>33</v>
      </c>
      <c r="L1096" t="s">
        <v>34</v>
      </c>
      <c r="M1096" t="s">
        <v>34</v>
      </c>
      <c r="N1096" t="s">
        <v>35</v>
      </c>
      <c r="O1096" t="s">
        <v>35</v>
      </c>
      <c r="P1096" t="s">
        <v>35</v>
      </c>
      <c r="Q1096" t="s">
        <v>35</v>
      </c>
      <c r="R1096" t="s">
        <v>35</v>
      </c>
      <c r="S1096" t="s">
        <v>34</v>
      </c>
      <c r="AD1096">
        <v>20170124</v>
      </c>
      <c r="AF1096" t="str">
        <f>IFERROR(VLOOKUP(RIGHT(TblFeedFile1[[#This Row],[Leave Type ]],6),LkupPayType[],2,FALSE),"TBD")</f>
        <v>TBD</v>
      </c>
      <c r="AG1096" t="str">
        <f>IFERROR(VLOOKUP(TblFeedFile1[[#This Row],[ Report Number ]],LkupPayrollCycle[],2,FALSE),"TBD")</f>
        <v>Bi-Weekly</v>
      </c>
      <c r="AH1096" t="str">
        <f>IF(TblFeedFile1[[#This Row],[Return to Work Date ]]="","","Y")</f>
        <v/>
      </c>
    </row>
    <row r="1097" spans="1:34" x14ac:dyDescent="0.25">
      <c r="A1097" t="s">
        <v>37</v>
      </c>
      <c r="B1097">
        <v>314304</v>
      </c>
      <c r="C1097">
        <v>27097774</v>
      </c>
      <c r="D1097" s="1" t="s">
        <v>1419</v>
      </c>
      <c r="E1097" t="s">
        <v>1420</v>
      </c>
      <c r="F1097" t="s">
        <v>1421</v>
      </c>
      <c r="G1097">
        <v>20170106</v>
      </c>
      <c r="H1097">
        <v>20170116</v>
      </c>
      <c r="I1097" t="s">
        <v>36</v>
      </c>
      <c r="L1097" t="s">
        <v>34</v>
      </c>
      <c r="M1097" t="s">
        <v>34</v>
      </c>
      <c r="N1097" t="s">
        <v>35</v>
      </c>
      <c r="O1097" t="s">
        <v>35</v>
      </c>
      <c r="P1097" t="s">
        <v>35</v>
      </c>
      <c r="Q1097" t="s">
        <v>35</v>
      </c>
      <c r="R1097" t="s">
        <v>35</v>
      </c>
      <c r="S1097" t="s">
        <v>34</v>
      </c>
      <c r="T1097">
        <v>20170117</v>
      </c>
      <c r="AD1097">
        <v>20170124</v>
      </c>
      <c r="AF1097" t="str">
        <f>IFERROR(VLOOKUP(RIGHT(TblFeedFile1[[#This Row],[Leave Type ]],6),LkupPayType[],2,FALSE),"TBD")</f>
        <v>TBD</v>
      </c>
      <c r="AG1097" t="str">
        <f>IFERROR(VLOOKUP(TblFeedFile1[[#This Row],[ Report Number ]],LkupPayrollCycle[],2,FALSE),"TBD")</f>
        <v>Bi-Weekly</v>
      </c>
      <c r="AH1097" t="str">
        <f>IF(TblFeedFile1[[#This Row],[Return to Work Date ]]="","","Y")</f>
        <v>Y</v>
      </c>
    </row>
    <row r="1098" spans="1:34" x14ac:dyDescent="0.25">
      <c r="A1098" t="s">
        <v>29</v>
      </c>
      <c r="B1098">
        <v>314304</v>
      </c>
      <c r="C1098">
        <v>27141047</v>
      </c>
      <c r="D1098" s="1" t="s">
        <v>1422</v>
      </c>
      <c r="E1098" t="s">
        <v>717</v>
      </c>
      <c r="F1098" t="s">
        <v>1423</v>
      </c>
      <c r="G1098">
        <v>20160709</v>
      </c>
      <c r="H1098">
        <v>20160709</v>
      </c>
      <c r="I1098" t="s">
        <v>33</v>
      </c>
      <c r="L1098" t="s">
        <v>34</v>
      </c>
      <c r="M1098" t="s">
        <v>34</v>
      </c>
      <c r="N1098" t="s">
        <v>35</v>
      </c>
      <c r="O1098" t="s">
        <v>35</v>
      </c>
      <c r="P1098" t="s">
        <v>35</v>
      </c>
      <c r="Q1098" t="s">
        <v>35</v>
      </c>
      <c r="R1098" t="s">
        <v>35</v>
      </c>
      <c r="S1098" t="s">
        <v>34</v>
      </c>
      <c r="AC1098" t="s">
        <v>35</v>
      </c>
      <c r="AD1098">
        <v>20170124</v>
      </c>
      <c r="AF1098" t="str">
        <f>IFERROR(VLOOKUP(RIGHT(TblFeedFile1[[#This Row],[Leave Type ]],6),LkupPayType[],2,FALSE),"TBD")</f>
        <v>TBD</v>
      </c>
      <c r="AG1098" t="str">
        <f>IFERROR(VLOOKUP(TblFeedFile1[[#This Row],[ Report Number ]],LkupPayrollCycle[],2,FALSE),"TBD")</f>
        <v>Bi-Weekly</v>
      </c>
      <c r="AH1098" t="str">
        <f>IF(TblFeedFile1[[#This Row],[Return to Work Date ]]="","","Y")</f>
        <v/>
      </c>
    </row>
    <row r="1099" spans="1:34" x14ac:dyDescent="0.25">
      <c r="A1099" t="s">
        <v>29</v>
      </c>
      <c r="B1099">
        <v>314304</v>
      </c>
      <c r="C1099">
        <v>27141047</v>
      </c>
      <c r="D1099" s="1" t="s">
        <v>1422</v>
      </c>
      <c r="E1099" t="s">
        <v>717</v>
      </c>
      <c r="F1099" t="s">
        <v>1423</v>
      </c>
      <c r="G1099">
        <v>20160701</v>
      </c>
      <c r="H1099">
        <v>20160708</v>
      </c>
      <c r="I1099" t="s">
        <v>185</v>
      </c>
      <c r="L1099" t="s">
        <v>34</v>
      </c>
      <c r="M1099" t="s">
        <v>34</v>
      </c>
      <c r="N1099" t="s">
        <v>35</v>
      </c>
      <c r="O1099" t="s">
        <v>35</v>
      </c>
      <c r="P1099" t="s">
        <v>35</v>
      </c>
      <c r="Q1099" t="s">
        <v>35</v>
      </c>
      <c r="R1099" t="s">
        <v>35</v>
      </c>
      <c r="S1099" t="s">
        <v>34</v>
      </c>
      <c r="AC1099" t="s">
        <v>35</v>
      </c>
      <c r="AD1099">
        <v>20170124</v>
      </c>
      <c r="AF1099" t="str">
        <f>IFERROR(VLOOKUP(RIGHT(TblFeedFile1[[#This Row],[Leave Type ]],6),LkupPayType[],2,FALSE),"TBD")</f>
        <v>TBD</v>
      </c>
      <c r="AG1099" t="str">
        <f>IFERROR(VLOOKUP(TblFeedFile1[[#This Row],[ Report Number ]],LkupPayrollCycle[],2,FALSE),"TBD")</f>
        <v>Bi-Weekly</v>
      </c>
      <c r="AH1099" t="str">
        <f>IF(TblFeedFile1[[#This Row],[Return to Work Date ]]="","","Y")</f>
        <v/>
      </c>
    </row>
    <row r="1100" spans="1:34" x14ac:dyDescent="0.25">
      <c r="A1100" t="s">
        <v>29</v>
      </c>
      <c r="B1100">
        <v>314304</v>
      </c>
      <c r="C1100">
        <v>27141047</v>
      </c>
      <c r="D1100" s="1" t="s">
        <v>1422</v>
      </c>
      <c r="E1100" t="s">
        <v>717</v>
      </c>
      <c r="F1100" t="s">
        <v>1423</v>
      </c>
      <c r="G1100">
        <v>20160321</v>
      </c>
      <c r="H1100">
        <v>20160708</v>
      </c>
      <c r="I1100" t="s">
        <v>223</v>
      </c>
      <c r="L1100" t="s">
        <v>34</v>
      </c>
      <c r="M1100" t="s">
        <v>34</v>
      </c>
      <c r="N1100" t="s">
        <v>35</v>
      </c>
      <c r="O1100" t="s">
        <v>35</v>
      </c>
      <c r="P1100" t="s">
        <v>35</v>
      </c>
      <c r="Q1100" t="s">
        <v>35</v>
      </c>
      <c r="R1100" t="s">
        <v>35</v>
      </c>
      <c r="S1100" t="s">
        <v>34</v>
      </c>
      <c r="AC1100" t="s">
        <v>35</v>
      </c>
      <c r="AD1100">
        <v>20170124</v>
      </c>
      <c r="AF1100" t="str">
        <f>IFERROR(VLOOKUP(RIGHT(TblFeedFile1[[#This Row],[Leave Type ]],6),LkupPayType[],2,FALSE),"TBD")</f>
        <v>TBD</v>
      </c>
      <c r="AG1100" t="str">
        <f>IFERROR(VLOOKUP(TblFeedFile1[[#This Row],[ Report Number ]],LkupPayrollCycle[],2,FALSE),"TBD")</f>
        <v>Bi-Weekly</v>
      </c>
      <c r="AH1100" t="str">
        <f>IF(TblFeedFile1[[#This Row],[Return to Work Date ]]="","","Y")</f>
        <v/>
      </c>
    </row>
    <row r="1101" spans="1:34" x14ac:dyDescent="0.25">
      <c r="A1101" t="s">
        <v>37</v>
      </c>
      <c r="B1101">
        <v>314304</v>
      </c>
      <c r="C1101">
        <v>27141047</v>
      </c>
      <c r="D1101" s="1" t="s">
        <v>1422</v>
      </c>
      <c r="E1101" t="s">
        <v>717</v>
      </c>
      <c r="F1101" t="s">
        <v>1423</v>
      </c>
      <c r="G1101">
        <v>20160321</v>
      </c>
      <c r="H1101">
        <v>20160613</v>
      </c>
      <c r="I1101" t="s">
        <v>223</v>
      </c>
      <c r="L1101" t="s">
        <v>34</v>
      </c>
      <c r="M1101" t="s">
        <v>34</v>
      </c>
      <c r="N1101" t="s">
        <v>35</v>
      </c>
      <c r="O1101" t="s">
        <v>35</v>
      </c>
      <c r="P1101" t="s">
        <v>35</v>
      </c>
      <c r="Q1101" t="s">
        <v>35</v>
      </c>
      <c r="R1101" t="s">
        <v>35</v>
      </c>
      <c r="S1101" t="s">
        <v>34</v>
      </c>
      <c r="AD1101">
        <v>20170124</v>
      </c>
      <c r="AF1101" t="str">
        <f>IFERROR(VLOOKUP(RIGHT(TblFeedFile1[[#This Row],[Leave Type ]],6),LkupPayType[],2,FALSE),"TBD")</f>
        <v>TBD</v>
      </c>
      <c r="AG1101" t="str">
        <f>IFERROR(VLOOKUP(TblFeedFile1[[#This Row],[ Report Number ]],LkupPayrollCycle[],2,FALSE),"TBD")</f>
        <v>Bi-Weekly</v>
      </c>
      <c r="AH1101" t="str">
        <f>IF(TblFeedFile1[[#This Row],[Return to Work Date ]]="","","Y")</f>
        <v/>
      </c>
    </row>
    <row r="1102" spans="1:34" x14ac:dyDescent="0.25">
      <c r="A1102" t="s">
        <v>37</v>
      </c>
      <c r="B1102">
        <v>314304</v>
      </c>
      <c r="C1102">
        <v>27141047</v>
      </c>
      <c r="D1102" s="1" t="s">
        <v>1422</v>
      </c>
      <c r="E1102" t="s">
        <v>717</v>
      </c>
      <c r="F1102" t="s">
        <v>1423</v>
      </c>
      <c r="G1102">
        <v>20160321</v>
      </c>
      <c r="H1102">
        <v>20160613</v>
      </c>
      <c r="I1102" t="s">
        <v>185</v>
      </c>
      <c r="L1102" t="s">
        <v>34</v>
      </c>
      <c r="M1102" t="s">
        <v>34</v>
      </c>
      <c r="N1102" t="s">
        <v>35</v>
      </c>
      <c r="O1102" t="s">
        <v>35</v>
      </c>
      <c r="P1102" t="s">
        <v>35</v>
      </c>
      <c r="Q1102" t="s">
        <v>35</v>
      </c>
      <c r="R1102" t="s">
        <v>35</v>
      </c>
      <c r="S1102" t="s">
        <v>34</v>
      </c>
      <c r="AD1102">
        <v>20170124</v>
      </c>
      <c r="AF1102" t="str">
        <f>IFERROR(VLOOKUP(RIGHT(TblFeedFile1[[#This Row],[Leave Type ]],6),LkupPayType[],2,FALSE),"TBD")</f>
        <v>TBD</v>
      </c>
      <c r="AG1102" t="str">
        <f>IFERROR(VLOOKUP(TblFeedFile1[[#This Row],[ Report Number ]],LkupPayrollCycle[],2,FALSE),"TBD")</f>
        <v>Bi-Weekly</v>
      </c>
      <c r="AH1102" t="str">
        <f>IF(TblFeedFile1[[#This Row],[Return to Work Date ]]="","","Y")</f>
        <v/>
      </c>
    </row>
    <row r="1103" spans="1:34" x14ac:dyDescent="0.25">
      <c r="A1103" t="s">
        <v>37</v>
      </c>
      <c r="B1103">
        <v>314304</v>
      </c>
      <c r="C1103">
        <v>27141047</v>
      </c>
      <c r="D1103" s="1" t="s">
        <v>1422</v>
      </c>
      <c r="E1103" t="s">
        <v>717</v>
      </c>
      <c r="F1103" t="s">
        <v>1423</v>
      </c>
      <c r="G1103">
        <v>20160614</v>
      </c>
      <c r="H1103">
        <v>20160614</v>
      </c>
      <c r="I1103" t="s">
        <v>33</v>
      </c>
      <c r="L1103" t="s">
        <v>34</v>
      </c>
      <c r="M1103" t="s">
        <v>34</v>
      </c>
      <c r="N1103" t="s">
        <v>35</v>
      </c>
      <c r="O1103" t="s">
        <v>35</v>
      </c>
      <c r="P1103" t="s">
        <v>35</v>
      </c>
      <c r="Q1103" t="s">
        <v>35</v>
      </c>
      <c r="R1103" t="s">
        <v>35</v>
      </c>
      <c r="S1103" t="s">
        <v>34</v>
      </c>
      <c r="AD1103">
        <v>20170124</v>
      </c>
      <c r="AF1103" t="str">
        <f>IFERROR(VLOOKUP(RIGHT(TblFeedFile1[[#This Row],[Leave Type ]],6),LkupPayType[],2,FALSE),"TBD")</f>
        <v>TBD</v>
      </c>
      <c r="AG1103" t="str">
        <f>IFERROR(VLOOKUP(TblFeedFile1[[#This Row],[ Report Number ]],LkupPayrollCycle[],2,FALSE),"TBD")</f>
        <v>Bi-Weekly</v>
      </c>
      <c r="AH1103" t="str">
        <f>IF(TblFeedFile1[[#This Row],[Return to Work Date ]]="","","Y")</f>
        <v/>
      </c>
    </row>
    <row r="1104" spans="1:34" x14ac:dyDescent="0.25">
      <c r="A1104" t="s">
        <v>37</v>
      </c>
      <c r="B1104">
        <v>314304</v>
      </c>
      <c r="C1104">
        <v>27165116</v>
      </c>
      <c r="D1104" s="1" t="s">
        <v>1424</v>
      </c>
      <c r="E1104" t="s">
        <v>1425</v>
      </c>
      <c r="F1104" t="s">
        <v>1426</v>
      </c>
      <c r="G1104">
        <v>20170123</v>
      </c>
      <c r="H1104">
        <v>20170123</v>
      </c>
      <c r="I1104" t="s">
        <v>78</v>
      </c>
      <c r="K1104" t="s">
        <v>79</v>
      </c>
      <c r="L1104" t="s">
        <v>34</v>
      </c>
      <c r="M1104" t="s">
        <v>34</v>
      </c>
      <c r="N1104" t="s">
        <v>35</v>
      </c>
      <c r="O1104" t="s">
        <v>35</v>
      </c>
      <c r="P1104" t="s">
        <v>35</v>
      </c>
      <c r="Q1104" t="s">
        <v>35</v>
      </c>
      <c r="R1104" t="s">
        <v>35</v>
      </c>
      <c r="S1104" t="s">
        <v>34</v>
      </c>
      <c r="T1104">
        <v>20170124</v>
      </c>
      <c r="AD1104">
        <v>20170124</v>
      </c>
      <c r="AF1104" t="str">
        <f>IFERROR(VLOOKUP(RIGHT(TblFeedFile1[[#This Row],[Leave Type ]],6),LkupPayType[],2,FALSE),"TBD")</f>
        <v>TBD</v>
      </c>
      <c r="AG1104" t="str">
        <f>IFERROR(VLOOKUP(TblFeedFile1[[#This Row],[ Report Number ]],LkupPayrollCycle[],2,FALSE),"TBD")</f>
        <v>Bi-Weekly</v>
      </c>
      <c r="AH1104" t="str">
        <f>IF(TblFeedFile1[[#This Row],[Return to Work Date ]]="","","Y")</f>
        <v>Y</v>
      </c>
    </row>
    <row r="1105" spans="1:34" x14ac:dyDescent="0.25">
      <c r="A1105" t="s">
        <v>29</v>
      </c>
      <c r="B1105">
        <v>314304</v>
      </c>
      <c r="C1105">
        <v>27166892</v>
      </c>
      <c r="D1105" s="1">
        <v>541701208924</v>
      </c>
      <c r="E1105" t="s">
        <v>1427</v>
      </c>
      <c r="F1105" t="s">
        <v>1428</v>
      </c>
      <c r="G1105">
        <v>20170113</v>
      </c>
      <c r="I1105" t="s">
        <v>53</v>
      </c>
      <c r="L1105" t="s">
        <v>34</v>
      </c>
      <c r="M1105" t="s">
        <v>34</v>
      </c>
      <c r="N1105" t="s">
        <v>35</v>
      </c>
      <c r="O1105" t="s">
        <v>35</v>
      </c>
      <c r="P1105" t="s">
        <v>35</v>
      </c>
      <c r="Q1105" t="s">
        <v>35</v>
      </c>
      <c r="R1105" t="s">
        <v>35</v>
      </c>
      <c r="S1105" t="s">
        <v>34</v>
      </c>
      <c r="AD1105">
        <v>20170124</v>
      </c>
      <c r="AF1105" t="str">
        <f>IFERROR(VLOOKUP(RIGHT(TblFeedFile1[[#This Row],[Leave Type ]],6),LkupPayType[],2,FALSE),"TBD")</f>
        <v>TBD</v>
      </c>
      <c r="AG1105" t="str">
        <f>IFERROR(VLOOKUP(TblFeedFile1[[#This Row],[ Report Number ]],LkupPayrollCycle[],2,FALSE),"TBD")</f>
        <v>Bi-Weekly</v>
      </c>
      <c r="AH1105" t="str">
        <f>IF(TblFeedFile1[[#This Row],[Return to Work Date ]]="","","Y")</f>
        <v/>
      </c>
    </row>
    <row r="1106" spans="1:34" x14ac:dyDescent="0.25">
      <c r="A1106" t="s">
        <v>37</v>
      </c>
      <c r="B1106">
        <v>314304</v>
      </c>
      <c r="C1106">
        <v>27166892</v>
      </c>
      <c r="D1106" s="1">
        <v>541701208924</v>
      </c>
      <c r="E1106" t="s">
        <v>1427</v>
      </c>
      <c r="F1106" t="s">
        <v>1428</v>
      </c>
      <c r="G1106">
        <v>20170113</v>
      </c>
      <c r="H1106">
        <v>20170213</v>
      </c>
      <c r="I1106" t="s">
        <v>53</v>
      </c>
      <c r="L1106" t="s">
        <v>34</v>
      </c>
      <c r="M1106" t="s">
        <v>34</v>
      </c>
      <c r="N1106" t="s">
        <v>35</v>
      </c>
      <c r="O1106" t="s">
        <v>35</v>
      </c>
      <c r="P1106" t="s">
        <v>35</v>
      </c>
      <c r="Q1106" t="s">
        <v>35</v>
      </c>
      <c r="R1106" t="s">
        <v>35</v>
      </c>
      <c r="S1106" t="s">
        <v>34</v>
      </c>
      <c r="AD1106">
        <v>20170124</v>
      </c>
      <c r="AF1106" t="str">
        <f>IFERROR(VLOOKUP(RIGHT(TblFeedFile1[[#This Row],[Leave Type ]],6),LkupPayType[],2,FALSE),"TBD")</f>
        <v>TBD</v>
      </c>
      <c r="AG1106" t="str">
        <f>IFERROR(VLOOKUP(TblFeedFile1[[#This Row],[ Report Number ]],LkupPayrollCycle[],2,FALSE),"TBD")</f>
        <v>Bi-Weekly</v>
      </c>
      <c r="AH1106" t="str">
        <f>IF(TblFeedFile1[[#This Row],[Return to Work Date ]]="","","Y")</f>
        <v/>
      </c>
    </row>
    <row r="1107" spans="1:34" x14ac:dyDescent="0.25">
      <c r="A1107" t="s">
        <v>37</v>
      </c>
      <c r="B1107">
        <v>314304</v>
      </c>
      <c r="C1107">
        <v>27166892</v>
      </c>
      <c r="D1107" s="1">
        <v>541701208924</v>
      </c>
      <c r="E1107" t="s">
        <v>1427</v>
      </c>
      <c r="F1107" t="s">
        <v>1428</v>
      </c>
      <c r="G1107">
        <v>20170120</v>
      </c>
      <c r="H1107">
        <v>20170213</v>
      </c>
      <c r="I1107" t="s">
        <v>40</v>
      </c>
      <c r="L1107" t="s">
        <v>34</v>
      </c>
      <c r="M1107" t="s">
        <v>34</v>
      </c>
      <c r="N1107" t="s">
        <v>35</v>
      </c>
      <c r="O1107" t="s">
        <v>35</v>
      </c>
      <c r="P1107" t="s">
        <v>35</v>
      </c>
      <c r="Q1107" t="s">
        <v>35</v>
      </c>
      <c r="R1107" t="s">
        <v>35</v>
      </c>
      <c r="S1107" t="s">
        <v>34</v>
      </c>
      <c r="AD1107">
        <v>20170124</v>
      </c>
      <c r="AF1107" t="str">
        <f>IFERROR(VLOOKUP(RIGHT(TblFeedFile1[[#This Row],[Leave Type ]],6),LkupPayType[],2,FALSE),"TBD")</f>
        <v>TBD</v>
      </c>
      <c r="AG1107" t="str">
        <f>IFERROR(VLOOKUP(TblFeedFile1[[#This Row],[ Report Number ]],LkupPayrollCycle[],2,FALSE),"TBD")</f>
        <v>Bi-Weekly</v>
      </c>
      <c r="AH1107" t="str">
        <f>IF(TblFeedFile1[[#This Row],[Return to Work Date ]]="","","Y")</f>
        <v/>
      </c>
    </row>
    <row r="1108" spans="1:34" x14ac:dyDescent="0.25">
      <c r="A1108" t="s">
        <v>37</v>
      </c>
      <c r="B1108">
        <v>314301</v>
      </c>
      <c r="C1108">
        <v>27169806</v>
      </c>
      <c r="D1108" s="1">
        <v>501701188488</v>
      </c>
      <c r="E1108" t="s">
        <v>289</v>
      </c>
      <c r="F1108" t="s">
        <v>1429</v>
      </c>
      <c r="G1108">
        <v>20170123</v>
      </c>
      <c r="H1108">
        <v>20170227</v>
      </c>
      <c r="I1108" t="s">
        <v>53</v>
      </c>
      <c r="L1108" t="s">
        <v>34</v>
      </c>
      <c r="M1108" t="s">
        <v>34</v>
      </c>
      <c r="N1108" t="s">
        <v>35</v>
      </c>
      <c r="O1108" t="s">
        <v>35</v>
      </c>
      <c r="P1108" t="s">
        <v>35</v>
      </c>
      <c r="Q1108" t="s">
        <v>35</v>
      </c>
      <c r="R1108" t="s">
        <v>35</v>
      </c>
      <c r="S1108" t="s">
        <v>34</v>
      </c>
      <c r="AD1108">
        <v>20170124</v>
      </c>
      <c r="AF1108" t="str">
        <f>IFERROR(VLOOKUP(RIGHT(TblFeedFile1[[#This Row],[Leave Type ]],6),LkupPayType[],2,FALSE),"TBD")</f>
        <v>TBD</v>
      </c>
      <c r="AG1108" t="str">
        <f>IFERROR(VLOOKUP(TblFeedFile1[[#This Row],[ Report Number ]],LkupPayrollCycle[],2,FALSE),"TBD")</f>
        <v>Semi-Monthly</v>
      </c>
      <c r="AH1108" t="str">
        <f>IF(TblFeedFile1[[#This Row],[Return to Work Date ]]="","","Y")</f>
        <v/>
      </c>
    </row>
    <row r="1109" spans="1:34" x14ac:dyDescent="0.25">
      <c r="A1109" t="s">
        <v>37</v>
      </c>
      <c r="B1109">
        <v>314301</v>
      </c>
      <c r="C1109">
        <v>27169806</v>
      </c>
      <c r="D1109" s="1">
        <v>501701188488</v>
      </c>
      <c r="E1109" t="s">
        <v>289</v>
      </c>
      <c r="F1109" t="s">
        <v>1429</v>
      </c>
      <c r="G1109">
        <v>20170130</v>
      </c>
      <c r="H1109">
        <v>20170227</v>
      </c>
      <c r="I1109" t="s">
        <v>40</v>
      </c>
      <c r="L1109" t="s">
        <v>34</v>
      </c>
      <c r="M1109" t="s">
        <v>34</v>
      </c>
      <c r="N1109" t="s">
        <v>35</v>
      </c>
      <c r="O1109" t="s">
        <v>35</v>
      </c>
      <c r="P1109" t="s">
        <v>35</v>
      </c>
      <c r="Q1109" t="s">
        <v>35</v>
      </c>
      <c r="R1109" t="s">
        <v>35</v>
      </c>
      <c r="S1109" t="s">
        <v>34</v>
      </c>
      <c r="AD1109">
        <v>20170124</v>
      </c>
      <c r="AF1109" t="str">
        <f>IFERROR(VLOOKUP(RIGHT(TblFeedFile1[[#This Row],[Leave Type ]],6),LkupPayType[],2,FALSE),"TBD")</f>
        <v>TBD</v>
      </c>
      <c r="AG1109" t="str">
        <f>IFERROR(VLOOKUP(TblFeedFile1[[#This Row],[ Report Number ]],LkupPayrollCycle[],2,FALSE),"TBD")</f>
        <v>Semi-Monthly</v>
      </c>
      <c r="AH1109" t="str">
        <f>IF(TblFeedFile1[[#This Row],[Return to Work Date ]]="","","Y")</f>
        <v/>
      </c>
    </row>
    <row r="1110" spans="1:34" x14ac:dyDescent="0.25">
      <c r="A1110" t="s">
        <v>29</v>
      </c>
      <c r="B1110">
        <v>314304</v>
      </c>
      <c r="C1110">
        <v>27203403</v>
      </c>
      <c r="D1110" s="1">
        <v>501701128590</v>
      </c>
      <c r="E1110" t="s">
        <v>1430</v>
      </c>
      <c r="F1110" t="s">
        <v>422</v>
      </c>
      <c r="G1110">
        <v>20170110</v>
      </c>
      <c r="H1110">
        <v>20170202</v>
      </c>
      <c r="I1110" t="s">
        <v>40</v>
      </c>
      <c r="L1110" t="s">
        <v>34</v>
      </c>
      <c r="M1110" t="s">
        <v>34</v>
      </c>
      <c r="N1110" t="s">
        <v>35</v>
      </c>
      <c r="O1110" t="s">
        <v>35</v>
      </c>
      <c r="P1110" t="s">
        <v>35</v>
      </c>
      <c r="Q1110" t="s">
        <v>35</v>
      </c>
      <c r="R1110" t="s">
        <v>35</v>
      </c>
      <c r="S1110" t="s">
        <v>34</v>
      </c>
      <c r="AD1110">
        <v>20170124</v>
      </c>
      <c r="AF1110" t="str">
        <f>IFERROR(VLOOKUP(RIGHT(TblFeedFile1[[#This Row],[Leave Type ]],6),LkupPayType[],2,FALSE),"TBD")</f>
        <v>TBD</v>
      </c>
      <c r="AG1110" t="str">
        <f>IFERROR(VLOOKUP(TblFeedFile1[[#This Row],[ Report Number ]],LkupPayrollCycle[],2,FALSE),"TBD")</f>
        <v>Bi-Weekly</v>
      </c>
      <c r="AH1110" t="str">
        <f>IF(TblFeedFile1[[#This Row],[Return to Work Date ]]="","","Y")</f>
        <v/>
      </c>
    </row>
    <row r="1111" spans="1:34" x14ac:dyDescent="0.25">
      <c r="A1111" t="s">
        <v>29</v>
      </c>
      <c r="B1111">
        <v>314304</v>
      </c>
      <c r="C1111">
        <v>27203403</v>
      </c>
      <c r="D1111" s="1">
        <v>501701128590</v>
      </c>
      <c r="E1111" t="s">
        <v>1430</v>
      </c>
      <c r="F1111" t="s">
        <v>422</v>
      </c>
      <c r="G1111">
        <v>20170103</v>
      </c>
      <c r="H1111">
        <v>20170202</v>
      </c>
      <c r="I1111" t="s">
        <v>53</v>
      </c>
      <c r="L1111" t="s">
        <v>34</v>
      </c>
      <c r="M1111" t="s">
        <v>34</v>
      </c>
      <c r="N1111" t="s">
        <v>35</v>
      </c>
      <c r="O1111" t="s">
        <v>35</v>
      </c>
      <c r="P1111" t="s">
        <v>35</v>
      </c>
      <c r="Q1111" t="s">
        <v>35</v>
      </c>
      <c r="R1111" t="s">
        <v>35</v>
      </c>
      <c r="S1111" t="s">
        <v>34</v>
      </c>
      <c r="AD1111">
        <v>20170124</v>
      </c>
      <c r="AF1111" t="str">
        <f>IFERROR(VLOOKUP(RIGHT(TblFeedFile1[[#This Row],[Leave Type ]],6),LkupPayType[],2,FALSE),"TBD")</f>
        <v>TBD</v>
      </c>
      <c r="AG1111" t="str">
        <f>IFERROR(VLOOKUP(TblFeedFile1[[#This Row],[ Report Number ]],LkupPayrollCycle[],2,FALSE),"TBD")</f>
        <v>Bi-Weekly</v>
      </c>
      <c r="AH1111" t="str">
        <f>IF(TblFeedFile1[[#This Row],[Return to Work Date ]]="","","Y")</f>
        <v/>
      </c>
    </row>
    <row r="1112" spans="1:34" x14ac:dyDescent="0.25">
      <c r="A1112" t="s">
        <v>37</v>
      </c>
      <c r="B1112">
        <v>314304</v>
      </c>
      <c r="C1112">
        <v>27203403</v>
      </c>
      <c r="D1112" s="1">
        <v>501701128590</v>
      </c>
      <c r="E1112" t="s">
        <v>1430</v>
      </c>
      <c r="F1112" t="s">
        <v>422</v>
      </c>
      <c r="G1112">
        <v>20170109</v>
      </c>
      <c r="H1112">
        <v>20170202</v>
      </c>
      <c r="I1112" t="s">
        <v>53</v>
      </c>
      <c r="L1112" t="s">
        <v>34</v>
      </c>
      <c r="M1112" t="s">
        <v>34</v>
      </c>
      <c r="N1112" t="s">
        <v>35</v>
      </c>
      <c r="O1112" t="s">
        <v>35</v>
      </c>
      <c r="P1112" t="s">
        <v>35</v>
      </c>
      <c r="Q1112" t="s">
        <v>35</v>
      </c>
      <c r="R1112" t="s">
        <v>35</v>
      </c>
      <c r="S1112" t="s">
        <v>34</v>
      </c>
      <c r="AD1112">
        <v>20170124</v>
      </c>
      <c r="AF1112" t="str">
        <f>IFERROR(VLOOKUP(RIGHT(TblFeedFile1[[#This Row],[Leave Type ]],6),LkupPayType[],2,FALSE),"TBD")</f>
        <v>TBD</v>
      </c>
      <c r="AG1112" t="str">
        <f>IFERROR(VLOOKUP(TblFeedFile1[[#This Row],[ Report Number ]],LkupPayrollCycle[],2,FALSE),"TBD")</f>
        <v>Bi-Weekly</v>
      </c>
      <c r="AH1112" t="str">
        <f>IF(TblFeedFile1[[#This Row],[Return to Work Date ]]="","","Y")</f>
        <v/>
      </c>
    </row>
    <row r="1113" spans="1:34" x14ac:dyDescent="0.25">
      <c r="A1113" t="s">
        <v>37</v>
      </c>
      <c r="B1113">
        <v>314304</v>
      </c>
      <c r="C1113">
        <v>27203403</v>
      </c>
      <c r="D1113" s="1">
        <v>501701128590</v>
      </c>
      <c r="E1113" t="s">
        <v>1430</v>
      </c>
      <c r="F1113" t="s">
        <v>422</v>
      </c>
      <c r="G1113">
        <v>20170116</v>
      </c>
      <c r="H1113">
        <v>20170202</v>
      </c>
      <c r="I1113" t="s">
        <v>40</v>
      </c>
      <c r="L1113" t="s">
        <v>34</v>
      </c>
      <c r="M1113" t="s">
        <v>34</v>
      </c>
      <c r="N1113" t="s">
        <v>35</v>
      </c>
      <c r="O1113" t="s">
        <v>35</v>
      </c>
      <c r="P1113" t="s">
        <v>35</v>
      </c>
      <c r="Q1113" t="s">
        <v>35</v>
      </c>
      <c r="R1113" t="s">
        <v>35</v>
      </c>
      <c r="S1113" t="s">
        <v>34</v>
      </c>
      <c r="AD1113">
        <v>20170124</v>
      </c>
      <c r="AF1113" t="str">
        <f>IFERROR(VLOOKUP(RIGHT(TblFeedFile1[[#This Row],[Leave Type ]],6),LkupPayType[],2,FALSE),"TBD")</f>
        <v>TBD</v>
      </c>
      <c r="AG1113" t="str">
        <f>IFERROR(VLOOKUP(TblFeedFile1[[#This Row],[ Report Number ]],LkupPayrollCycle[],2,FALSE),"TBD")</f>
        <v>Bi-Weekly</v>
      </c>
      <c r="AH1113" t="str">
        <f>IF(TblFeedFile1[[#This Row],[Return to Work Date ]]="","","Y")</f>
        <v/>
      </c>
    </row>
    <row r="1114" spans="1:34" x14ac:dyDescent="0.25">
      <c r="A1114" t="s">
        <v>29</v>
      </c>
      <c r="B1114">
        <v>314304</v>
      </c>
      <c r="C1114">
        <v>27214497</v>
      </c>
      <c r="D1114" s="1">
        <v>501612158770</v>
      </c>
      <c r="E1114" t="s">
        <v>962</v>
      </c>
      <c r="F1114" t="s">
        <v>1431</v>
      </c>
      <c r="G1114">
        <v>20170105</v>
      </c>
      <c r="H1114">
        <v>20170705</v>
      </c>
      <c r="I1114" t="s">
        <v>53</v>
      </c>
      <c r="L1114" t="s">
        <v>34</v>
      </c>
      <c r="M1114" t="s">
        <v>34</v>
      </c>
      <c r="N1114" t="s">
        <v>35</v>
      </c>
      <c r="O1114" t="s">
        <v>35</v>
      </c>
      <c r="P1114" t="s">
        <v>35</v>
      </c>
      <c r="Q1114" t="s">
        <v>35</v>
      </c>
      <c r="R1114" t="s">
        <v>35</v>
      </c>
      <c r="S1114" t="s">
        <v>34</v>
      </c>
      <c r="AD1114">
        <v>20170124</v>
      </c>
      <c r="AF1114" t="str">
        <f>IFERROR(VLOOKUP(RIGHT(TblFeedFile1[[#This Row],[Leave Type ]],6),LkupPayType[],2,FALSE),"TBD")</f>
        <v>TBD</v>
      </c>
      <c r="AG1114" t="str">
        <f>IFERROR(VLOOKUP(TblFeedFile1[[#This Row],[ Report Number ]],LkupPayrollCycle[],2,FALSE),"TBD")</f>
        <v>Bi-Weekly</v>
      </c>
      <c r="AH1114" t="str">
        <f>IF(TblFeedFile1[[#This Row],[Return to Work Date ]]="","","Y")</f>
        <v/>
      </c>
    </row>
    <row r="1115" spans="1:34" x14ac:dyDescent="0.25">
      <c r="A1115" t="s">
        <v>37</v>
      </c>
      <c r="B1115">
        <v>314304</v>
      </c>
      <c r="C1115">
        <v>27214497</v>
      </c>
      <c r="D1115" s="1">
        <v>501612158770</v>
      </c>
      <c r="E1115" t="s">
        <v>962</v>
      </c>
      <c r="F1115" t="s">
        <v>1431</v>
      </c>
      <c r="G1115">
        <v>20170105</v>
      </c>
      <c r="H1115">
        <v>20170301</v>
      </c>
      <c r="I1115" t="s">
        <v>53</v>
      </c>
      <c r="L1115" t="s">
        <v>34</v>
      </c>
      <c r="M1115" t="s">
        <v>34</v>
      </c>
      <c r="N1115" t="s">
        <v>35</v>
      </c>
      <c r="O1115" t="s">
        <v>35</v>
      </c>
      <c r="P1115" t="s">
        <v>35</v>
      </c>
      <c r="Q1115" t="s">
        <v>35</v>
      </c>
      <c r="R1115" t="s">
        <v>35</v>
      </c>
      <c r="S1115" t="s">
        <v>34</v>
      </c>
      <c r="AD1115">
        <v>20170124</v>
      </c>
      <c r="AF1115" t="str">
        <f>IFERROR(VLOOKUP(RIGHT(TblFeedFile1[[#This Row],[Leave Type ]],6),LkupPayType[],2,FALSE),"TBD")</f>
        <v>TBD</v>
      </c>
      <c r="AG1115" t="str">
        <f>IFERROR(VLOOKUP(TblFeedFile1[[#This Row],[ Report Number ]],LkupPayrollCycle[],2,FALSE),"TBD")</f>
        <v>Bi-Weekly</v>
      </c>
      <c r="AH1115" t="str">
        <f>IF(TblFeedFile1[[#This Row],[Return to Work Date ]]="","","Y")</f>
        <v/>
      </c>
    </row>
    <row r="1116" spans="1:34" x14ac:dyDescent="0.25">
      <c r="A1116" t="s">
        <v>37</v>
      </c>
      <c r="B1116">
        <v>314304</v>
      </c>
      <c r="C1116">
        <v>27214497</v>
      </c>
      <c r="D1116" s="1">
        <v>501612158770</v>
      </c>
      <c r="E1116" t="s">
        <v>962</v>
      </c>
      <c r="F1116" t="s">
        <v>1431</v>
      </c>
      <c r="G1116">
        <v>20170112</v>
      </c>
      <c r="H1116">
        <v>20170301</v>
      </c>
      <c r="I1116" t="s">
        <v>40</v>
      </c>
      <c r="L1116" t="s">
        <v>34</v>
      </c>
      <c r="M1116" t="s">
        <v>34</v>
      </c>
      <c r="N1116" t="s">
        <v>35</v>
      </c>
      <c r="O1116" t="s">
        <v>35</v>
      </c>
      <c r="P1116" t="s">
        <v>35</v>
      </c>
      <c r="Q1116" t="s">
        <v>35</v>
      </c>
      <c r="R1116" t="s">
        <v>35</v>
      </c>
      <c r="S1116" t="s">
        <v>34</v>
      </c>
      <c r="AD1116">
        <v>20170124</v>
      </c>
      <c r="AF1116" t="str">
        <f>IFERROR(VLOOKUP(RIGHT(TblFeedFile1[[#This Row],[Leave Type ]],6),LkupPayType[],2,FALSE),"TBD")</f>
        <v>TBD</v>
      </c>
      <c r="AG1116" t="str">
        <f>IFERROR(VLOOKUP(TblFeedFile1[[#This Row],[ Report Number ]],LkupPayrollCycle[],2,FALSE),"TBD")</f>
        <v>Bi-Weekly</v>
      </c>
      <c r="AH1116" t="str">
        <f>IF(TblFeedFile1[[#This Row],[Return to Work Date ]]="","","Y")</f>
        <v/>
      </c>
    </row>
    <row r="1117" spans="1:34" x14ac:dyDescent="0.25">
      <c r="A1117" t="s">
        <v>37</v>
      </c>
      <c r="B1117">
        <v>314304</v>
      </c>
      <c r="C1117">
        <v>27219708</v>
      </c>
      <c r="D1117" s="1" t="s">
        <v>1432</v>
      </c>
      <c r="E1117" t="s">
        <v>1433</v>
      </c>
      <c r="F1117" t="s">
        <v>1434</v>
      </c>
      <c r="G1117">
        <v>20170122</v>
      </c>
      <c r="H1117">
        <v>20170206</v>
      </c>
      <c r="I1117" t="s">
        <v>78</v>
      </c>
      <c r="K1117" t="s">
        <v>79</v>
      </c>
      <c r="L1117" t="s">
        <v>34</v>
      </c>
      <c r="M1117" t="s">
        <v>34</v>
      </c>
      <c r="N1117" t="s">
        <v>35</v>
      </c>
      <c r="O1117" t="s">
        <v>35</v>
      </c>
      <c r="P1117" t="s">
        <v>35</v>
      </c>
      <c r="Q1117" t="s">
        <v>35</v>
      </c>
      <c r="R1117" t="s">
        <v>35</v>
      </c>
      <c r="S1117" t="s">
        <v>34</v>
      </c>
      <c r="AD1117">
        <v>20170124</v>
      </c>
      <c r="AF1117" t="str">
        <f>IFERROR(VLOOKUP(RIGHT(TblFeedFile1[[#This Row],[Leave Type ]],6),LkupPayType[],2,FALSE),"TBD")</f>
        <v>TBD</v>
      </c>
      <c r="AG1117" t="str">
        <f>IFERROR(VLOOKUP(TblFeedFile1[[#This Row],[ Report Number ]],LkupPayrollCycle[],2,FALSE),"TBD")</f>
        <v>Bi-Weekly</v>
      </c>
      <c r="AH1117" t="str">
        <f>IF(TblFeedFile1[[#This Row],[Return to Work Date ]]="","","Y")</f>
        <v/>
      </c>
    </row>
    <row r="1118" spans="1:34" x14ac:dyDescent="0.25">
      <c r="A1118" t="s">
        <v>37</v>
      </c>
      <c r="B1118">
        <v>314304</v>
      </c>
      <c r="C1118">
        <v>27222527</v>
      </c>
      <c r="D1118" s="1">
        <v>511701238279</v>
      </c>
      <c r="E1118" t="s">
        <v>641</v>
      </c>
      <c r="F1118" t="s">
        <v>1435</v>
      </c>
      <c r="G1118">
        <v>20170118</v>
      </c>
      <c r="H1118">
        <v>20170321</v>
      </c>
      <c r="I1118" t="s">
        <v>53</v>
      </c>
      <c r="L1118" t="s">
        <v>34</v>
      </c>
      <c r="M1118" t="s">
        <v>34</v>
      </c>
      <c r="N1118" t="s">
        <v>35</v>
      </c>
      <c r="O1118" t="s">
        <v>35</v>
      </c>
      <c r="P1118" t="s">
        <v>35</v>
      </c>
      <c r="Q1118" t="s">
        <v>35</v>
      </c>
      <c r="R1118" t="s">
        <v>35</v>
      </c>
      <c r="S1118" t="s">
        <v>34</v>
      </c>
      <c r="AD1118">
        <v>20170124</v>
      </c>
      <c r="AF1118" t="str">
        <f>IFERROR(VLOOKUP(RIGHT(TblFeedFile1[[#This Row],[Leave Type ]],6),LkupPayType[],2,FALSE),"TBD")</f>
        <v>TBD</v>
      </c>
      <c r="AG1118" t="str">
        <f>IFERROR(VLOOKUP(TblFeedFile1[[#This Row],[ Report Number ]],LkupPayrollCycle[],2,FALSE),"TBD")</f>
        <v>Bi-Weekly</v>
      </c>
      <c r="AH1118" t="str">
        <f>IF(TblFeedFile1[[#This Row],[Return to Work Date ]]="","","Y")</f>
        <v/>
      </c>
    </row>
    <row r="1119" spans="1:34" x14ac:dyDescent="0.25">
      <c r="A1119" t="s">
        <v>37</v>
      </c>
      <c r="B1119">
        <v>314301</v>
      </c>
      <c r="C1119">
        <v>27230303</v>
      </c>
      <c r="D1119" s="1" t="s">
        <v>1436</v>
      </c>
      <c r="E1119" t="s">
        <v>1257</v>
      </c>
      <c r="F1119" t="s">
        <v>1437</v>
      </c>
      <c r="G1119">
        <v>20170121</v>
      </c>
      <c r="H1119">
        <v>20170121</v>
      </c>
      <c r="I1119" t="s">
        <v>33</v>
      </c>
      <c r="L1119" t="s">
        <v>34</v>
      </c>
      <c r="M1119" t="s">
        <v>34</v>
      </c>
      <c r="N1119" t="s">
        <v>35</v>
      </c>
      <c r="O1119" t="s">
        <v>35</v>
      </c>
      <c r="P1119" t="s">
        <v>35</v>
      </c>
      <c r="Q1119" t="s">
        <v>35</v>
      </c>
      <c r="R1119" t="s">
        <v>35</v>
      </c>
      <c r="S1119" t="s">
        <v>34</v>
      </c>
      <c r="AC1119" t="s">
        <v>35</v>
      </c>
      <c r="AD1119">
        <v>20170124</v>
      </c>
      <c r="AF1119" t="str">
        <f>IFERROR(VLOOKUP(RIGHT(TblFeedFile1[[#This Row],[Leave Type ]],6),LkupPayType[],2,FALSE),"TBD")</f>
        <v>TBD</v>
      </c>
      <c r="AG1119" t="str">
        <f>IFERROR(VLOOKUP(TblFeedFile1[[#This Row],[ Report Number ]],LkupPayrollCycle[],2,FALSE),"TBD")</f>
        <v>Semi-Monthly</v>
      </c>
      <c r="AH1119" t="str">
        <f>IF(TblFeedFile1[[#This Row],[Return to Work Date ]]="","","Y")</f>
        <v/>
      </c>
    </row>
    <row r="1120" spans="1:34" x14ac:dyDescent="0.25">
      <c r="A1120" t="s">
        <v>29</v>
      </c>
      <c r="B1120">
        <v>314304</v>
      </c>
      <c r="C1120">
        <v>27247436</v>
      </c>
      <c r="D1120" s="1">
        <v>571701178897</v>
      </c>
      <c r="E1120" t="s">
        <v>1438</v>
      </c>
      <c r="F1120" t="s">
        <v>1439</v>
      </c>
      <c r="G1120">
        <v>20170112</v>
      </c>
      <c r="H1120">
        <v>20170203</v>
      </c>
      <c r="I1120" t="s">
        <v>40</v>
      </c>
      <c r="L1120" t="s">
        <v>34</v>
      </c>
      <c r="M1120" t="s">
        <v>35</v>
      </c>
      <c r="N1120" t="s">
        <v>35</v>
      </c>
      <c r="O1120" t="s">
        <v>35</v>
      </c>
      <c r="P1120" t="s">
        <v>35</v>
      </c>
      <c r="Q1120" t="s">
        <v>35</v>
      </c>
      <c r="R1120" t="s">
        <v>34</v>
      </c>
      <c r="S1120" t="s">
        <v>34</v>
      </c>
      <c r="AD1120">
        <v>20170124</v>
      </c>
      <c r="AF1120" t="str">
        <f>IFERROR(VLOOKUP(RIGHT(TblFeedFile1[[#This Row],[Leave Type ]],6),LkupPayType[],2,FALSE),"TBD")</f>
        <v>TBD</v>
      </c>
      <c r="AG1120" t="str">
        <f>IFERROR(VLOOKUP(TblFeedFile1[[#This Row],[ Report Number ]],LkupPayrollCycle[],2,FALSE),"TBD")</f>
        <v>Bi-Weekly</v>
      </c>
      <c r="AH1120" t="str">
        <f>IF(TblFeedFile1[[#This Row],[Return to Work Date ]]="","","Y")</f>
        <v/>
      </c>
    </row>
    <row r="1121" spans="1:34" x14ac:dyDescent="0.25">
      <c r="A1121" t="s">
        <v>29</v>
      </c>
      <c r="B1121">
        <v>314304</v>
      </c>
      <c r="C1121">
        <v>27247436</v>
      </c>
      <c r="D1121" s="1" t="s">
        <v>1440</v>
      </c>
      <c r="E1121" t="s">
        <v>1438</v>
      </c>
      <c r="F1121" t="s">
        <v>1439</v>
      </c>
      <c r="G1121">
        <v>20170105</v>
      </c>
      <c r="H1121">
        <v>20170203</v>
      </c>
      <c r="I1121" t="s">
        <v>78</v>
      </c>
      <c r="K1121" t="s">
        <v>79</v>
      </c>
      <c r="L1121" t="s">
        <v>34</v>
      </c>
      <c r="M1121" t="s">
        <v>35</v>
      </c>
      <c r="N1121" t="s">
        <v>35</v>
      </c>
      <c r="O1121" t="s">
        <v>35</v>
      </c>
      <c r="P1121" t="s">
        <v>35</v>
      </c>
      <c r="Q1121" t="s">
        <v>35</v>
      </c>
      <c r="R1121" t="s">
        <v>34</v>
      </c>
      <c r="S1121" t="s">
        <v>34</v>
      </c>
      <c r="AD1121">
        <v>20170124</v>
      </c>
      <c r="AF1121" t="str">
        <f>IFERROR(VLOOKUP(RIGHT(TblFeedFile1[[#This Row],[Leave Type ]],6),LkupPayType[],2,FALSE),"TBD")</f>
        <v>TBD</v>
      </c>
      <c r="AG1121" t="str">
        <f>IFERROR(VLOOKUP(TblFeedFile1[[#This Row],[ Report Number ]],LkupPayrollCycle[],2,FALSE),"TBD")</f>
        <v>Bi-Weekly</v>
      </c>
      <c r="AH1121" t="str">
        <f>IF(TblFeedFile1[[#This Row],[Return to Work Date ]]="","","Y")</f>
        <v/>
      </c>
    </row>
    <row r="1122" spans="1:34" x14ac:dyDescent="0.25">
      <c r="A1122" t="s">
        <v>37</v>
      </c>
      <c r="B1122">
        <v>314304</v>
      </c>
      <c r="C1122">
        <v>27247436</v>
      </c>
      <c r="D1122" s="1" t="s">
        <v>1440</v>
      </c>
      <c r="E1122" t="s">
        <v>1438</v>
      </c>
      <c r="F1122" t="s">
        <v>1439</v>
      </c>
      <c r="G1122">
        <v>20170112</v>
      </c>
      <c r="H1122">
        <v>20170111</v>
      </c>
      <c r="I1122" t="s">
        <v>36</v>
      </c>
      <c r="L1122" t="s">
        <v>34</v>
      </c>
      <c r="M1122" t="s">
        <v>35</v>
      </c>
      <c r="N1122" t="s">
        <v>35</v>
      </c>
      <c r="O1122" t="s">
        <v>35</v>
      </c>
      <c r="P1122" t="s">
        <v>35</v>
      </c>
      <c r="Q1122" t="s">
        <v>35</v>
      </c>
      <c r="R1122" t="s">
        <v>34</v>
      </c>
      <c r="S1122" t="s">
        <v>34</v>
      </c>
      <c r="AD1122">
        <v>20170124</v>
      </c>
      <c r="AF1122" t="str">
        <f>IFERROR(VLOOKUP(RIGHT(TblFeedFile1[[#This Row],[Leave Type ]],6),LkupPayType[],2,FALSE),"TBD")</f>
        <v>TBD</v>
      </c>
      <c r="AG1122" t="str">
        <f>IFERROR(VLOOKUP(TblFeedFile1[[#This Row],[ Report Number ]],LkupPayrollCycle[],2,FALSE),"TBD")</f>
        <v>Bi-Weekly</v>
      </c>
      <c r="AH1122" t="str">
        <f>IF(TblFeedFile1[[#This Row],[Return to Work Date ]]="","","Y")</f>
        <v/>
      </c>
    </row>
    <row r="1123" spans="1:34" x14ac:dyDescent="0.25">
      <c r="A1123" t="s">
        <v>37</v>
      </c>
      <c r="B1123">
        <v>314304</v>
      </c>
      <c r="C1123">
        <v>27247436</v>
      </c>
      <c r="D1123" s="1" t="s">
        <v>1440</v>
      </c>
      <c r="E1123" t="s">
        <v>1438</v>
      </c>
      <c r="F1123" t="s">
        <v>1439</v>
      </c>
      <c r="G1123">
        <v>20170112</v>
      </c>
      <c r="H1123">
        <v>20170112</v>
      </c>
      <c r="I1123" t="s">
        <v>33</v>
      </c>
      <c r="L1123" t="s">
        <v>34</v>
      </c>
      <c r="M1123" t="s">
        <v>35</v>
      </c>
      <c r="N1123" t="s">
        <v>35</v>
      </c>
      <c r="O1123" t="s">
        <v>35</v>
      </c>
      <c r="P1123" t="s">
        <v>35</v>
      </c>
      <c r="Q1123" t="s">
        <v>35</v>
      </c>
      <c r="R1123" t="s">
        <v>34</v>
      </c>
      <c r="S1123" t="s">
        <v>34</v>
      </c>
      <c r="AD1123">
        <v>20170124</v>
      </c>
      <c r="AF1123" t="str">
        <f>IFERROR(VLOOKUP(RIGHT(TblFeedFile1[[#This Row],[Leave Type ]],6),LkupPayType[],2,FALSE),"TBD")</f>
        <v>TBD</v>
      </c>
      <c r="AG1123" t="str">
        <f>IFERROR(VLOOKUP(TblFeedFile1[[#This Row],[ Report Number ]],LkupPayrollCycle[],2,FALSE),"TBD")</f>
        <v>Bi-Weekly</v>
      </c>
      <c r="AH1123" t="str">
        <f>IF(TblFeedFile1[[#This Row],[Return to Work Date ]]="","","Y")</f>
        <v/>
      </c>
    </row>
    <row r="1124" spans="1:34" x14ac:dyDescent="0.25">
      <c r="A1124" t="s">
        <v>37</v>
      </c>
      <c r="B1124">
        <v>314304</v>
      </c>
      <c r="C1124">
        <v>27276329</v>
      </c>
      <c r="D1124" s="1">
        <v>561701038706</v>
      </c>
      <c r="E1124" t="s">
        <v>169</v>
      </c>
      <c r="F1124" t="s">
        <v>1441</v>
      </c>
      <c r="G1124">
        <v>20170123</v>
      </c>
      <c r="H1124">
        <v>20170322</v>
      </c>
      <c r="I1124" t="s">
        <v>53</v>
      </c>
      <c r="L1124" t="s">
        <v>34</v>
      </c>
      <c r="M1124" t="s">
        <v>34</v>
      </c>
      <c r="N1124" t="s">
        <v>35</v>
      </c>
      <c r="O1124" t="s">
        <v>35</v>
      </c>
      <c r="P1124" t="s">
        <v>35</v>
      </c>
      <c r="Q1124" t="s">
        <v>35</v>
      </c>
      <c r="R1124" t="s">
        <v>35</v>
      </c>
      <c r="S1124" t="s">
        <v>34</v>
      </c>
      <c r="AD1124">
        <v>20170124</v>
      </c>
      <c r="AF1124" t="str">
        <f>IFERROR(VLOOKUP(RIGHT(TblFeedFile1[[#This Row],[Leave Type ]],6),LkupPayType[],2,FALSE),"TBD")</f>
        <v>TBD</v>
      </c>
      <c r="AG1124" t="str">
        <f>IFERROR(VLOOKUP(TblFeedFile1[[#This Row],[ Report Number ]],LkupPayrollCycle[],2,FALSE),"TBD")</f>
        <v>Bi-Weekly</v>
      </c>
      <c r="AH1124" t="str">
        <f>IF(TblFeedFile1[[#This Row],[Return to Work Date ]]="","","Y")</f>
        <v/>
      </c>
    </row>
    <row r="1125" spans="1:34" x14ac:dyDescent="0.25">
      <c r="A1125" t="s">
        <v>29</v>
      </c>
      <c r="B1125">
        <v>314301</v>
      </c>
      <c r="C1125">
        <v>27294161</v>
      </c>
      <c r="D1125" s="1" t="s">
        <v>1442</v>
      </c>
      <c r="E1125" t="s">
        <v>205</v>
      </c>
      <c r="F1125" t="s">
        <v>1443</v>
      </c>
      <c r="G1125">
        <v>20170107</v>
      </c>
      <c r="H1125">
        <v>20170107</v>
      </c>
      <c r="I1125" t="s">
        <v>33</v>
      </c>
      <c r="L1125" t="s">
        <v>34</v>
      </c>
      <c r="M1125" t="s">
        <v>34</v>
      </c>
      <c r="N1125" t="s">
        <v>35</v>
      </c>
      <c r="O1125" t="s">
        <v>35</v>
      </c>
      <c r="P1125" t="s">
        <v>35</v>
      </c>
      <c r="Q1125" t="s">
        <v>35</v>
      </c>
      <c r="R1125" t="s">
        <v>35</v>
      </c>
      <c r="S1125" t="s">
        <v>34</v>
      </c>
      <c r="AC1125" t="s">
        <v>35</v>
      </c>
      <c r="AD1125">
        <v>20170124</v>
      </c>
      <c r="AF1125" t="str">
        <f>IFERROR(VLOOKUP(RIGHT(TblFeedFile1[[#This Row],[Leave Type ]],6),LkupPayType[],2,FALSE),"TBD")</f>
        <v>TBD</v>
      </c>
      <c r="AG1125" t="str">
        <f>IFERROR(VLOOKUP(TblFeedFile1[[#This Row],[ Report Number ]],LkupPayrollCycle[],2,FALSE),"TBD")</f>
        <v>Semi-Monthly</v>
      </c>
      <c r="AH1125" t="str">
        <f>IF(TblFeedFile1[[#This Row],[Return to Work Date ]]="","","Y")</f>
        <v/>
      </c>
    </row>
    <row r="1126" spans="1:34" x14ac:dyDescent="0.25">
      <c r="A1126" t="s">
        <v>29</v>
      </c>
      <c r="B1126">
        <v>314301</v>
      </c>
      <c r="C1126">
        <v>27294161</v>
      </c>
      <c r="D1126" s="1" t="s">
        <v>1442</v>
      </c>
      <c r="E1126" t="s">
        <v>205</v>
      </c>
      <c r="F1126" t="s">
        <v>1443</v>
      </c>
      <c r="G1126">
        <v>20161110</v>
      </c>
      <c r="H1126">
        <v>20170106</v>
      </c>
      <c r="I1126" t="s">
        <v>36</v>
      </c>
      <c r="L1126" t="s">
        <v>34</v>
      </c>
      <c r="M1126" t="s">
        <v>34</v>
      </c>
      <c r="N1126" t="s">
        <v>35</v>
      </c>
      <c r="O1126" t="s">
        <v>35</v>
      </c>
      <c r="P1126" t="s">
        <v>35</v>
      </c>
      <c r="Q1126" t="s">
        <v>35</v>
      </c>
      <c r="R1126" t="s">
        <v>35</v>
      </c>
      <c r="S1126" t="s">
        <v>34</v>
      </c>
      <c r="AC1126" t="s">
        <v>35</v>
      </c>
      <c r="AD1126">
        <v>20170124</v>
      </c>
      <c r="AF1126" t="str">
        <f>IFERROR(VLOOKUP(RIGHT(TblFeedFile1[[#This Row],[Leave Type ]],6),LkupPayType[],2,FALSE),"TBD")</f>
        <v>TBD</v>
      </c>
      <c r="AG1126" t="str">
        <f>IFERROR(VLOOKUP(TblFeedFile1[[#This Row],[ Report Number ]],LkupPayrollCycle[],2,FALSE),"TBD")</f>
        <v>Semi-Monthly</v>
      </c>
      <c r="AH1126" t="str">
        <f>IF(TblFeedFile1[[#This Row],[Return to Work Date ]]="","","Y")</f>
        <v/>
      </c>
    </row>
    <row r="1127" spans="1:34" x14ac:dyDescent="0.25">
      <c r="A1127" t="s">
        <v>37</v>
      </c>
      <c r="B1127">
        <v>314301</v>
      </c>
      <c r="C1127">
        <v>27294161</v>
      </c>
      <c r="D1127" s="1" t="s">
        <v>1442</v>
      </c>
      <c r="E1127" t="s">
        <v>205</v>
      </c>
      <c r="F1127" t="s">
        <v>1443</v>
      </c>
      <c r="G1127">
        <v>20161110</v>
      </c>
      <c r="H1127">
        <v>20180501</v>
      </c>
      <c r="I1127" t="s">
        <v>36</v>
      </c>
      <c r="L1127" t="s">
        <v>34</v>
      </c>
      <c r="M1127" t="s">
        <v>34</v>
      </c>
      <c r="N1127" t="s">
        <v>35</v>
      </c>
      <c r="O1127" t="s">
        <v>35</v>
      </c>
      <c r="P1127" t="s">
        <v>35</v>
      </c>
      <c r="Q1127" t="s">
        <v>35</v>
      </c>
      <c r="R1127" t="s">
        <v>35</v>
      </c>
      <c r="S1127" t="s">
        <v>34</v>
      </c>
      <c r="AC1127" t="s">
        <v>35</v>
      </c>
      <c r="AD1127">
        <v>20170124</v>
      </c>
      <c r="AF1127" t="str">
        <f>IFERROR(VLOOKUP(RIGHT(TblFeedFile1[[#This Row],[Leave Type ]],6),LkupPayType[],2,FALSE),"TBD")</f>
        <v>TBD</v>
      </c>
      <c r="AG1127" t="str">
        <f>IFERROR(VLOOKUP(TblFeedFile1[[#This Row],[ Report Number ]],LkupPayrollCycle[],2,FALSE),"TBD")</f>
        <v>Semi-Monthly</v>
      </c>
      <c r="AH1127" t="str">
        <f>IF(TblFeedFile1[[#This Row],[Return to Work Date ]]="","","Y")</f>
        <v/>
      </c>
    </row>
    <row r="1128" spans="1:34" x14ac:dyDescent="0.25">
      <c r="A1128" t="s">
        <v>37</v>
      </c>
      <c r="B1128">
        <v>314301</v>
      </c>
      <c r="C1128">
        <v>27305635</v>
      </c>
      <c r="D1128" s="1" t="s">
        <v>1444</v>
      </c>
      <c r="E1128" t="s">
        <v>1445</v>
      </c>
      <c r="F1128" t="s">
        <v>589</v>
      </c>
      <c r="G1128">
        <v>20161216</v>
      </c>
      <c r="H1128">
        <v>20170406</v>
      </c>
      <c r="I1128" t="s">
        <v>185</v>
      </c>
      <c r="L1128" t="s">
        <v>34</v>
      </c>
      <c r="M1128" t="s">
        <v>34</v>
      </c>
      <c r="N1128" t="s">
        <v>35</v>
      </c>
      <c r="O1128" t="s">
        <v>35</v>
      </c>
      <c r="P1128" t="s">
        <v>35</v>
      </c>
      <c r="Q1128" t="s">
        <v>35</v>
      </c>
      <c r="R1128" t="s">
        <v>35</v>
      </c>
      <c r="S1128" t="s">
        <v>34</v>
      </c>
      <c r="AC1128" t="s">
        <v>35</v>
      </c>
      <c r="AD1128">
        <v>20170124</v>
      </c>
      <c r="AF1128" t="str">
        <f>IFERROR(VLOOKUP(RIGHT(TblFeedFile1[[#This Row],[Leave Type ]],6),LkupPayType[],2,FALSE),"TBD")</f>
        <v>TBD</v>
      </c>
      <c r="AG1128" t="str">
        <f>IFERROR(VLOOKUP(TblFeedFile1[[#This Row],[ Report Number ]],LkupPayrollCycle[],2,FALSE),"TBD")</f>
        <v>Semi-Monthly</v>
      </c>
      <c r="AH1128" t="str">
        <f>IF(TblFeedFile1[[#This Row],[Return to Work Date ]]="","","Y")</f>
        <v/>
      </c>
    </row>
    <row r="1129" spans="1:34" x14ac:dyDescent="0.25">
      <c r="A1129" t="s">
        <v>37</v>
      </c>
      <c r="B1129">
        <v>314305</v>
      </c>
      <c r="C1129">
        <v>27320765</v>
      </c>
      <c r="D1129" s="1">
        <v>501701138768</v>
      </c>
      <c r="E1129" t="s">
        <v>1151</v>
      </c>
      <c r="F1129" t="s">
        <v>1446</v>
      </c>
      <c r="G1129">
        <v>20170124</v>
      </c>
      <c r="H1129">
        <v>20170228</v>
      </c>
      <c r="I1129" t="s">
        <v>40</v>
      </c>
      <c r="L1129" t="s">
        <v>34</v>
      </c>
      <c r="M1129" t="s">
        <v>34</v>
      </c>
      <c r="N1129" t="s">
        <v>35</v>
      </c>
      <c r="O1129" t="s">
        <v>35</v>
      </c>
      <c r="P1129" t="s">
        <v>35</v>
      </c>
      <c r="Q1129" t="s">
        <v>35</v>
      </c>
      <c r="R1129" t="s">
        <v>35</v>
      </c>
      <c r="S1129" t="s">
        <v>34</v>
      </c>
      <c r="AD1129">
        <v>20170124</v>
      </c>
      <c r="AF1129" t="str">
        <f>IFERROR(VLOOKUP(RIGHT(TblFeedFile1[[#This Row],[Leave Type ]],6),LkupPayType[],2,FALSE),"TBD")</f>
        <v>TBD</v>
      </c>
      <c r="AG1129" t="str">
        <f>IFERROR(VLOOKUP(TblFeedFile1[[#This Row],[ Report Number ]],LkupPayrollCycle[],2,FALSE),"TBD")</f>
        <v>Bi-Weekly</v>
      </c>
      <c r="AH1129" t="str">
        <f>IF(TblFeedFile1[[#This Row],[Return to Work Date ]]="","","Y")</f>
        <v/>
      </c>
    </row>
    <row r="1130" spans="1:34" x14ac:dyDescent="0.25">
      <c r="A1130" t="s">
        <v>29</v>
      </c>
      <c r="B1130">
        <v>314304</v>
      </c>
      <c r="C1130">
        <v>27321389</v>
      </c>
      <c r="D1130" s="1" t="s">
        <v>1447</v>
      </c>
      <c r="E1130" t="s">
        <v>684</v>
      </c>
      <c r="F1130" t="s">
        <v>1448</v>
      </c>
      <c r="G1130">
        <v>20170104</v>
      </c>
      <c r="H1130">
        <v>20200331</v>
      </c>
      <c r="I1130" t="s">
        <v>201</v>
      </c>
      <c r="L1130" t="s">
        <v>34</v>
      </c>
      <c r="M1130" t="s">
        <v>34</v>
      </c>
      <c r="N1130" t="s">
        <v>35</v>
      </c>
      <c r="O1130" t="s">
        <v>35</v>
      </c>
      <c r="P1130" t="s">
        <v>35</v>
      </c>
      <c r="Q1130" t="s">
        <v>35</v>
      </c>
      <c r="R1130" t="s">
        <v>35</v>
      </c>
      <c r="S1130" t="s">
        <v>34</v>
      </c>
      <c r="AC1130" t="s">
        <v>35</v>
      </c>
      <c r="AD1130">
        <v>20170124</v>
      </c>
      <c r="AF1130" t="str">
        <f>IFERROR(VLOOKUP(RIGHT(TblFeedFile1[[#This Row],[Leave Type ]],6),LkupPayType[],2,FALSE),"TBD")</f>
        <v>TBD</v>
      </c>
      <c r="AG1130" t="str">
        <f>IFERROR(VLOOKUP(TblFeedFile1[[#This Row],[ Report Number ]],LkupPayrollCycle[],2,FALSE),"TBD")</f>
        <v>Bi-Weekly</v>
      </c>
      <c r="AH1130" t="str">
        <f>IF(TblFeedFile1[[#This Row],[Return to Work Date ]]="","","Y")</f>
        <v/>
      </c>
    </row>
    <row r="1131" spans="1:34" x14ac:dyDescent="0.25">
      <c r="A1131" t="s">
        <v>37</v>
      </c>
      <c r="B1131">
        <v>314304</v>
      </c>
      <c r="C1131">
        <v>27321389</v>
      </c>
      <c r="D1131" s="1" t="s">
        <v>1447</v>
      </c>
      <c r="E1131" t="s">
        <v>684</v>
      </c>
      <c r="F1131" t="s">
        <v>1448</v>
      </c>
      <c r="G1131">
        <v>20170104</v>
      </c>
      <c r="H1131">
        <v>20180103</v>
      </c>
      <c r="I1131" t="s">
        <v>201</v>
      </c>
      <c r="L1131" t="s">
        <v>34</v>
      </c>
      <c r="M1131" t="s">
        <v>34</v>
      </c>
      <c r="N1131" t="s">
        <v>35</v>
      </c>
      <c r="O1131" t="s">
        <v>35</v>
      </c>
      <c r="P1131" t="s">
        <v>35</v>
      </c>
      <c r="Q1131" t="s">
        <v>35</v>
      </c>
      <c r="R1131" t="s">
        <v>35</v>
      </c>
      <c r="S1131" t="s">
        <v>34</v>
      </c>
      <c r="AC1131" t="s">
        <v>35</v>
      </c>
      <c r="AD1131">
        <v>20170124</v>
      </c>
      <c r="AF1131" t="str">
        <f>IFERROR(VLOOKUP(RIGHT(TblFeedFile1[[#This Row],[Leave Type ]],6),LkupPayType[],2,FALSE),"TBD")</f>
        <v>TBD</v>
      </c>
      <c r="AG1131" t="str">
        <f>IFERROR(VLOOKUP(TblFeedFile1[[#This Row],[ Report Number ]],LkupPayrollCycle[],2,FALSE),"TBD")</f>
        <v>Bi-Weekly</v>
      </c>
      <c r="AH1131" t="str">
        <f>IF(TblFeedFile1[[#This Row],[Return to Work Date ]]="","","Y")</f>
        <v/>
      </c>
    </row>
    <row r="1132" spans="1:34" x14ac:dyDescent="0.25">
      <c r="A1132" t="s">
        <v>37</v>
      </c>
      <c r="B1132">
        <v>314304</v>
      </c>
      <c r="C1132">
        <v>27321997</v>
      </c>
      <c r="D1132" s="1">
        <v>571701098717</v>
      </c>
      <c r="E1132" t="s">
        <v>1449</v>
      </c>
      <c r="F1132" t="s">
        <v>300</v>
      </c>
      <c r="G1132">
        <v>20170113</v>
      </c>
      <c r="H1132">
        <v>20170302</v>
      </c>
      <c r="I1132" t="s">
        <v>53</v>
      </c>
      <c r="L1132" t="s">
        <v>34</v>
      </c>
      <c r="M1132" t="s">
        <v>34</v>
      </c>
      <c r="N1132" t="s">
        <v>35</v>
      </c>
      <c r="O1132" t="s">
        <v>35</v>
      </c>
      <c r="P1132" t="s">
        <v>35</v>
      </c>
      <c r="Q1132" t="s">
        <v>35</v>
      </c>
      <c r="R1132" t="s">
        <v>35</v>
      </c>
      <c r="S1132" t="s">
        <v>34</v>
      </c>
      <c r="AD1132">
        <v>20170124</v>
      </c>
      <c r="AF1132" t="str">
        <f>IFERROR(VLOOKUP(RIGHT(TblFeedFile1[[#This Row],[Leave Type ]],6),LkupPayType[],2,FALSE),"TBD")</f>
        <v>TBD</v>
      </c>
      <c r="AG1132" t="str">
        <f>IFERROR(VLOOKUP(TblFeedFile1[[#This Row],[ Report Number ]],LkupPayrollCycle[],2,FALSE),"TBD")</f>
        <v>Bi-Weekly</v>
      </c>
      <c r="AH1132" t="str">
        <f>IF(TblFeedFile1[[#This Row],[Return to Work Date ]]="","","Y")</f>
        <v/>
      </c>
    </row>
    <row r="1133" spans="1:34" x14ac:dyDescent="0.25">
      <c r="A1133" t="s">
        <v>37</v>
      </c>
      <c r="B1133">
        <v>314304</v>
      </c>
      <c r="C1133">
        <v>27321997</v>
      </c>
      <c r="D1133" s="1">
        <v>571701098717</v>
      </c>
      <c r="E1133" t="s">
        <v>1449</v>
      </c>
      <c r="F1133" t="s">
        <v>300</v>
      </c>
      <c r="G1133">
        <v>20170120</v>
      </c>
      <c r="H1133">
        <v>20170302</v>
      </c>
      <c r="I1133" t="s">
        <v>40</v>
      </c>
      <c r="L1133" t="s">
        <v>34</v>
      </c>
      <c r="M1133" t="s">
        <v>34</v>
      </c>
      <c r="N1133" t="s">
        <v>35</v>
      </c>
      <c r="O1133" t="s">
        <v>35</v>
      </c>
      <c r="P1133" t="s">
        <v>35</v>
      </c>
      <c r="Q1133" t="s">
        <v>35</v>
      </c>
      <c r="R1133" t="s">
        <v>35</v>
      </c>
      <c r="S1133" t="s">
        <v>34</v>
      </c>
      <c r="AD1133">
        <v>20170124</v>
      </c>
      <c r="AF1133" t="str">
        <f>IFERROR(VLOOKUP(RIGHT(TblFeedFile1[[#This Row],[Leave Type ]],6),LkupPayType[],2,FALSE),"TBD")</f>
        <v>TBD</v>
      </c>
      <c r="AG1133" t="str">
        <f>IFERROR(VLOOKUP(TblFeedFile1[[#This Row],[ Report Number ]],LkupPayrollCycle[],2,FALSE),"TBD")</f>
        <v>Bi-Weekly</v>
      </c>
      <c r="AH1133" t="str">
        <f>IF(TblFeedFile1[[#This Row],[Return to Work Date ]]="","","Y")</f>
        <v/>
      </c>
    </row>
    <row r="1134" spans="1:34" x14ac:dyDescent="0.25">
      <c r="A1134" t="s">
        <v>37</v>
      </c>
      <c r="B1134">
        <v>314301</v>
      </c>
      <c r="C1134">
        <v>27334842</v>
      </c>
      <c r="D1134" s="1" t="s">
        <v>1450</v>
      </c>
      <c r="E1134" t="s">
        <v>51</v>
      </c>
      <c r="F1134" t="s">
        <v>1451</v>
      </c>
      <c r="G1134">
        <v>20170123</v>
      </c>
      <c r="H1134">
        <v>20170208</v>
      </c>
      <c r="I1134" t="s">
        <v>78</v>
      </c>
      <c r="K1134" t="s">
        <v>79</v>
      </c>
      <c r="L1134" t="s">
        <v>34</v>
      </c>
      <c r="M1134" t="s">
        <v>34</v>
      </c>
      <c r="N1134" t="s">
        <v>35</v>
      </c>
      <c r="O1134" t="s">
        <v>35</v>
      </c>
      <c r="P1134" t="s">
        <v>35</v>
      </c>
      <c r="Q1134" t="s">
        <v>35</v>
      </c>
      <c r="R1134" t="s">
        <v>35</v>
      </c>
      <c r="S1134" t="s">
        <v>34</v>
      </c>
      <c r="AD1134">
        <v>20170124</v>
      </c>
      <c r="AF1134" t="str">
        <f>IFERROR(VLOOKUP(RIGHT(TblFeedFile1[[#This Row],[Leave Type ]],6),LkupPayType[],2,FALSE),"TBD")</f>
        <v>TBD</v>
      </c>
      <c r="AG1134" t="str">
        <f>IFERROR(VLOOKUP(TblFeedFile1[[#This Row],[ Report Number ]],LkupPayrollCycle[],2,FALSE),"TBD")</f>
        <v>Semi-Monthly</v>
      </c>
      <c r="AH1134" t="str">
        <f>IF(TblFeedFile1[[#This Row],[Return to Work Date ]]="","","Y")</f>
        <v/>
      </c>
    </row>
    <row r="1135" spans="1:34" x14ac:dyDescent="0.25">
      <c r="A1135" t="s">
        <v>37</v>
      </c>
      <c r="B1135">
        <v>314301</v>
      </c>
      <c r="C1135">
        <v>27334842</v>
      </c>
      <c r="D1135" s="1">
        <v>521701238132</v>
      </c>
      <c r="E1135" t="s">
        <v>51</v>
      </c>
      <c r="F1135" t="s">
        <v>1451</v>
      </c>
      <c r="G1135">
        <v>20170124</v>
      </c>
      <c r="H1135">
        <v>20170208</v>
      </c>
      <c r="I1135" t="s">
        <v>53</v>
      </c>
      <c r="L1135" t="s">
        <v>34</v>
      </c>
      <c r="M1135" t="s">
        <v>34</v>
      </c>
      <c r="N1135" t="s">
        <v>35</v>
      </c>
      <c r="O1135" t="s">
        <v>35</v>
      </c>
      <c r="P1135" t="s">
        <v>35</v>
      </c>
      <c r="Q1135" t="s">
        <v>35</v>
      </c>
      <c r="R1135" t="s">
        <v>35</v>
      </c>
      <c r="S1135" t="s">
        <v>34</v>
      </c>
      <c r="AD1135">
        <v>20170124</v>
      </c>
      <c r="AF1135" t="str">
        <f>IFERROR(VLOOKUP(RIGHT(TblFeedFile1[[#This Row],[Leave Type ]],6),LkupPayType[],2,FALSE),"TBD")</f>
        <v>TBD</v>
      </c>
      <c r="AG1135" t="str">
        <f>IFERROR(VLOOKUP(TblFeedFile1[[#This Row],[ Report Number ]],LkupPayrollCycle[],2,FALSE),"TBD")</f>
        <v>Semi-Monthly</v>
      </c>
      <c r="AH1135" t="str">
        <f>IF(TblFeedFile1[[#This Row],[Return to Work Date ]]="","","Y")</f>
        <v/>
      </c>
    </row>
    <row r="1136" spans="1:34" x14ac:dyDescent="0.25">
      <c r="A1136" t="s">
        <v>37</v>
      </c>
      <c r="B1136">
        <v>314301</v>
      </c>
      <c r="C1136">
        <v>27334842</v>
      </c>
      <c r="D1136" s="1">
        <v>521701238132</v>
      </c>
      <c r="E1136" t="s">
        <v>51</v>
      </c>
      <c r="F1136" t="s">
        <v>1451</v>
      </c>
      <c r="G1136">
        <v>20170131</v>
      </c>
      <c r="H1136">
        <v>20170208</v>
      </c>
      <c r="I1136" t="s">
        <v>40</v>
      </c>
      <c r="L1136" t="s">
        <v>34</v>
      </c>
      <c r="M1136" t="s">
        <v>34</v>
      </c>
      <c r="N1136" t="s">
        <v>35</v>
      </c>
      <c r="O1136" t="s">
        <v>35</v>
      </c>
      <c r="P1136" t="s">
        <v>35</v>
      </c>
      <c r="Q1136" t="s">
        <v>35</v>
      </c>
      <c r="R1136" t="s">
        <v>35</v>
      </c>
      <c r="S1136" t="s">
        <v>34</v>
      </c>
      <c r="AD1136">
        <v>20170124</v>
      </c>
      <c r="AF1136" t="str">
        <f>IFERROR(VLOOKUP(RIGHT(TblFeedFile1[[#This Row],[Leave Type ]],6),LkupPayType[],2,FALSE),"TBD")</f>
        <v>TBD</v>
      </c>
      <c r="AG1136" t="str">
        <f>IFERROR(VLOOKUP(TblFeedFile1[[#This Row],[ Report Number ]],LkupPayrollCycle[],2,FALSE),"TBD")</f>
        <v>Semi-Monthly</v>
      </c>
      <c r="AH1136" t="str">
        <f>IF(TblFeedFile1[[#This Row],[Return to Work Date ]]="","","Y")</f>
        <v/>
      </c>
    </row>
    <row r="1137" spans="1:34" x14ac:dyDescent="0.25">
      <c r="A1137" t="s">
        <v>37</v>
      </c>
      <c r="B1137">
        <v>314304</v>
      </c>
      <c r="C1137">
        <v>27342097</v>
      </c>
      <c r="D1137" s="1" t="s">
        <v>1452</v>
      </c>
      <c r="E1137" t="s">
        <v>855</v>
      </c>
      <c r="F1137" t="s">
        <v>1453</v>
      </c>
      <c r="G1137">
        <v>20170123</v>
      </c>
      <c r="H1137">
        <v>20170226</v>
      </c>
      <c r="I1137" t="s">
        <v>36</v>
      </c>
      <c r="L1137" t="s">
        <v>34</v>
      </c>
      <c r="M1137" t="s">
        <v>34</v>
      </c>
      <c r="N1137" t="s">
        <v>35</v>
      </c>
      <c r="O1137" t="s">
        <v>35</v>
      </c>
      <c r="P1137" t="s">
        <v>35</v>
      </c>
      <c r="Q1137" t="s">
        <v>35</v>
      </c>
      <c r="R1137" t="s">
        <v>35</v>
      </c>
      <c r="S1137" t="s">
        <v>34</v>
      </c>
      <c r="AD1137">
        <v>20170124</v>
      </c>
      <c r="AF1137" t="str">
        <f>IFERROR(VLOOKUP(RIGHT(TblFeedFile1[[#This Row],[Leave Type ]],6),LkupPayType[],2,FALSE),"TBD")</f>
        <v>TBD</v>
      </c>
      <c r="AG1137" t="str">
        <f>IFERROR(VLOOKUP(TblFeedFile1[[#This Row],[ Report Number ]],LkupPayrollCycle[],2,FALSE),"TBD")</f>
        <v>Bi-Weekly</v>
      </c>
      <c r="AH1137" t="str">
        <f>IF(TblFeedFile1[[#This Row],[Return to Work Date ]]="","","Y")</f>
        <v/>
      </c>
    </row>
    <row r="1138" spans="1:34" x14ac:dyDescent="0.25">
      <c r="A1138" t="s">
        <v>37</v>
      </c>
      <c r="B1138">
        <v>314301</v>
      </c>
      <c r="C1138">
        <v>27364579</v>
      </c>
      <c r="D1138" s="1" t="s">
        <v>1454</v>
      </c>
      <c r="E1138" t="s">
        <v>704</v>
      </c>
      <c r="F1138" t="s">
        <v>1455</v>
      </c>
      <c r="G1138">
        <v>20170117</v>
      </c>
      <c r="H1138">
        <v>20170125</v>
      </c>
      <c r="I1138" t="s">
        <v>155</v>
      </c>
      <c r="L1138" t="s">
        <v>34</v>
      </c>
      <c r="M1138" t="s">
        <v>34</v>
      </c>
      <c r="N1138" t="s">
        <v>35</v>
      </c>
      <c r="O1138" t="s">
        <v>35</v>
      </c>
      <c r="P1138" t="s">
        <v>35</v>
      </c>
      <c r="Q1138" t="s">
        <v>35</v>
      </c>
      <c r="R1138" t="s">
        <v>35</v>
      </c>
      <c r="S1138" t="s">
        <v>34</v>
      </c>
      <c r="T1138">
        <v>20170125</v>
      </c>
      <c r="AD1138">
        <v>20170124</v>
      </c>
      <c r="AF1138" t="str">
        <f>IFERROR(VLOOKUP(RIGHT(TblFeedFile1[[#This Row],[Leave Type ]],6),LkupPayType[],2,FALSE),"TBD")</f>
        <v>TBD</v>
      </c>
      <c r="AG1138" t="str">
        <f>IFERROR(VLOOKUP(TblFeedFile1[[#This Row],[ Report Number ]],LkupPayrollCycle[],2,FALSE),"TBD")</f>
        <v>Semi-Monthly</v>
      </c>
      <c r="AH1138" t="str">
        <f>IF(TblFeedFile1[[#This Row],[Return to Work Date ]]="","","Y")</f>
        <v>Y</v>
      </c>
    </row>
    <row r="1139" spans="1:34" x14ac:dyDescent="0.25">
      <c r="A1139" t="s">
        <v>37</v>
      </c>
      <c r="B1139">
        <v>314304</v>
      </c>
      <c r="C1139">
        <v>27392826</v>
      </c>
      <c r="D1139" s="1" t="s">
        <v>1456</v>
      </c>
      <c r="E1139" t="s">
        <v>277</v>
      </c>
      <c r="F1139" t="s">
        <v>178</v>
      </c>
      <c r="G1139">
        <v>20170113</v>
      </c>
      <c r="H1139">
        <v>20170219</v>
      </c>
      <c r="I1139" t="s">
        <v>36</v>
      </c>
      <c r="L1139" t="s">
        <v>34</v>
      </c>
      <c r="M1139" t="s">
        <v>34</v>
      </c>
      <c r="N1139" t="s">
        <v>35</v>
      </c>
      <c r="O1139" t="s">
        <v>35</v>
      </c>
      <c r="P1139" t="s">
        <v>35</v>
      </c>
      <c r="Q1139" t="s">
        <v>35</v>
      </c>
      <c r="R1139" t="s">
        <v>35</v>
      </c>
      <c r="S1139" t="s">
        <v>34</v>
      </c>
      <c r="AD1139">
        <v>20170124</v>
      </c>
      <c r="AF1139" t="str">
        <f>IFERROR(VLOOKUP(RIGHT(TblFeedFile1[[#This Row],[Leave Type ]],6),LkupPayType[],2,FALSE),"TBD")</f>
        <v>TBD</v>
      </c>
      <c r="AG1139" t="str">
        <f>IFERROR(VLOOKUP(TblFeedFile1[[#This Row],[ Report Number ]],LkupPayrollCycle[],2,FALSE),"TBD")</f>
        <v>Bi-Weekly</v>
      </c>
      <c r="AH1139" t="str">
        <f>IF(TblFeedFile1[[#This Row],[Return to Work Date ]]="","","Y")</f>
        <v/>
      </c>
    </row>
    <row r="1140" spans="1:34" x14ac:dyDescent="0.25">
      <c r="A1140" t="s">
        <v>29</v>
      </c>
      <c r="B1140">
        <v>314305</v>
      </c>
      <c r="C1140">
        <v>27415844</v>
      </c>
      <c r="D1140" s="1" t="s">
        <v>1457</v>
      </c>
      <c r="E1140" t="s">
        <v>1458</v>
      </c>
      <c r="F1140" t="s">
        <v>263</v>
      </c>
      <c r="G1140">
        <v>20170119</v>
      </c>
      <c r="H1140">
        <v>20170119</v>
      </c>
      <c r="I1140" t="s">
        <v>33</v>
      </c>
      <c r="L1140" t="s">
        <v>34</v>
      </c>
      <c r="M1140" t="s">
        <v>34</v>
      </c>
      <c r="N1140" t="s">
        <v>35</v>
      </c>
      <c r="O1140" t="s">
        <v>35</v>
      </c>
      <c r="P1140" t="s">
        <v>35</v>
      </c>
      <c r="Q1140" t="s">
        <v>35</v>
      </c>
      <c r="R1140" t="s">
        <v>35</v>
      </c>
      <c r="S1140" t="s">
        <v>34</v>
      </c>
      <c r="AD1140">
        <v>20170124</v>
      </c>
      <c r="AF1140" t="str">
        <f>IFERROR(VLOOKUP(RIGHT(TblFeedFile1[[#This Row],[Leave Type ]],6),LkupPayType[],2,FALSE),"TBD")</f>
        <v>TBD</v>
      </c>
      <c r="AG1140" t="str">
        <f>IFERROR(VLOOKUP(TblFeedFile1[[#This Row],[ Report Number ]],LkupPayrollCycle[],2,FALSE),"TBD")</f>
        <v>Bi-Weekly</v>
      </c>
      <c r="AH1140" t="str">
        <f>IF(TblFeedFile1[[#This Row],[Return to Work Date ]]="","","Y")</f>
        <v/>
      </c>
    </row>
    <row r="1141" spans="1:34" x14ac:dyDescent="0.25">
      <c r="A1141" t="s">
        <v>37</v>
      </c>
      <c r="B1141">
        <v>314305</v>
      </c>
      <c r="C1141">
        <v>27415844</v>
      </c>
      <c r="D1141" s="1" t="s">
        <v>1457</v>
      </c>
      <c r="E1141" t="s">
        <v>1458</v>
      </c>
      <c r="F1141" t="s">
        <v>263</v>
      </c>
      <c r="G1141">
        <v>20170121</v>
      </c>
      <c r="H1141">
        <v>20170121</v>
      </c>
      <c r="I1141" t="s">
        <v>33</v>
      </c>
      <c r="L1141" t="s">
        <v>34</v>
      </c>
      <c r="M1141" t="s">
        <v>34</v>
      </c>
      <c r="N1141" t="s">
        <v>35</v>
      </c>
      <c r="O1141" t="s">
        <v>35</v>
      </c>
      <c r="P1141" t="s">
        <v>35</v>
      </c>
      <c r="Q1141" t="s">
        <v>35</v>
      </c>
      <c r="R1141" t="s">
        <v>35</v>
      </c>
      <c r="S1141" t="s">
        <v>34</v>
      </c>
      <c r="AD1141">
        <v>20170124</v>
      </c>
      <c r="AF1141" t="str">
        <f>IFERROR(VLOOKUP(RIGHT(TblFeedFile1[[#This Row],[Leave Type ]],6),LkupPayType[],2,FALSE),"TBD")</f>
        <v>TBD</v>
      </c>
      <c r="AG1141" t="str">
        <f>IFERROR(VLOOKUP(TblFeedFile1[[#This Row],[ Report Number ]],LkupPayrollCycle[],2,FALSE),"TBD")</f>
        <v>Bi-Weekly</v>
      </c>
      <c r="AH1141" t="str">
        <f>IF(TblFeedFile1[[#This Row],[Return to Work Date ]]="","","Y")</f>
        <v/>
      </c>
    </row>
    <row r="1142" spans="1:34" x14ac:dyDescent="0.25">
      <c r="A1142" t="s">
        <v>37</v>
      </c>
      <c r="B1142">
        <v>314301</v>
      </c>
      <c r="C1142">
        <v>27444801</v>
      </c>
      <c r="D1142" s="1" t="s">
        <v>1459</v>
      </c>
      <c r="E1142" t="s">
        <v>1460</v>
      </c>
      <c r="F1142" t="s">
        <v>1461</v>
      </c>
      <c r="G1142">
        <v>20170125</v>
      </c>
      <c r="H1142">
        <v>20170221</v>
      </c>
      <c r="I1142" t="s">
        <v>78</v>
      </c>
      <c r="K1142" t="s">
        <v>79</v>
      </c>
      <c r="L1142" t="s">
        <v>34</v>
      </c>
      <c r="M1142" t="s">
        <v>34</v>
      </c>
      <c r="N1142" t="s">
        <v>35</v>
      </c>
      <c r="O1142" t="s">
        <v>35</v>
      </c>
      <c r="P1142" t="s">
        <v>35</v>
      </c>
      <c r="Q1142" t="s">
        <v>35</v>
      </c>
      <c r="R1142" t="s">
        <v>35</v>
      </c>
      <c r="S1142" t="s">
        <v>34</v>
      </c>
      <c r="AD1142">
        <v>20170124</v>
      </c>
      <c r="AF1142" t="str">
        <f>IFERROR(VLOOKUP(RIGHT(TblFeedFile1[[#This Row],[Leave Type ]],6),LkupPayType[],2,FALSE),"TBD")</f>
        <v>TBD</v>
      </c>
      <c r="AG1142" t="str">
        <f>IFERROR(VLOOKUP(TblFeedFile1[[#This Row],[ Report Number ]],LkupPayrollCycle[],2,FALSE),"TBD")</f>
        <v>Semi-Monthly</v>
      </c>
      <c r="AH1142" t="str">
        <f>IF(TblFeedFile1[[#This Row],[Return to Work Date ]]="","","Y")</f>
        <v/>
      </c>
    </row>
    <row r="1143" spans="1:34" x14ac:dyDescent="0.25">
      <c r="A1143" t="s">
        <v>37</v>
      </c>
      <c r="B1143">
        <v>314301</v>
      </c>
      <c r="C1143">
        <v>27444801</v>
      </c>
      <c r="D1143" s="1">
        <v>521701238332</v>
      </c>
      <c r="E1143" t="s">
        <v>1460</v>
      </c>
      <c r="F1143" t="s">
        <v>1461</v>
      </c>
      <c r="G1143">
        <v>20170125</v>
      </c>
      <c r="I1143" t="s">
        <v>53</v>
      </c>
      <c r="L1143" t="s">
        <v>34</v>
      </c>
      <c r="M1143" t="s">
        <v>34</v>
      </c>
      <c r="N1143" t="s">
        <v>35</v>
      </c>
      <c r="O1143" t="s">
        <v>35</v>
      </c>
      <c r="P1143" t="s">
        <v>35</v>
      </c>
      <c r="Q1143" t="s">
        <v>35</v>
      </c>
      <c r="R1143" t="s">
        <v>35</v>
      </c>
      <c r="S1143" t="s">
        <v>34</v>
      </c>
      <c r="AD1143">
        <v>20170124</v>
      </c>
      <c r="AF1143" t="str">
        <f>IFERROR(VLOOKUP(RIGHT(TblFeedFile1[[#This Row],[Leave Type ]],6),LkupPayType[],2,FALSE),"TBD")</f>
        <v>TBD</v>
      </c>
      <c r="AG1143" t="str">
        <f>IFERROR(VLOOKUP(TblFeedFile1[[#This Row],[ Report Number ]],LkupPayrollCycle[],2,FALSE),"TBD")</f>
        <v>Semi-Monthly</v>
      </c>
      <c r="AH1143" t="str">
        <f>IF(TblFeedFile1[[#This Row],[Return to Work Date ]]="","","Y")</f>
        <v/>
      </c>
    </row>
    <row r="1144" spans="1:34" x14ac:dyDescent="0.25">
      <c r="A1144" t="s">
        <v>37</v>
      </c>
      <c r="B1144">
        <v>314304</v>
      </c>
      <c r="C1144">
        <v>27473472</v>
      </c>
      <c r="D1144" s="1">
        <v>541701178074</v>
      </c>
      <c r="E1144" t="s">
        <v>1462</v>
      </c>
      <c r="F1144" t="s">
        <v>1463</v>
      </c>
      <c r="G1144">
        <v>20170124</v>
      </c>
      <c r="H1144">
        <v>20170301</v>
      </c>
      <c r="I1144" t="s">
        <v>40</v>
      </c>
      <c r="L1144" t="s">
        <v>34</v>
      </c>
      <c r="M1144" t="s">
        <v>34</v>
      </c>
      <c r="N1144" t="s">
        <v>35</v>
      </c>
      <c r="O1144" t="s">
        <v>35</v>
      </c>
      <c r="P1144" t="s">
        <v>35</v>
      </c>
      <c r="Q1144" t="s">
        <v>35</v>
      </c>
      <c r="R1144" t="s">
        <v>35</v>
      </c>
      <c r="S1144" t="s">
        <v>34</v>
      </c>
      <c r="AD1144">
        <v>20170124</v>
      </c>
      <c r="AF1144" t="str">
        <f>IFERROR(VLOOKUP(RIGHT(TblFeedFile1[[#This Row],[Leave Type ]],6),LkupPayType[],2,FALSE),"TBD")</f>
        <v>TBD</v>
      </c>
      <c r="AG1144" t="str">
        <f>IFERROR(VLOOKUP(TblFeedFile1[[#This Row],[ Report Number ]],LkupPayrollCycle[],2,FALSE),"TBD")</f>
        <v>Bi-Weekly</v>
      </c>
      <c r="AH1144" t="str">
        <f>IF(TblFeedFile1[[#This Row],[Return to Work Date ]]="","","Y")</f>
        <v/>
      </c>
    </row>
    <row r="1145" spans="1:34" x14ac:dyDescent="0.25">
      <c r="A1145" t="s">
        <v>29</v>
      </c>
      <c r="B1145">
        <v>314301</v>
      </c>
      <c r="C1145">
        <v>27479641</v>
      </c>
      <c r="D1145" s="1">
        <v>501701048010</v>
      </c>
      <c r="E1145" t="s">
        <v>1308</v>
      </c>
      <c r="F1145" t="s">
        <v>518</v>
      </c>
      <c r="G1145">
        <v>20170119</v>
      </c>
      <c r="H1145">
        <v>20170222</v>
      </c>
      <c r="I1145" t="s">
        <v>40</v>
      </c>
      <c r="L1145" t="s">
        <v>34</v>
      </c>
      <c r="M1145" t="s">
        <v>34</v>
      </c>
      <c r="N1145" t="s">
        <v>35</v>
      </c>
      <c r="O1145" t="s">
        <v>35</v>
      </c>
      <c r="P1145" t="s">
        <v>35</v>
      </c>
      <c r="Q1145" t="s">
        <v>35</v>
      </c>
      <c r="R1145" t="s">
        <v>35</v>
      </c>
      <c r="S1145" t="s">
        <v>34</v>
      </c>
      <c r="AD1145">
        <v>20170124</v>
      </c>
      <c r="AF1145" t="str">
        <f>IFERROR(VLOOKUP(RIGHT(TblFeedFile1[[#This Row],[Leave Type ]],6),LkupPayType[],2,FALSE),"TBD")</f>
        <v>TBD</v>
      </c>
      <c r="AG1145" t="str">
        <f>IFERROR(VLOOKUP(TblFeedFile1[[#This Row],[ Report Number ]],LkupPayrollCycle[],2,FALSE),"TBD")</f>
        <v>Semi-Monthly</v>
      </c>
      <c r="AH1145" t="str">
        <f>IF(TblFeedFile1[[#This Row],[Return to Work Date ]]="","","Y")</f>
        <v/>
      </c>
    </row>
    <row r="1146" spans="1:34" x14ac:dyDescent="0.25">
      <c r="A1146" t="s">
        <v>37</v>
      </c>
      <c r="B1146">
        <v>314301</v>
      </c>
      <c r="C1146">
        <v>27479641</v>
      </c>
      <c r="D1146" s="1">
        <v>501701048010</v>
      </c>
      <c r="E1146" t="s">
        <v>1308</v>
      </c>
      <c r="F1146" t="s">
        <v>518</v>
      </c>
      <c r="G1146">
        <v>20170119</v>
      </c>
      <c r="H1146">
        <v>20170317</v>
      </c>
      <c r="I1146" t="s">
        <v>40</v>
      </c>
      <c r="L1146" t="s">
        <v>34</v>
      </c>
      <c r="M1146" t="s">
        <v>34</v>
      </c>
      <c r="N1146" t="s">
        <v>35</v>
      </c>
      <c r="O1146" t="s">
        <v>35</v>
      </c>
      <c r="P1146" t="s">
        <v>35</v>
      </c>
      <c r="Q1146" t="s">
        <v>35</v>
      </c>
      <c r="R1146" t="s">
        <v>35</v>
      </c>
      <c r="S1146" t="s">
        <v>34</v>
      </c>
      <c r="AD1146">
        <v>20170124</v>
      </c>
      <c r="AF1146" t="str">
        <f>IFERROR(VLOOKUP(RIGHT(TblFeedFile1[[#This Row],[Leave Type ]],6),LkupPayType[],2,FALSE),"TBD")</f>
        <v>TBD</v>
      </c>
      <c r="AG1146" t="str">
        <f>IFERROR(VLOOKUP(TblFeedFile1[[#This Row],[ Report Number ]],LkupPayrollCycle[],2,FALSE),"TBD")</f>
        <v>Semi-Monthly</v>
      </c>
      <c r="AH1146" t="str">
        <f>IF(TblFeedFile1[[#This Row],[Return to Work Date ]]="","","Y")</f>
        <v/>
      </c>
    </row>
    <row r="1147" spans="1:34" x14ac:dyDescent="0.25">
      <c r="A1147" t="s">
        <v>37</v>
      </c>
      <c r="B1147">
        <v>314301</v>
      </c>
      <c r="C1147">
        <v>27486760</v>
      </c>
      <c r="D1147" s="1">
        <v>511701178189</v>
      </c>
      <c r="E1147" t="s">
        <v>1464</v>
      </c>
      <c r="F1147" t="s">
        <v>1465</v>
      </c>
      <c r="G1147">
        <v>20170123</v>
      </c>
      <c r="H1147">
        <v>20170224</v>
      </c>
      <c r="I1147" t="s">
        <v>53</v>
      </c>
      <c r="L1147" t="s">
        <v>34</v>
      </c>
      <c r="M1147" t="s">
        <v>34</v>
      </c>
      <c r="N1147" t="s">
        <v>35</v>
      </c>
      <c r="O1147" t="s">
        <v>35</v>
      </c>
      <c r="P1147" t="s">
        <v>35</v>
      </c>
      <c r="Q1147" t="s">
        <v>35</v>
      </c>
      <c r="R1147" t="s">
        <v>35</v>
      </c>
      <c r="S1147" t="s">
        <v>34</v>
      </c>
      <c r="AD1147">
        <v>20170124</v>
      </c>
      <c r="AF1147" t="str">
        <f>IFERROR(VLOOKUP(RIGHT(TblFeedFile1[[#This Row],[Leave Type ]],6),LkupPayType[],2,FALSE),"TBD")</f>
        <v>TBD</v>
      </c>
      <c r="AG1147" t="str">
        <f>IFERROR(VLOOKUP(TblFeedFile1[[#This Row],[ Report Number ]],LkupPayrollCycle[],2,FALSE),"TBD")</f>
        <v>Semi-Monthly</v>
      </c>
      <c r="AH1147" t="str">
        <f>IF(TblFeedFile1[[#This Row],[Return to Work Date ]]="","","Y")</f>
        <v/>
      </c>
    </row>
    <row r="1148" spans="1:34" x14ac:dyDescent="0.25">
      <c r="A1148" t="s">
        <v>37</v>
      </c>
      <c r="B1148">
        <v>314301</v>
      </c>
      <c r="C1148">
        <v>27486760</v>
      </c>
      <c r="D1148" s="1">
        <v>511701178189</v>
      </c>
      <c r="E1148" t="s">
        <v>1464</v>
      </c>
      <c r="F1148" t="s">
        <v>1465</v>
      </c>
      <c r="G1148">
        <v>20170130</v>
      </c>
      <c r="H1148">
        <v>20170224</v>
      </c>
      <c r="I1148" t="s">
        <v>40</v>
      </c>
      <c r="L1148" t="s">
        <v>34</v>
      </c>
      <c r="M1148" t="s">
        <v>34</v>
      </c>
      <c r="N1148" t="s">
        <v>35</v>
      </c>
      <c r="O1148" t="s">
        <v>35</v>
      </c>
      <c r="P1148" t="s">
        <v>35</v>
      </c>
      <c r="Q1148" t="s">
        <v>35</v>
      </c>
      <c r="R1148" t="s">
        <v>35</v>
      </c>
      <c r="S1148" t="s">
        <v>34</v>
      </c>
      <c r="AD1148">
        <v>20170124</v>
      </c>
      <c r="AF1148" t="str">
        <f>IFERROR(VLOOKUP(RIGHT(TblFeedFile1[[#This Row],[Leave Type ]],6),LkupPayType[],2,FALSE),"TBD")</f>
        <v>TBD</v>
      </c>
      <c r="AG1148" t="str">
        <f>IFERROR(VLOOKUP(TblFeedFile1[[#This Row],[ Report Number ]],LkupPayrollCycle[],2,FALSE),"TBD")</f>
        <v>Semi-Monthly</v>
      </c>
      <c r="AH1148" t="str">
        <f>IF(TblFeedFile1[[#This Row],[Return to Work Date ]]="","","Y")</f>
        <v/>
      </c>
    </row>
    <row r="1149" spans="1:34" x14ac:dyDescent="0.25">
      <c r="A1149" t="s">
        <v>37</v>
      </c>
      <c r="B1149">
        <v>314304</v>
      </c>
      <c r="C1149">
        <v>27492934</v>
      </c>
      <c r="D1149" s="1" t="s">
        <v>1466</v>
      </c>
      <c r="E1149" t="s">
        <v>354</v>
      </c>
      <c r="F1149" t="s">
        <v>1467</v>
      </c>
      <c r="G1149">
        <v>20170123</v>
      </c>
      <c r="H1149">
        <v>20170203</v>
      </c>
      <c r="I1149" t="s">
        <v>49</v>
      </c>
      <c r="L1149" t="s">
        <v>34</v>
      </c>
      <c r="M1149" t="s">
        <v>34</v>
      </c>
      <c r="N1149" t="s">
        <v>35</v>
      </c>
      <c r="O1149" t="s">
        <v>35</v>
      </c>
      <c r="P1149" t="s">
        <v>35</v>
      </c>
      <c r="Q1149" t="s">
        <v>35</v>
      </c>
      <c r="R1149" t="s">
        <v>35</v>
      </c>
      <c r="S1149" t="s">
        <v>34</v>
      </c>
      <c r="AD1149">
        <v>20170124</v>
      </c>
      <c r="AF1149" t="str">
        <f>IFERROR(VLOOKUP(RIGHT(TblFeedFile1[[#This Row],[Leave Type ]],6),LkupPayType[],2,FALSE),"TBD")</f>
        <v>TBD</v>
      </c>
      <c r="AG1149" t="str">
        <f>IFERROR(VLOOKUP(TblFeedFile1[[#This Row],[ Report Number ]],LkupPayrollCycle[],2,FALSE),"TBD")</f>
        <v>Bi-Weekly</v>
      </c>
      <c r="AH1149" t="str">
        <f>IF(TblFeedFile1[[#This Row],[Return to Work Date ]]="","","Y")</f>
        <v/>
      </c>
    </row>
    <row r="1150" spans="1:34" x14ac:dyDescent="0.25">
      <c r="A1150" t="s">
        <v>29</v>
      </c>
      <c r="B1150">
        <v>314305</v>
      </c>
      <c r="C1150">
        <v>27493576</v>
      </c>
      <c r="D1150" s="1" t="s">
        <v>1468</v>
      </c>
      <c r="E1150" t="s">
        <v>1469</v>
      </c>
      <c r="F1150" t="s">
        <v>1470</v>
      </c>
      <c r="G1150">
        <v>20170104</v>
      </c>
      <c r="H1150">
        <v>20170201</v>
      </c>
      <c r="I1150" t="s">
        <v>127</v>
      </c>
      <c r="L1150" t="s">
        <v>34</v>
      </c>
      <c r="M1150" t="s">
        <v>34</v>
      </c>
      <c r="N1150" t="s">
        <v>35</v>
      </c>
      <c r="O1150" t="s">
        <v>35</v>
      </c>
      <c r="P1150" t="s">
        <v>35</v>
      </c>
      <c r="Q1150" t="s">
        <v>35</v>
      </c>
      <c r="R1150" t="s">
        <v>35</v>
      </c>
      <c r="S1150" t="s">
        <v>34</v>
      </c>
      <c r="AD1150">
        <v>20170124</v>
      </c>
      <c r="AF1150" t="str">
        <f>IFERROR(VLOOKUP(RIGHT(TblFeedFile1[[#This Row],[Leave Type ]],6),LkupPayType[],2,FALSE),"TBD")</f>
        <v>TBD</v>
      </c>
      <c r="AG1150" t="str">
        <f>IFERROR(VLOOKUP(TblFeedFile1[[#This Row],[ Report Number ]],LkupPayrollCycle[],2,FALSE),"TBD")</f>
        <v>Bi-Weekly</v>
      </c>
      <c r="AH1150" t="str">
        <f>IF(TblFeedFile1[[#This Row],[Return to Work Date ]]="","","Y")</f>
        <v/>
      </c>
    </row>
    <row r="1151" spans="1:34" x14ac:dyDescent="0.25">
      <c r="A1151" t="s">
        <v>37</v>
      </c>
      <c r="B1151">
        <v>314305</v>
      </c>
      <c r="C1151">
        <v>27493576</v>
      </c>
      <c r="D1151" s="1" t="s">
        <v>1468</v>
      </c>
      <c r="E1151" t="s">
        <v>1469</v>
      </c>
      <c r="F1151" t="s">
        <v>1470</v>
      </c>
      <c r="G1151">
        <v>20170104</v>
      </c>
      <c r="H1151">
        <v>20170201</v>
      </c>
      <c r="I1151" t="s">
        <v>127</v>
      </c>
      <c r="L1151" t="s">
        <v>34</v>
      </c>
      <c r="M1151" t="s">
        <v>34</v>
      </c>
      <c r="N1151" t="s">
        <v>34</v>
      </c>
      <c r="O1151" t="s">
        <v>35</v>
      </c>
      <c r="P1151" t="s">
        <v>35</v>
      </c>
      <c r="Q1151" t="s">
        <v>35</v>
      </c>
      <c r="R1151" t="s">
        <v>35</v>
      </c>
      <c r="S1151" t="s">
        <v>34</v>
      </c>
      <c r="AD1151">
        <v>20170124</v>
      </c>
      <c r="AF1151" t="str">
        <f>IFERROR(VLOOKUP(RIGHT(TblFeedFile1[[#This Row],[Leave Type ]],6),LkupPayType[],2,FALSE),"TBD")</f>
        <v>TBD</v>
      </c>
      <c r="AG1151" t="str">
        <f>IFERROR(VLOOKUP(TblFeedFile1[[#This Row],[ Report Number ]],LkupPayrollCycle[],2,FALSE),"TBD")</f>
        <v>Bi-Weekly</v>
      </c>
      <c r="AH1151" t="str">
        <f>IF(TblFeedFile1[[#This Row],[Return to Work Date ]]="","","Y")</f>
        <v/>
      </c>
    </row>
    <row r="1152" spans="1:34" x14ac:dyDescent="0.25">
      <c r="A1152" t="s">
        <v>29</v>
      </c>
      <c r="B1152">
        <v>314304</v>
      </c>
      <c r="C1152">
        <v>27496548</v>
      </c>
      <c r="D1152" s="1" t="s">
        <v>1471</v>
      </c>
      <c r="E1152" t="s">
        <v>1472</v>
      </c>
      <c r="F1152" t="s">
        <v>1473</v>
      </c>
      <c r="G1152">
        <v>20170118</v>
      </c>
      <c r="H1152">
        <v>20170128</v>
      </c>
      <c r="I1152" t="s">
        <v>185</v>
      </c>
      <c r="L1152" t="s">
        <v>34</v>
      </c>
      <c r="M1152" t="s">
        <v>34</v>
      </c>
      <c r="N1152" t="s">
        <v>35</v>
      </c>
      <c r="O1152" t="s">
        <v>35</v>
      </c>
      <c r="P1152" t="s">
        <v>35</v>
      </c>
      <c r="Q1152" t="s">
        <v>35</v>
      </c>
      <c r="R1152" t="s">
        <v>35</v>
      </c>
      <c r="S1152" t="s">
        <v>34</v>
      </c>
      <c r="AD1152">
        <v>20170124</v>
      </c>
      <c r="AF1152" t="str">
        <f>IFERROR(VLOOKUP(RIGHT(TblFeedFile1[[#This Row],[Leave Type ]],6),LkupPayType[],2,FALSE),"TBD")</f>
        <v>TBD</v>
      </c>
      <c r="AG1152" t="str">
        <f>IFERROR(VLOOKUP(TblFeedFile1[[#This Row],[ Report Number ]],LkupPayrollCycle[],2,FALSE),"TBD")</f>
        <v>Bi-Weekly</v>
      </c>
      <c r="AH1152" t="str">
        <f>IF(TblFeedFile1[[#This Row],[Return to Work Date ]]="","","Y")</f>
        <v/>
      </c>
    </row>
    <row r="1153" spans="1:34" x14ac:dyDescent="0.25">
      <c r="A1153" t="s">
        <v>37</v>
      </c>
      <c r="B1153">
        <v>314304</v>
      </c>
      <c r="C1153">
        <v>27496548</v>
      </c>
      <c r="D1153" s="1" t="s">
        <v>1471</v>
      </c>
      <c r="E1153" t="s">
        <v>1472</v>
      </c>
      <c r="F1153" t="s">
        <v>1473</v>
      </c>
      <c r="G1153">
        <v>20170118</v>
      </c>
      <c r="H1153">
        <v>20170129</v>
      </c>
      <c r="I1153" t="s">
        <v>185</v>
      </c>
      <c r="L1153" t="s">
        <v>34</v>
      </c>
      <c r="M1153" t="s">
        <v>34</v>
      </c>
      <c r="N1153" t="s">
        <v>35</v>
      </c>
      <c r="O1153" t="s">
        <v>35</v>
      </c>
      <c r="P1153" t="s">
        <v>35</v>
      </c>
      <c r="Q1153" t="s">
        <v>35</v>
      </c>
      <c r="R1153" t="s">
        <v>35</v>
      </c>
      <c r="S1153" t="s">
        <v>34</v>
      </c>
      <c r="AD1153">
        <v>20170124</v>
      </c>
      <c r="AF1153" t="str">
        <f>IFERROR(VLOOKUP(RIGHT(TblFeedFile1[[#This Row],[Leave Type ]],6),LkupPayType[],2,FALSE),"TBD")</f>
        <v>TBD</v>
      </c>
      <c r="AG1153" t="str">
        <f>IFERROR(VLOOKUP(TblFeedFile1[[#This Row],[ Report Number ]],LkupPayrollCycle[],2,FALSE),"TBD")</f>
        <v>Bi-Weekly</v>
      </c>
      <c r="AH1153" t="str">
        <f>IF(TblFeedFile1[[#This Row],[Return to Work Date ]]="","","Y")</f>
        <v/>
      </c>
    </row>
    <row r="1154" spans="1:34" x14ac:dyDescent="0.25">
      <c r="A1154" t="s">
        <v>37</v>
      </c>
      <c r="B1154">
        <v>314304</v>
      </c>
      <c r="C1154">
        <v>27505735</v>
      </c>
      <c r="D1154" s="1">
        <v>521701238222</v>
      </c>
      <c r="E1154" t="s">
        <v>1474</v>
      </c>
      <c r="F1154" t="s">
        <v>1475</v>
      </c>
      <c r="G1154">
        <v>20170124</v>
      </c>
      <c r="H1154">
        <v>20170306</v>
      </c>
      <c r="I1154" t="s">
        <v>53</v>
      </c>
      <c r="L1154" t="s">
        <v>34</v>
      </c>
      <c r="M1154" t="s">
        <v>34</v>
      </c>
      <c r="N1154" t="s">
        <v>35</v>
      </c>
      <c r="O1154" t="s">
        <v>35</v>
      </c>
      <c r="P1154" t="s">
        <v>35</v>
      </c>
      <c r="Q1154" t="s">
        <v>35</v>
      </c>
      <c r="R1154" t="s">
        <v>35</v>
      </c>
      <c r="S1154" t="s">
        <v>34</v>
      </c>
      <c r="AD1154">
        <v>20170124</v>
      </c>
      <c r="AF1154" t="str">
        <f>IFERROR(VLOOKUP(RIGHT(TblFeedFile1[[#This Row],[Leave Type ]],6),LkupPayType[],2,FALSE),"TBD")</f>
        <v>TBD</v>
      </c>
      <c r="AG1154" t="str">
        <f>IFERROR(VLOOKUP(TblFeedFile1[[#This Row],[ Report Number ]],LkupPayrollCycle[],2,FALSE),"TBD")</f>
        <v>Bi-Weekly</v>
      </c>
      <c r="AH1154" t="str">
        <f>IF(TblFeedFile1[[#This Row],[Return to Work Date ]]="","","Y")</f>
        <v/>
      </c>
    </row>
    <row r="1155" spans="1:34" x14ac:dyDescent="0.25">
      <c r="A1155" t="s">
        <v>29</v>
      </c>
      <c r="B1155">
        <v>314304</v>
      </c>
      <c r="C1155">
        <v>27524089</v>
      </c>
      <c r="D1155" s="1" t="s">
        <v>1476</v>
      </c>
      <c r="E1155" t="s">
        <v>1477</v>
      </c>
      <c r="F1155" t="s">
        <v>1478</v>
      </c>
      <c r="G1155">
        <v>20161214</v>
      </c>
      <c r="H1155">
        <v>20161214</v>
      </c>
      <c r="I1155" t="s">
        <v>43</v>
      </c>
      <c r="L1155" t="s">
        <v>34</v>
      </c>
      <c r="M1155" t="s">
        <v>34</v>
      </c>
      <c r="N1155" t="s">
        <v>35</v>
      </c>
      <c r="O1155" t="s">
        <v>35</v>
      </c>
      <c r="P1155" t="s">
        <v>35</v>
      </c>
      <c r="Q1155" t="s">
        <v>35</v>
      </c>
      <c r="R1155" t="s">
        <v>35</v>
      </c>
      <c r="S1155" t="s">
        <v>34</v>
      </c>
      <c r="AD1155">
        <v>20170124</v>
      </c>
      <c r="AF1155" t="str">
        <f>IFERROR(VLOOKUP(RIGHT(TblFeedFile1[[#This Row],[Leave Type ]],6),LkupPayType[],2,FALSE),"TBD")</f>
        <v>TBD</v>
      </c>
      <c r="AG1155" t="str">
        <f>IFERROR(VLOOKUP(TblFeedFile1[[#This Row],[ Report Number ]],LkupPayrollCycle[],2,FALSE),"TBD")</f>
        <v>Bi-Weekly</v>
      </c>
      <c r="AH1155" t="str">
        <f>IF(TblFeedFile1[[#This Row],[Return to Work Date ]]="","","Y")</f>
        <v/>
      </c>
    </row>
    <row r="1156" spans="1:34" x14ac:dyDescent="0.25">
      <c r="A1156" t="s">
        <v>37</v>
      </c>
      <c r="B1156">
        <v>314304</v>
      </c>
      <c r="C1156">
        <v>27548684</v>
      </c>
      <c r="D1156" s="1" t="s">
        <v>1479</v>
      </c>
      <c r="E1156" t="s">
        <v>710</v>
      </c>
      <c r="F1156" t="s">
        <v>1480</v>
      </c>
      <c r="G1156">
        <v>20170121</v>
      </c>
      <c r="H1156">
        <v>20170121</v>
      </c>
      <c r="I1156" t="s">
        <v>33</v>
      </c>
      <c r="L1156" t="s">
        <v>34</v>
      </c>
      <c r="M1156" t="s">
        <v>34</v>
      </c>
      <c r="N1156" t="s">
        <v>35</v>
      </c>
      <c r="O1156" t="s">
        <v>35</v>
      </c>
      <c r="P1156" t="s">
        <v>35</v>
      </c>
      <c r="Q1156" t="s">
        <v>35</v>
      </c>
      <c r="R1156" t="s">
        <v>35</v>
      </c>
      <c r="S1156" t="s">
        <v>34</v>
      </c>
      <c r="AC1156" t="s">
        <v>35</v>
      </c>
      <c r="AD1156">
        <v>20170124</v>
      </c>
      <c r="AF1156" t="str">
        <f>IFERROR(VLOOKUP(RIGHT(TblFeedFile1[[#This Row],[Leave Type ]],6),LkupPayType[],2,FALSE),"TBD")</f>
        <v>TBD</v>
      </c>
      <c r="AG1156" t="str">
        <f>IFERROR(VLOOKUP(TblFeedFile1[[#This Row],[ Report Number ]],LkupPayrollCycle[],2,FALSE),"TBD")</f>
        <v>Bi-Weekly</v>
      </c>
      <c r="AH1156" t="str">
        <f>IF(TblFeedFile1[[#This Row],[Return to Work Date ]]="","","Y")</f>
        <v/>
      </c>
    </row>
    <row r="1157" spans="1:34" x14ac:dyDescent="0.25">
      <c r="A1157" t="s">
        <v>29</v>
      </c>
      <c r="B1157">
        <v>314304</v>
      </c>
      <c r="C1157">
        <v>27571249</v>
      </c>
      <c r="D1157" s="1">
        <v>541701208024</v>
      </c>
      <c r="E1157" t="s">
        <v>464</v>
      </c>
      <c r="F1157" t="s">
        <v>1481</v>
      </c>
      <c r="G1157">
        <v>20170119</v>
      </c>
      <c r="I1157" t="s">
        <v>53</v>
      </c>
      <c r="L1157" t="s">
        <v>34</v>
      </c>
      <c r="M1157" t="s">
        <v>34</v>
      </c>
      <c r="N1157" t="s">
        <v>35</v>
      </c>
      <c r="O1157" t="s">
        <v>35</v>
      </c>
      <c r="P1157" t="s">
        <v>35</v>
      </c>
      <c r="Q1157" t="s">
        <v>35</v>
      </c>
      <c r="R1157" t="s">
        <v>35</v>
      </c>
      <c r="S1157" t="s">
        <v>34</v>
      </c>
      <c r="AD1157">
        <v>20170124</v>
      </c>
      <c r="AF1157" t="str">
        <f>IFERROR(VLOOKUP(RIGHT(TblFeedFile1[[#This Row],[Leave Type ]],6),LkupPayType[],2,FALSE),"TBD")</f>
        <v>TBD</v>
      </c>
      <c r="AG1157" t="str">
        <f>IFERROR(VLOOKUP(TblFeedFile1[[#This Row],[ Report Number ]],LkupPayrollCycle[],2,FALSE),"TBD")</f>
        <v>Bi-Weekly</v>
      </c>
      <c r="AH1157" t="str">
        <f>IF(TblFeedFile1[[#This Row],[Return to Work Date ]]="","","Y")</f>
        <v/>
      </c>
    </row>
    <row r="1158" spans="1:34" x14ac:dyDescent="0.25">
      <c r="A1158" t="s">
        <v>37</v>
      </c>
      <c r="B1158">
        <v>314304</v>
      </c>
      <c r="C1158">
        <v>27571249</v>
      </c>
      <c r="D1158" s="1" t="s">
        <v>1482</v>
      </c>
      <c r="E1158" t="s">
        <v>464</v>
      </c>
      <c r="F1158" t="s">
        <v>1481</v>
      </c>
      <c r="G1158">
        <v>20170118</v>
      </c>
      <c r="H1158">
        <v>20170213</v>
      </c>
      <c r="I1158" t="s">
        <v>78</v>
      </c>
      <c r="K1158" t="s">
        <v>79</v>
      </c>
      <c r="L1158" t="s">
        <v>34</v>
      </c>
      <c r="M1158" t="s">
        <v>34</v>
      </c>
      <c r="N1158" t="s">
        <v>35</v>
      </c>
      <c r="O1158" t="s">
        <v>35</v>
      </c>
      <c r="P1158" t="s">
        <v>35</v>
      </c>
      <c r="Q1158" t="s">
        <v>35</v>
      </c>
      <c r="R1158" t="s">
        <v>35</v>
      </c>
      <c r="S1158" t="s">
        <v>34</v>
      </c>
      <c r="AD1158">
        <v>20170124</v>
      </c>
      <c r="AF1158" t="str">
        <f>IFERROR(VLOOKUP(RIGHT(TblFeedFile1[[#This Row],[Leave Type ]],6),LkupPayType[],2,FALSE),"TBD")</f>
        <v>TBD</v>
      </c>
      <c r="AG1158" t="str">
        <f>IFERROR(VLOOKUP(TblFeedFile1[[#This Row],[ Report Number ]],LkupPayrollCycle[],2,FALSE),"TBD")</f>
        <v>Bi-Weekly</v>
      </c>
      <c r="AH1158" t="str">
        <f>IF(TblFeedFile1[[#This Row],[Return to Work Date ]]="","","Y")</f>
        <v/>
      </c>
    </row>
    <row r="1159" spans="1:34" x14ac:dyDescent="0.25">
      <c r="A1159" t="s">
        <v>37</v>
      </c>
      <c r="B1159">
        <v>314304</v>
      </c>
      <c r="C1159">
        <v>27571249</v>
      </c>
      <c r="D1159" s="1">
        <v>541701208024</v>
      </c>
      <c r="E1159" t="s">
        <v>464</v>
      </c>
      <c r="F1159" t="s">
        <v>1481</v>
      </c>
      <c r="G1159">
        <v>20170120</v>
      </c>
      <c r="H1159">
        <v>20170213</v>
      </c>
      <c r="I1159" t="s">
        <v>53</v>
      </c>
      <c r="L1159" t="s">
        <v>34</v>
      </c>
      <c r="M1159" t="s">
        <v>34</v>
      </c>
      <c r="N1159" t="s">
        <v>35</v>
      </c>
      <c r="O1159" t="s">
        <v>35</v>
      </c>
      <c r="P1159" t="s">
        <v>35</v>
      </c>
      <c r="Q1159" t="s">
        <v>35</v>
      </c>
      <c r="R1159" t="s">
        <v>35</v>
      </c>
      <c r="S1159" t="s">
        <v>34</v>
      </c>
      <c r="AD1159">
        <v>20170124</v>
      </c>
      <c r="AF1159" t="str">
        <f>IFERROR(VLOOKUP(RIGHT(TblFeedFile1[[#This Row],[Leave Type ]],6),LkupPayType[],2,FALSE),"TBD")</f>
        <v>TBD</v>
      </c>
      <c r="AG1159" t="str">
        <f>IFERROR(VLOOKUP(TblFeedFile1[[#This Row],[ Report Number ]],LkupPayrollCycle[],2,FALSE),"TBD")</f>
        <v>Bi-Weekly</v>
      </c>
      <c r="AH1159" t="str">
        <f>IF(TblFeedFile1[[#This Row],[Return to Work Date ]]="","","Y")</f>
        <v/>
      </c>
    </row>
    <row r="1160" spans="1:34" x14ac:dyDescent="0.25">
      <c r="A1160" t="s">
        <v>37</v>
      </c>
      <c r="B1160">
        <v>314304</v>
      </c>
      <c r="C1160">
        <v>27593033</v>
      </c>
      <c r="D1160" s="1">
        <v>571701178947</v>
      </c>
      <c r="E1160" t="s">
        <v>1483</v>
      </c>
      <c r="F1160" t="s">
        <v>178</v>
      </c>
      <c r="G1160">
        <v>20170123</v>
      </c>
      <c r="H1160">
        <v>20170430</v>
      </c>
      <c r="I1160" t="s">
        <v>40</v>
      </c>
      <c r="L1160" t="s">
        <v>34</v>
      </c>
      <c r="M1160" t="s">
        <v>34</v>
      </c>
      <c r="N1160" t="s">
        <v>35</v>
      </c>
      <c r="O1160" t="s">
        <v>35</v>
      </c>
      <c r="P1160" t="s">
        <v>35</v>
      </c>
      <c r="Q1160" t="s">
        <v>35</v>
      </c>
      <c r="R1160" t="s">
        <v>35</v>
      </c>
      <c r="S1160" t="s">
        <v>34</v>
      </c>
      <c r="AD1160">
        <v>20170124</v>
      </c>
      <c r="AF1160" t="str">
        <f>IFERROR(VLOOKUP(RIGHT(TblFeedFile1[[#This Row],[Leave Type ]],6),LkupPayType[],2,FALSE),"TBD")</f>
        <v>TBD</v>
      </c>
      <c r="AG1160" t="str">
        <f>IFERROR(VLOOKUP(TblFeedFile1[[#This Row],[ Report Number ]],LkupPayrollCycle[],2,FALSE),"TBD")</f>
        <v>Bi-Weekly</v>
      </c>
      <c r="AH1160" t="str">
        <f>IF(TblFeedFile1[[#This Row],[Return to Work Date ]]="","","Y")</f>
        <v/>
      </c>
    </row>
    <row r="1161" spans="1:34" x14ac:dyDescent="0.25">
      <c r="A1161" t="s">
        <v>37</v>
      </c>
      <c r="B1161">
        <v>314304</v>
      </c>
      <c r="C1161">
        <v>27597408</v>
      </c>
      <c r="D1161" s="1">
        <v>501701048978</v>
      </c>
      <c r="E1161" t="s">
        <v>1484</v>
      </c>
      <c r="F1161" t="s">
        <v>416</v>
      </c>
      <c r="G1161">
        <v>20170119</v>
      </c>
      <c r="H1161">
        <v>20170331</v>
      </c>
      <c r="I1161" t="s">
        <v>53</v>
      </c>
      <c r="L1161" t="s">
        <v>34</v>
      </c>
      <c r="M1161" t="s">
        <v>34</v>
      </c>
      <c r="N1161" t="s">
        <v>35</v>
      </c>
      <c r="O1161" t="s">
        <v>35</v>
      </c>
      <c r="P1161" t="s">
        <v>35</v>
      </c>
      <c r="Q1161" t="s">
        <v>35</v>
      </c>
      <c r="R1161" t="s">
        <v>35</v>
      </c>
      <c r="S1161" t="s">
        <v>34</v>
      </c>
      <c r="AD1161">
        <v>20170124</v>
      </c>
      <c r="AF1161" t="str">
        <f>IFERROR(VLOOKUP(RIGHT(TblFeedFile1[[#This Row],[Leave Type ]],6),LkupPayType[],2,FALSE),"TBD")</f>
        <v>TBD</v>
      </c>
      <c r="AG1161" t="str">
        <f>IFERROR(VLOOKUP(TblFeedFile1[[#This Row],[ Report Number ]],LkupPayrollCycle[],2,FALSE),"TBD")</f>
        <v>Bi-Weekly</v>
      </c>
      <c r="AH1161" t="str">
        <f>IF(TblFeedFile1[[#This Row],[Return to Work Date ]]="","","Y")</f>
        <v/>
      </c>
    </row>
    <row r="1162" spans="1:34" x14ac:dyDescent="0.25">
      <c r="A1162" t="s">
        <v>37</v>
      </c>
      <c r="B1162">
        <v>314304</v>
      </c>
      <c r="C1162">
        <v>27628632</v>
      </c>
      <c r="D1162" s="1" t="s">
        <v>1485</v>
      </c>
      <c r="E1162" t="s">
        <v>874</v>
      </c>
      <c r="F1162" t="s">
        <v>1486</v>
      </c>
      <c r="G1162">
        <v>20170121</v>
      </c>
      <c r="H1162">
        <v>20170121</v>
      </c>
      <c r="I1162" t="s">
        <v>33</v>
      </c>
      <c r="L1162" t="s">
        <v>34</v>
      </c>
      <c r="M1162" t="s">
        <v>34</v>
      </c>
      <c r="N1162" t="s">
        <v>35</v>
      </c>
      <c r="O1162" t="s">
        <v>35</v>
      </c>
      <c r="P1162" t="s">
        <v>35</v>
      </c>
      <c r="Q1162" t="s">
        <v>35</v>
      </c>
      <c r="R1162" t="s">
        <v>35</v>
      </c>
      <c r="S1162" t="s">
        <v>34</v>
      </c>
      <c r="AD1162">
        <v>20170124</v>
      </c>
      <c r="AF1162" t="str">
        <f>IFERROR(VLOOKUP(RIGHT(TblFeedFile1[[#This Row],[Leave Type ]],6),LkupPayType[],2,FALSE),"TBD")</f>
        <v>TBD</v>
      </c>
      <c r="AG1162" t="str">
        <f>IFERROR(VLOOKUP(TblFeedFile1[[#This Row],[ Report Number ]],LkupPayrollCycle[],2,FALSE),"TBD")</f>
        <v>Bi-Weekly</v>
      </c>
      <c r="AH1162" t="str">
        <f>IF(TblFeedFile1[[#This Row],[Return to Work Date ]]="","","Y")</f>
        <v/>
      </c>
    </row>
    <row r="1163" spans="1:34" x14ac:dyDescent="0.25">
      <c r="A1163" t="s">
        <v>29</v>
      </c>
      <c r="B1163">
        <v>314304</v>
      </c>
      <c r="C1163">
        <v>27642076</v>
      </c>
      <c r="D1163" s="1">
        <v>571701138697</v>
      </c>
      <c r="E1163" t="s">
        <v>1487</v>
      </c>
      <c r="F1163" t="s">
        <v>677</v>
      </c>
      <c r="G1163">
        <v>20170118</v>
      </c>
      <c r="H1163">
        <v>20170126</v>
      </c>
      <c r="I1163" t="s">
        <v>40</v>
      </c>
      <c r="L1163" t="s">
        <v>34</v>
      </c>
      <c r="M1163" t="s">
        <v>34</v>
      </c>
      <c r="N1163" t="s">
        <v>35</v>
      </c>
      <c r="O1163" t="s">
        <v>35</v>
      </c>
      <c r="P1163" t="s">
        <v>35</v>
      </c>
      <c r="Q1163" t="s">
        <v>35</v>
      </c>
      <c r="R1163" t="s">
        <v>35</v>
      </c>
      <c r="S1163" t="s">
        <v>34</v>
      </c>
      <c r="AD1163">
        <v>20170124</v>
      </c>
      <c r="AF1163" t="str">
        <f>IFERROR(VLOOKUP(RIGHT(TblFeedFile1[[#This Row],[Leave Type ]],6),LkupPayType[],2,FALSE),"TBD")</f>
        <v>TBD</v>
      </c>
      <c r="AG1163" t="str">
        <f>IFERROR(VLOOKUP(TblFeedFile1[[#This Row],[ Report Number ]],LkupPayrollCycle[],2,FALSE),"TBD")</f>
        <v>Bi-Weekly</v>
      </c>
      <c r="AH1163" t="str">
        <f>IF(TblFeedFile1[[#This Row],[Return to Work Date ]]="","","Y")</f>
        <v/>
      </c>
    </row>
    <row r="1164" spans="1:34" x14ac:dyDescent="0.25">
      <c r="A1164" t="s">
        <v>37</v>
      </c>
      <c r="B1164">
        <v>314304</v>
      </c>
      <c r="C1164">
        <v>27642076</v>
      </c>
      <c r="D1164" s="1">
        <v>571701138697</v>
      </c>
      <c r="E1164" t="s">
        <v>1487</v>
      </c>
      <c r="F1164" t="s">
        <v>677</v>
      </c>
      <c r="G1164">
        <v>20170118</v>
      </c>
      <c r="H1164">
        <v>20170122</v>
      </c>
      <c r="I1164" t="s">
        <v>40</v>
      </c>
      <c r="L1164" t="s">
        <v>34</v>
      </c>
      <c r="M1164" t="s">
        <v>34</v>
      </c>
      <c r="N1164" t="s">
        <v>35</v>
      </c>
      <c r="O1164" t="s">
        <v>35</v>
      </c>
      <c r="P1164" t="s">
        <v>35</v>
      </c>
      <c r="Q1164" t="s">
        <v>35</v>
      </c>
      <c r="R1164" t="s">
        <v>35</v>
      </c>
      <c r="S1164" t="s">
        <v>34</v>
      </c>
      <c r="AD1164">
        <v>20170124</v>
      </c>
      <c r="AF1164" t="str">
        <f>IFERROR(VLOOKUP(RIGHT(TblFeedFile1[[#This Row],[Leave Type ]],6),LkupPayType[],2,FALSE),"TBD")</f>
        <v>TBD</v>
      </c>
      <c r="AG1164" t="str">
        <f>IFERROR(VLOOKUP(TblFeedFile1[[#This Row],[ Report Number ]],LkupPayrollCycle[],2,FALSE),"TBD")</f>
        <v>Bi-Weekly</v>
      </c>
      <c r="AH1164" t="str">
        <f>IF(TblFeedFile1[[#This Row],[Return to Work Date ]]="","","Y")</f>
        <v/>
      </c>
    </row>
    <row r="1165" spans="1:34" x14ac:dyDescent="0.25">
      <c r="A1165" t="s">
        <v>37</v>
      </c>
      <c r="B1165">
        <v>314304</v>
      </c>
      <c r="C1165">
        <v>27642076</v>
      </c>
      <c r="D1165" s="1" t="s">
        <v>1488</v>
      </c>
      <c r="E1165" t="s">
        <v>1487</v>
      </c>
      <c r="F1165" t="s">
        <v>677</v>
      </c>
      <c r="G1165">
        <v>20170121</v>
      </c>
      <c r="H1165">
        <v>20170122</v>
      </c>
      <c r="I1165" t="s">
        <v>36</v>
      </c>
      <c r="L1165" t="s">
        <v>34</v>
      </c>
      <c r="M1165" t="s">
        <v>34</v>
      </c>
      <c r="N1165" t="s">
        <v>35</v>
      </c>
      <c r="O1165" t="s">
        <v>35</v>
      </c>
      <c r="P1165" t="s">
        <v>35</v>
      </c>
      <c r="Q1165" t="s">
        <v>35</v>
      </c>
      <c r="R1165" t="s">
        <v>35</v>
      </c>
      <c r="S1165" t="s">
        <v>34</v>
      </c>
      <c r="T1165">
        <v>20170123</v>
      </c>
      <c r="AD1165">
        <v>20170124</v>
      </c>
      <c r="AF1165" t="str">
        <f>IFERROR(VLOOKUP(RIGHT(TblFeedFile1[[#This Row],[Leave Type ]],6),LkupPayType[],2,FALSE),"TBD")</f>
        <v>TBD</v>
      </c>
      <c r="AG1165" t="str">
        <f>IFERROR(VLOOKUP(TblFeedFile1[[#This Row],[ Report Number ]],LkupPayrollCycle[],2,FALSE),"TBD")</f>
        <v>Bi-Weekly</v>
      </c>
      <c r="AH1165" t="str">
        <f>IF(TblFeedFile1[[#This Row],[Return to Work Date ]]="","","Y")</f>
        <v>Y</v>
      </c>
    </row>
    <row r="1166" spans="1:34" x14ac:dyDescent="0.25">
      <c r="A1166" t="s">
        <v>29</v>
      </c>
      <c r="B1166">
        <v>314304</v>
      </c>
      <c r="C1166">
        <v>27677440</v>
      </c>
      <c r="D1166" s="1" t="s">
        <v>1489</v>
      </c>
      <c r="E1166" t="s">
        <v>230</v>
      </c>
      <c r="F1166" t="s">
        <v>1490</v>
      </c>
      <c r="G1166">
        <v>20170114</v>
      </c>
      <c r="H1166">
        <v>20170114</v>
      </c>
      <c r="I1166" t="s">
        <v>33</v>
      </c>
      <c r="L1166" t="s">
        <v>34</v>
      </c>
      <c r="M1166" t="s">
        <v>34</v>
      </c>
      <c r="N1166" t="s">
        <v>35</v>
      </c>
      <c r="O1166" t="s">
        <v>35</v>
      </c>
      <c r="P1166" t="s">
        <v>35</v>
      </c>
      <c r="Q1166" t="s">
        <v>35</v>
      </c>
      <c r="R1166" t="s">
        <v>35</v>
      </c>
      <c r="S1166" t="s">
        <v>34</v>
      </c>
      <c r="AC1166" t="s">
        <v>35</v>
      </c>
      <c r="AD1166">
        <v>20170124</v>
      </c>
      <c r="AF1166" t="str">
        <f>IFERROR(VLOOKUP(RIGHT(TblFeedFile1[[#This Row],[Leave Type ]],6),LkupPayType[],2,FALSE),"TBD")</f>
        <v>TBD</v>
      </c>
      <c r="AG1166" t="str">
        <f>IFERROR(VLOOKUP(TblFeedFile1[[#This Row],[ Report Number ]],LkupPayrollCycle[],2,FALSE),"TBD")</f>
        <v>Bi-Weekly</v>
      </c>
      <c r="AH1166" t="str">
        <f>IF(TblFeedFile1[[#This Row],[Return to Work Date ]]="","","Y")</f>
        <v/>
      </c>
    </row>
    <row r="1167" spans="1:34" x14ac:dyDescent="0.25">
      <c r="A1167" t="s">
        <v>29</v>
      </c>
      <c r="B1167">
        <v>314304</v>
      </c>
      <c r="C1167">
        <v>27677440</v>
      </c>
      <c r="D1167" s="1" t="s">
        <v>1489</v>
      </c>
      <c r="E1167" t="s">
        <v>230</v>
      </c>
      <c r="F1167" t="s">
        <v>1490</v>
      </c>
      <c r="G1167">
        <v>20161107</v>
      </c>
      <c r="H1167">
        <v>20170113</v>
      </c>
      <c r="I1167" t="s">
        <v>223</v>
      </c>
      <c r="L1167" t="s">
        <v>34</v>
      </c>
      <c r="M1167" t="s">
        <v>34</v>
      </c>
      <c r="N1167" t="s">
        <v>35</v>
      </c>
      <c r="O1167" t="s">
        <v>35</v>
      </c>
      <c r="P1167" t="s">
        <v>35</v>
      </c>
      <c r="Q1167" t="s">
        <v>35</v>
      </c>
      <c r="R1167" t="s">
        <v>35</v>
      </c>
      <c r="S1167" t="s">
        <v>34</v>
      </c>
      <c r="AC1167" t="s">
        <v>35</v>
      </c>
      <c r="AD1167">
        <v>20170124</v>
      </c>
      <c r="AF1167" t="str">
        <f>IFERROR(VLOOKUP(RIGHT(TblFeedFile1[[#This Row],[Leave Type ]],6),LkupPayType[],2,FALSE),"TBD")</f>
        <v>TBD</v>
      </c>
      <c r="AG1167" t="str">
        <f>IFERROR(VLOOKUP(TblFeedFile1[[#This Row],[ Report Number ]],LkupPayrollCycle[],2,FALSE),"TBD")</f>
        <v>Bi-Weekly</v>
      </c>
      <c r="AH1167" t="str">
        <f>IF(TblFeedFile1[[#This Row],[Return to Work Date ]]="","","Y")</f>
        <v/>
      </c>
    </row>
    <row r="1168" spans="1:34" x14ac:dyDescent="0.25">
      <c r="A1168" t="s">
        <v>37</v>
      </c>
      <c r="B1168">
        <v>314304</v>
      </c>
      <c r="C1168">
        <v>27677440</v>
      </c>
      <c r="D1168" s="1" t="s">
        <v>1489</v>
      </c>
      <c r="E1168" t="s">
        <v>230</v>
      </c>
      <c r="F1168" t="s">
        <v>1490</v>
      </c>
      <c r="G1168">
        <v>20161107</v>
      </c>
      <c r="H1168">
        <v>20170116</v>
      </c>
      <c r="I1168" t="s">
        <v>223</v>
      </c>
      <c r="L1168" t="s">
        <v>34</v>
      </c>
      <c r="M1168" t="s">
        <v>34</v>
      </c>
      <c r="N1168" t="s">
        <v>35</v>
      </c>
      <c r="O1168" t="s">
        <v>35</v>
      </c>
      <c r="P1168" t="s">
        <v>35</v>
      </c>
      <c r="Q1168" t="s">
        <v>35</v>
      </c>
      <c r="R1168" t="s">
        <v>35</v>
      </c>
      <c r="S1168" t="s">
        <v>34</v>
      </c>
      <c r="AC1168" t="s">
        <v>35</v>
      </c>
      <c r="AD1168">
        <v>20170124</v>
      </c>
      <c r="AF1168" t="str">
        <f>IFERROR(VLOOKUP(RIGHT(TblFeedFile1[[#This Row],[Leave Type ]],6),LkupPayType[],2,FALSE),"TBD")</f>
        <v>TBD</v>
      </c>
      <c r="AG1168" t="str">
        <f>IFERROR(VLOOKUP(TblFeedFile1[[#This Row],[ Report Number ]],LkupPayrollCycle[],2,FALSE),"TBD")</f>
        <v>Bi-Weekly</v>
      </c>
      <c r="AH1168" t="str">
        <f>IF(TblFeedFile1[[#This Row],[Return to Work Date ]]="","","Y")</f>
        <v/>
      </c>
    </row>
    <row r="1169" spans="1:34" x14ac:dyDescent="0.25">
      <c r="A1169" t="s">
        <v>37</v>
      </c>
      <c r="B1169">
        <v>314304</v>
      </c>
      <c r="C1169">
        <v>27677440</v>
      </c>
      <c r="D1169" s="1" t="s">
        <v>1489</v>
      </c>
      <c r="E1169" t="s">
        <v>230</v>
      </c>
      <c r="F1169" t="s">
        <v>1490</v>
      </c>
      <c r="G1169">
        <v>20170117</v>
      </c>
      <c r="H1169">
        <v>20170117</v>
      </c>
      <c r="I1169" t="s">
        <v>33</v>
      </c>
      <c r="L1169" t="s">
        <v>34</v>
      </c>
      <c r="M1169" t="s">
        <v>34</v>
      </c>
      <c r="N1169" t="s">
        <v>35</v>
      </c>
      <c r="O1169" t="s">
        <v>35</v>
      </c>
      <c r="P1169" t="s">
        <v>35</v>
      </c>
      <c r="Q1169" t="s">
        <v>35</v>
      </c>
      <c r="R1169" t="s">
        <v>35</v>
      </c>
      <c r="S1169" t="s">
        <v>34</v>
      </c>
      <c r="AC1169" t="s">
        <v>35</v>
      </c>
      <c r="AD1169">
        <v>20170124</v>
      </c>
      <c r="AF1169" t="str">
        <f>IFERROR(VLOOKUP(RIGHT(TblFeedFile1[[#This Row],[Leave Type ]],6),LkupPayType[],2,FALSE),"TBD")</f>
        <v>TBD</v>
      </c>
      <c r="AG1169" t="str">
        <f>IFERROR(VLOOKUP(TblFeedFile1[[#This Row],[ Report Number ]],LkupPayrollCycle[],2,FALSE),"TBD")</f>
        <v>Bi-Weekly</v>
      </c>
      <c r="AH1169" t="str">
        <f>IF(TblFeedFile1[[#This Row],[Return to Work Date ]]="","","Y")</f>
        <v/>
      </c>
    </row>
    <row r="1170" spans="1:34" x14ac:dyDescent="0.25">
      <c r="A1170" t="s">
        <v>29</v>
      </c>
      <c r="B1170">
        <v>314305</v>
      </c>
      <c r="C1170">
        <v>27679588</v>
      </c>
      <c r="D1170" s="1" t="s">
        <v>1491</v>
      </c>
      <c r="E1170" t="s">
        <v>1492</v>
      </c>
      <c r="F1170" t="s">
        <v>1493</v>
      </c>
      <c r="G1170">
        <v>20160930</v>
      </c>
      <c r="H1170">
        <v>20160930</v>
      </c>
      <c r="I1170" t="s">
        <v>33</v>
      </c>
      <c r="L1170" t="s">
        <v>34</v>
      </c>
      <c r="M1170" t="s">
        <v>34</v>
      </c>
      <c r="N1170" t="s">
        <v>35</v>
      </c>
      <c r="O1170" t="s">
        <v>35</v>
      </c>
      <c r="P1170" t="s">
        <v>35</v>
      </c>
      <c r="Q1170" t="s">
        <v>35</v>
      </c>
      <c r="R1170" t="s">
        <v>35</v>
      </c>
      <c r="S1170" t="s">
        <v>34</v>
      </c>
      <c r="AC1170" t="s">
        <v>35</v>
      </c>
      <c r="AD1170">
        <v>20170124</v>
      </c>
      <c r="AF1170" t="str">
        <f>IFERROR(VLOOKUP(RIGHT(TblFeedFile1[[#This Row],[Leave Type ]],6),LkupPayType[],2,FALSE),"TBD")</f>
        <v>TBD</v>
      </c>
      <c r="AG1170" t="str">
        <f>IFERROR(VLOOKUP(TblFeedFile1[[#This Row],[ Report Number ]],LkupPayrollCycle[],2,FALSE),"TBD")</f>
        <v>Bi-Weekly</v>
      </c>
      <c r="AH1170" t="str">
        <f>IF(TblFeedFile1[[#This Row],[Return to Work Date ]]="","","Y")</f>
        <v/>
      </c>
    </row>
    <row r="1171" spans="1:34" x14ac:dyDescent="0.25">
      <c r="A1171" t="s">
        <v>29</v>
      </c>
      <c r="B1171">
        <v>314305</v>
      </c>
      <c r="C1171">
        <v>27679588</v>
      </c>
      <c r="D1171" s="1" t="s">
        <v>1491</v>
      </c>
      <c r="E1171" t="s">
        <v>1492</v>
      </c>
      <c r="F1171" t="s">
        <v>1493</v>
      </c>
      <c r="G1171">
        <v>20160929</v>
      </c>
      <c r="H1171">
        <v>20160929</v>
      </c>
      <c r="I1171" t="s">
        <v>36</v>
      </c>
      <c r="L1171" t="s">
        <v>34</v>
      </c>
      <c r="M1171" t="s">
        <v>34</v>
      </c>
      <c r="N1171" t="s">
        <v>35</v>
      </c>
      <c r="O1171" t="s">
        <v>35</v>
      </c>
      <c r="P1171" t="s">
        <v>35</v>
      </c>
      <c r="Q1171" t="s">
        <v>35</v>
      </c>
      <c r="R1171" t="s">
        <v>35</v>
      </c>
      <c r="S1171" t="s">
        <v>34</v>
      </c>
      <c r="AC1171" t="s">
        <v>35</v>
      </c>
      <c r="AD1171">
        <v>20170124</v>
      </c>
      <c r="AF1171" t="str">
        <f>IFERROR(VLOOKUP(RIGHT(TblFeedFile1[[#This Row],[Leave Type ]],6),LkupPayType[],2,FALSE),"TBD")</f>
        <v>TBD</v>
      </c>
      <c r="AG1171" t="str">
        <f>IFERROR(VLOOKUP(TblFeedFile1[[#This Row],[ Report Number ]],LkupPayrollCycle[],2,FALSE),"TBD")</f>
        <v>Bi-Weekly</v>
      </c>
      <c r="AH1171" t="str">
        <f>IF(TblFeedFile1[[#This Row],[Return to Work Date ]]="","","Y")</f>
        <v/>
      </c>
    </row>
    <row r="1172" spans="1:34" x14ac:dyDescent="0.25">
      <c r="A1172" t="s">
        <v>37</v>
      </c>
      <c r="B1172">
        <v>314305</v>
      </c>
      <c r="C1172">
        <v>27679588</v>
      </c>
      <c r="D1172" s="1" t="s">
        <v>1491</v>
      </c>
      <c r="E1172" t="s">
        <v>1492</v>
      </c>
      <c r="F1172" t="s">
        <v>1493</v>
      </c>
      <c r="G1172">
        <v>20160929</v>
      </c>
      <c r="H1172">
        <v>20160929</v>
      </c>
      <c r="I1172" t="s">
        <v>43</v>
      </c>
      <c r="L1172" t="s">
        <v>34</v>
      </c>
      <c r="M1172" t="s">
        <v>34</v>
      </c>
      <c r="N1172" t="s">
        <v>35</v>
      </c>
      <c r="O1172" t="s">
        <v>35</v>
      </c>
      <c r="P1172" t="s">
        <v>35</v>
      </c>
      <c r="Q1172" t="s">
        <v>35</v>
      </c>
      <c r="R1172" t="s">
        <v>35</v>
      </c>
      <c r="S1172" t="s">
        <v>34</v>
      </c>
      <c r="AC1172" t="s">
        <v>35</v>
      </c>
      <c r="AD1172">
        <v>20170124</v>
      </c>
      <c r="AF1172" t="str">
        <f>IFERROR(VLOOKUP(RIGHT(TblFeedFile1[[#This Row],[Leave Type ]],6),LkupPayType[],2,FALSE),"TBD")</f>
        <v>TBD</v>
      </c>
      <c r="AG1172" t="str">
        <f>IFERROR(VLOOKUP(TblFeedFile1[[#This Row],[ Report Number ]],LkupPayrollCycle[],2,FALSE),"TBD")</f>
        <v>Bi-Weekly</v>
      </c>
      <c r="AH1172" t="str">
        <f>IF(TblFeedFile1[[#This Row],[Return to Work Date ]]="","","Y")</f>
        <v/>
      </c>
    </row>
    <row r="1173" spans="1:34" x14ac:dyDescent="0.25">
      <c r="A1173" t="s">
        <v>37</v>
      </c>
      <c r="B1173">
        <v>314304</v>
      </c>
      <c r="C1173">
        <v>27689003</v>
      </c>
      <c r="D1173" s="1">
        <v>571701038807</v>
      </c>
      <c r="E1173" t="s">
        <v>1494</v>
      </c>
      <c r="F1173" t="s">
        <v>1495</v>
      </c>
      <c r="G1173">
        <v>20170103</v>
      </c>
      <c r="H1173">
        <v>20170131</v>
      </c>
      <c r="I1173" t="s">
        <v>53</v>
      </c>
      <c r="L1173" t="s">
        <v>35</v>
      </c>
      <c r="AD1173">
        <v>20170124</v>
      </c>
      <c r="AF1173" t="str">
        <f>IFERROR(VLOOKUP(RIGHT(TblFeedFile1[[#This Row],[Leave Type ]],6),LkupPayType[],2,FALSE),"TBD")</f>
        <v>TBD</v>
      </c>
      <c r="AG1173" t="str">
        <f>IFERROR(VLOOKUP(TblFeedFile1[[#This Row],[ Report Number ]],LkupPayrollCycle[],2,FALSE),"TBD")</f>
        <v>Bi-Weekly</v>
      </c>
      <c r="AH1173" t="str">
        <f>IF(TblFeedFile1[[#This Row],[Return to Work Date ]]="","","Y")</f>
        <v/>
      </c>
    </row>
    <row r="1174" spans="1:34" x14ac:dyDescent="0.25">
      <c r="A1174" t="s">
        <v>29</v>
      </c>
      <c r="B1174">
        <v>314301</v>
      </c>
      <c r="C1174">
        <v>27712103</v>
      </c>
      <c r="D1174" s="1" t="s">
        <v>1496</v>
      </c>
      <c r="E1174" t="s">
        <v>1497</v>
      </c>
      <c r="F1174" t="s">
        <v>1498</v>
      </c>
      <c r="G1174">
        <v>20170114</v>
      </c>
      <c r="H1174">
        <v>20170114</v>
      </c>
      <c r="I1174" t="s">
        <v>33</v>
      </c>
      <c r="L1174" t="s">
        <v>34</v>
      </c>
      <c r="M1174" t="s">
        <v>34</v>
      </c>
      <c r="N1174" t="s">
        <v>35</v>
      </c>
      <c r="O1174" t="s">
        <v>35</v>
      </c>
      <c r="P1174" t="s">
        <v>35</v>
      </c>
      <c r="Q1174" t="s">
        <v>35</v>
      </c>
      <c r="R1174" t="s">
        <v>35</v>
      </c>
      <c r="S1174" t="s">
        <v>34</v>
      </c>
      <c r="AC1174" t="s">
        <v>35</v>
      </c>
      <c r="AD1174">
        <v>20170124</v>
      </c>
      <c r="AF1174" t="str">
        <f>IFERROR(VLOOKUP(RIGHT(TblFeedFile1[[#This Row],[Leave Type ]],6),LkupPayType[],2,FALSE),"TBD")</f>
        <v>TBD</v>
      </c>
      <c r="AG1174" t="str">
        <f>IFERROR(VLOOKUP(TblFeedFile1[[#This Row],[ Report Number ]],LkupPayrollCycle[],2,FALSE),"TBD")</f>
        <v>Semi-Monthly</v>
      </c>
      <c r="AH1174" t="str">
        <f>IF(TblFeedFile1[[#This Row],[Return to Work Date ]]="","","Y")</f>
        <v/>
      </c>
    </row>
    <row r="1175" spans="1:34" x14ac:dyDescent="0.25">
      <c r="A1175" t="s">
        <v>29</v>
      </c>
      <c r="B1175">
        <v>314301</v>
      </c>
      <c r="C1175">
        <v>27712103</v>
      </c>
      <c r="D1175" s="1" t="s">
        <v>1496</v>
      </c>
      <c r="E1175" t="s">
        <v>1497</v>
      </c>
      <c r="F1175" t="s">
        <v>1498</v>
      </c>
      <c r="G1175">
        <v>20161219</v>
      </c>
      <c r="H1175">
        <v>20170113</v>
      </c>
      <c r="I1175" t="s">
        <v>36</v>
      </c>
      <c r="L1175" t="s">
        <v>34</v>
      </c>
      <c r="M1175" t="s">
        <v>34</v>
      </c>
      <c r="N1175" t="s">
        <v>35</v>
      </c>
      <c r="O1175" t="s">
        <v>35</v>
      </c>
      <c r="P1175" t="s">
        <v>35</v>
      </c>
      <c r="Q1175" t="s">
        <v>35</v>
      </c>
      <c r="R1175" t="s">
        <v>35</v>
      </c>
      <c r="S1175" t="s">
        <v>34</v>
      </c>
      <c r="AC1175" t="s">
        <v>35</v>
      </c>
      <c r="AD1175">
        <v>20170124</v>
      </c>
      <c r="AF1175" t="str">
        <f>IFERROR(VLOOKUP(RIGHT(TblFeedFile1[[#This Row],[Leave Type ]],6),LkupPayType[],2,FALSE),"TBD")</f>
        <v>TBD</v>
      </c>
      <c r="AG1175" t="str">
        <f>IFERROR(VLOOKUP(TblFeedFile1[[#This Row],[ Report Number ]],LkupPayrollCycle[],2,FALSE),"TBD")</f>
        <v>Semi-Monthly</v>
      </c>
      <c r="AH1175" t="str">
        <f>IF(TblFeedFile1[[#This Row],[Return to Work Date ]]="","","Y")</f>
        <v/>
      </c>
    </row>
    <row r="1176" spans="1:34" x14ac:dyDescent="0.25">
      <c r="A1176" t="s">
        <v>37</v>
      </c>
      <c r="B1176">
        <v>314301</v>
      </c>
      <c r="C1176">
        <v>27712103</v>
      </c>
      <c r="D1176" s="1" t="s">
        <v>1496</v>
      </c>
      <c r="E1176" t="s">
        <v>1497</v>
      </c>
      <c r="F1176" t="s">
        <v>1498</v>
      </c>
      <c r="G1176">
        <v>20161219</v>
      </c>
      <c r="H1176">
        <v>20170116</v>
      </c>
      <c r="I1176" t="s">
        <v>36</v>
      </c>
      <c r="L1176" t="s">
        <v>34</v>
      </c>
      <c r="M1176" t="s">
        <v>34</v>
      </c>
      <c r="N1176" t="s">
        <v>35</v>
      </c>
      <c r="O1176" t="s">
        <v>35</v>
      </c>
      <c r="P1176" t="s">
        <v>35</v>
      </c>
      <c r="Q1176" t="s">
        <v>35</v>
      </c>
      <c r="R1176" t="s">
        <v>35</v>
      </c>
      <c r="S1176" t="s">
        <v>34</v>
      </c>
      <c r="T1176">
        <v>20170117</v>
      </c>
      <c r="AC1176" t="s">
        <v>35</v>
      </c>
      <c r="AD1176">
        <v>20170124</v>
      </c>
      <c r="AF1176" t="str">
        <f>IFERROR(VLOOKUP(RIGHT(TblFeedFile1[[#This Row],[Leave Type ]],6),LkupPayType[],2,FALSE),"TBD")</f>
        <v>TBD</v>
      </c>
      <c r="AG1176" t="str">
        <f>IFERROR(VLOOKUP(TblFeedFile1[[#This Row],[ Report Number ]],LkupPayrollCycle[],2,FALSE),"TBD")</f>
        <v>Semi-Monthly</v>
      </c>
      <c r="AH1176" t="str">
        <f>IF(TblFeedFile1[[#This Row],[Return to Work Date ]]="","","Y")</f>
        <v>Y</v>
      </c>
    </row>
    <row r="1177" spans="1:34" x14ac:dyDescent="0.25">
      <c r="A1177" t="s">
        <v>29</v>
      </c>
      <c r="B1177">
        <v>314304</v>
      </c>
      <c r="C1177">
        <v>27715501</v>
      </c>
      <c r="D1177" s="1">
        <v>501701038718</v>
      </c>
      <c r="E1177" t="s">
        <v>1012</v>
      </c>
      <c r="F1177" t="s">
        <v>1499</v>
      </c>
      <c r="G1177">
        <v>20170110</v>
      </c>
      <c r="H1177">
        <v>20170201</v>
      </c>
      <c r="I1177" t="s">
        <v>40</v>
      </c>
      <c r="L1177" t="s">
        <v>34</v>
      </c>
      <c r="M1177" t="s">
        <v>35</v>
      </c>
      <c r="N1177" t="s">
        <v>35</v>
      </c>
      <c r="O1177" t="s">
        <v>35</v>
      </c>
      <c r="P1177" t="s">
        <v>35</v>
      </c>
      <c r="Q1177" t="s">
        <v>35</v>
      </c>
      <c r="R1177" t="s">
        <v>34</v>
      </c>
      <c r="S1177" t="s">
        <v>34</v>
      </c>
      <c r="AD1177">
        <v>20170124</v>
      </c>
      <c r="AF1177" t="str">
        <f>IFERROR(VLOOKUP(RIGHT(TblFeedFile1[[#This Row],[Leave Type ]],6),LkupPayType[],2,FALSE),"TBD")</f>
        <v>TBD</v>
      </c>
      <c r="AG1177" t="str">
        <f>IFERROR(VLOOKUP(TblFeedFile1[[#This Row],[ Report Number ]],LkupPayrollCycle[],2,FALSE),"TBD")</f>
        <v>Bi-Weekly</v>
      </c>
      <c r="AH1177" t="str">
        <f>IF(TblFeedFile1[[#This Row],[Return to Work Date ]]="","","Y")</f>
        <v/>
      </c>
    </row>
    <row r="1178" spans="1:34" x14ac:dyDescent="0.25">
      <c r="A1178" t="s">
        <v>37</v>
      </c>
      <c r="B1178">
        <v>314304</v>
      </c>
      <c r="C1178">
        <v>27715501</v>
      </c>
      <c r="D1178" s="1">
        <v>501701038718</v>
      </c>
      <c r="E1178" t="s">
        <v>1012</v>
      </c>
      <c r="F1178" t="s">
        <v>1499</v>
      </c>
      <c r="G1178">
        <v>20170110</v>
      </c>
      <c r="H1178">
        <v>20170201</v>
      </c>
      <c r="I1178" t="s">
        <v>40</v>
      </c>
      <c r="L1178" t="s">
        <v>34</v>
      </c>
      <c r="M1178" t="s">
        <v>35</v>
      </c>
      <c r="N1178" t="s">
        <v>35</v>
      </c>
      <c r="O1178" t="s">
        <v>35</v>
      </c>
      <c r="P1178" t="s">
        <v>35</v>
      </c>
      <c r="Q1178" t="s">
        <v>35</v>
      </c>
      <c r="R1178" t="s">
        <v>35</v>
      </c>
      <c r="S1178" t="s">
        <v>34</v>
      </c>
      <c r="AD1178">
        <v>20170124</v>
      </c>
      <c r="AF1178" t="str">
        <f>IFERROR(VLOOKUP(RIGHT(TblFeedFile1[[#This Row],[Leave Type ]],6),LkupPayType[],2,FALSE),"TBD")</f>
        <v>TBD</v>
      </c>
      <c r="AG1178" t="str">
        <f>IFERROR(VLOOKUP(TblFeedFile1[[#This Row],[ Report Number ]],LkupPayrollCycle[],2,FALSE),"TBD")</f>
        <v>Bi-Weekly</v>
      </c>
      <c r="AH1178" t="str">
        <f>IF(TblFeedFile1[[#This Row],[Return to Work Date ]]="","","Y")</f>
        <v/>
      </c>
    </row>
    <row r="1179" spans="1:34" x14ac:dyDescent="0.25">
      <c r="A1179" t="s">
        <v>37</v>
      </c>
      <c r="B1179">
        <v>314301</v>
      </c>
      <c r="C1179">
        <v>27738611</v>
      </c>
      <c r="D1179" s="1" t="s">
        <v>1500</v>
      </c>
      <c r="E1179" t="s">
        <v>1501</v>
      </c>
      <c r="F1179" t="s">
        <v>617</v>
      </c>
      <c r="G1179">
        <v>20161206</v>
      </c>
      <c r="H1179">
        <v>20161230</v>
      </c>
      <c r="I1179" t="s">
        <v>223</v>
      </c>
      <c r="L1179" t="s">
        <v>34</v>
      </c>
      <c r="M1179" t="s">
        <v>34</v>
      </c>
      <c r="N1179" t="s">
        <v>35</v>
      </c>
      <c r="O1179" t="s">
        <v>35</v>
      </c>
      <c r="P1179" t="s">
        <v>35</v>
      </c>
      <c r="Q1179" t="s">
        <v>35</v>
      </c>
      <c r="R1179" t="s">
        <v>35</v>
      </c>
      <c r="S1179" t="s">
        <v>34</v>
      </c>
      <c r="T1179">
        <v>20170102</v>
      </c>
      <c r="AC1179" t="s">
        <v>35</v>
      </c>
      <c r="AD1179">
        <v>20170124</v>
      </c>
      <c r="AF1179" t="str">
        <f>IFERROR(VLOOKUP(RIGHT(TblFeedFile1[[#This Row],[Leave Type ]],6),LkupPayType[],2,FALSE),"TBD")</f>
        <v>TBD</v>
      </c>
      <c r="AG1179" t="str">
        <f>IFERROR(VLOOKUP(TblFeedFile1[[#This Row],[ Report Number ]],LkupPayrollCycle[],2,FALSE),"TBD")</f>
        <v>Semi-Monthly</v>
      </c>
      <c r="AH1179" t="str">
        <f>IF(TblFeedFile1[[#This Row],[Return to Work Date ]]="","","Y")</f>
        <v>Y</v>
      </c>
    </row>
    <row r="1180" spans="1:34" x14ac:dyDescent="0.25">
      <c r="A1180" t="s">
        <v>29</v>
      </c>
      <c r="B1180">
        <v>314304</v>
      </c>
      <c r="C1180">
        <v>27752164</v>
      </c>
      <c r="D1180" s="1" t="s">
        <v>1502</v>
      </c>
      <c r="E1180" t="s">
        <v>1503</v>
      </c>
      <c r="F1180" t="s">
        <v>1504</v>
      </c>
      <c r="G1180">
        <v>20160904</v>
      </c>
      <c r="H1180">
        <v>20170605</v>
      </c>
      <c r="I1180" t="s">
        <v>201</v>
      </c>
      <c r="L1180" t="s">
        <v>34</v>
      </c>
      <c r="M1180" t="s">
        <v>34</v>
      </c>
      <c r="N1180" t="s">
        <v>35</v>
      </c>
      <c r="O1180" t="s">
        <v>35</v>
      </c>
      <c r="P1180" t="s">
        <v>35</v>
      </c>
      <c r="Q1180" t="s">
        <v>35</v>
      </c>
      <c r="R1180" t="s">
        <v>35</v>
      </c>
      <c r="S1180" t="s">
        <v>34</v>
      </c>
      <c r="AC1180" t="s">
        <v>35</v>
      </c>
      <c r="AD1180">
        <v>20170124</v>
      </c>
      <c r="AF1180" t="str">
        <f>IFERROR(VLOOKUP(RIGHT(TblFeedFile1[[#This Row],[Leave Type ]],6),LkupPayType[],2,FALSE),"TBD")</f>
        <v>TBD</v>
      </c>
      <c r="AG1180" t="str">
        <f>IFERROR(VLOOKUP(TblFeedFile1[[#This Row],[ Report Number ]],LkupPayrollCycle[],2,FALSE),"TBD")</f>
        <v>Bi-Weekly</v>
      </c>
      <c r="AH1180" t="str">
        <f>IF(TblFeedFile1[[#This Row],[Return to Work Date ]]="","","Y")</f>
        <v/>
      </c>
    </row>
    <row r="1181" spans="1:34" x14ac:dyDescent="0.25">
      <c r="A1181" t="s">
        <v>29</v>
      </c>
      <c r="B1181">
        <v>314304</v>
      </c>
      <c r="C1181">
        <v>27752164</v>
      </c>
      <c r="D1181" s="1" t="s">
        <v>1502</v>
      </c>
      <c r="E1181" t="s">
        <v>1503</v>
      </c>
      <c r="F1181" t="s">
        <v>1504</v>
      </c>
      <c r="G1181">
        <v>20160706</v>
      </c>
      <c r="H1181">
        <v>20170605</v>
      </c>
      <c r="I1181" t="s">
        <v>303</v>
      </c>
      <c r="L1181" t="s">
        <v>34</v>
      </c>
      <c r="M1181" t="s">
        <v>34</v>
      </c>
      <c r="N1181" t="s">
        <v>35</v>
      </c>
      <c r="O1181" t="s">
        <v>35</v>
      </c>
      <c r="P1181" t="s">
        <v>35</v>
      </c>
      <c r="Q1181" t="s">
        <v>35</v>
      </c>
      <c r="R1181" t="s">
        <v>35</v>
      </c>
      <c r="S1181" t="s">
        <v>34</v>
      </c>
      <c r="AC1181" t="s">
        <v>35</v>
      </c>
      <c r="AD1181">
        <v>20170124</v>
      </c>
      <c r="AF1181" t="str">
        <f>IFERROR(VLOOKUP(RIGHT(TblFeedFile1[[#This Row],[Leave Type ]],6),LkupPayType[],2,FALSE),"TBD")</f>
        <v>TBD</v>
      </c>
      <c r="AG1181" t="str">
        <f>IFERROR(VLOOKUP(TblFeedFile1[[#This Row],[ Report Number ]],LkupPayrollCycle[],2,FALSE),"TBD")</f>
        <v>Bi-Weekly</v>
      </c>
      <c r="AH1181" t="str">
        <f>IF(TblFeedFile1[[#This Row],[Return to Work Date ]]="","","Y")</f>
        <v/>
      </c>
    </row>
    <row r="1182" spans="1:34" x14ac:dyDescent="0.25">
      <c r="A1182" t="s">
        <v>29</v>
      </c>
      <c r="B1182">
        <v>314304</v>
      </c>
      <c r="C1182">
        <v>27752164</v>
      </c>
      <c r="D1182" s="1" t="s">
        <v>1502</v>
      </c>
      <c r="E1182" t="s">
        <v>1503</v>
      </c>
      <c r="F1182" t="s">
        <v>1504</v>
      </c>
      <c r="G1182">
        <v>20160606</v>
      </c>
      <c r="H1182">
        <v>20170605</v>
      </c>
      <c r="I1182" t="s">
        <v>423</v>
      </c>
      <c r="L1182" t="s">
        <v>34</v>
      </c>
      <c r="M1182" t="s">
        <v>34</v>
      </c>
      <c r="N1182" t="s">
        <v>35</v>
      </c>
      <c r="O1182" t="s">
        <v>35</v>
      </c>
      <c r="P1182" t="s">
        <v>35</v>
      </c>
      <c r="Q1182" t="s">
        <v>35</v>
      </c>
      <c r="R1182" t="s">
        <v>35</v>
      </c>
      <c r="S1182" t="s">
        <v>34</v>
      </c>
      <c r="AC1182" t="s">
        <v>35</v>
      </c>
      <c r="AD1182">
        <v>20170124</v>
      </c>
      <c r="AF1182" t="str">
        <f>IFERROR(VLOOKUP(RIGHT(TblFeedFile1[[#This Row],[Leave Type ]],6),LkupPayType[],2,FALSE),"TBD")</f>
        <v>TBD</v>
      </c>
      <c r="AG1182" t="str">
        <f>IFERROR(VLOOKUP(TblFeedFile1[[#This Row],[ Report Number ]],LkupPayrollCycle[],2,FALSE),"TBD")</f>
        <v>Bi-Weekly</v>
      </c>
      <c r="AH1182" t="str">
        <f>IF(TblFeedFile1[[#This Row],[Return to Work Date ]]="","","Y")</f>
        <v/>
      </c>
    </row>
    <row r="1183" spans="1:34" x14ac:dyDescent="0.25">
      <c r="A1183" t="s">
        <v>37</v>
      </c>
      <c r="B1183">
        <v>314304</v>
      </c>
      <c r="C1183">
        <v>27752164</v>
      </c>
      <c r="D1183" s="1" t="s">
        <v>1502</v>
      </c>
      <c r="E1183" t="s">
        <v>1503</v>
      </c>
      <c r="F1183" t="s">
        <v>1504</v>
      </c>
      <c r="G1183">
        <v>20160905</v>
      </c>
      <c r="H1183">
        <v>20170605</v>
      </c>
      <c r="I1183" t="s">
        <v>423</v>
      </c>
      <c r="L1183" t="s">
        <v>34</v>
      </c>
      <c r="M1183" t="s">
        <v>34</v>
      </c>
      <c r="N1183" t="s">
        <v>35</v>
      </c>
      <c r="O1183" t="s">
        <v>35</v>
      </c>
      <c r="P1183" t="s">
        <v>35</v>
      </c>
      <c r="Q1183" t="s">
        <v>35</v>
      </c>
      <c r="R1183" t="s">
        <v>35</v>
      </c>
      <c r="S1183" t="s">
        <v>34</v>
      </c>
      <c r="AC1183" t="s">
        <v>35</v>
      </c>
      <c r="AD1183">
        <v>20170124</v>
      </c>
      <c r="AF1183" t="str">
        <f>IFERROR(VLOOKUP(RIGHT(TblFeedFile1[[#This Row],[Leave Type ]],6),LkupPayType[],2,FALSE),"TBD")</f>
        <v>TBD</v>
      </c>
      <c r="AG1183" t="str">
        <f>IFERROR(VLOOKUP(TblFeedFile1[[#This Row],[ Report Number ]],LkupPayrollCycle[],2,FALSE),"TBD")</f>
        <v>Bi-Weekly</v>
      </c>
      <c r="AH1183" t="str">
        <f>IF(TblFeedFile1[[#This Row],[Return to Work Date ]]="","","Y")</f>
        <v/>
      </c>
    </row>
    <row r="1184" spans="1:34" x14ac:dyDescent="0.25">
      <c r="A1184" t="s">
        <v>37</v>
      </c>
      <c r="B1184">
        <v>314304</v>
      </c>
      <c r="C1184">
        <v>27752164</v>
      </c>
      <c r="D1184" s="1" t="s">
        <v>1502</v>
      </c>
      <c r="E1184" t="s">
        <v>1503</v>
      </c>
      <c r="F1184" t="s">
        <v>1504</v>
      </c>
      <c r="G1184">
        <v>20161005</v>
      </c>
      <c r="H1184">
        <v>20170605</v>
      </c>
      <c r="I1184" t="s">
        <v>303</v>
      </c>
      <c r="L1184" t="s">
        <v>34</v>
      </c>
      <c r="M1184" t="s">
        <v>34</v>
      </c>
      <c r="N1184" t="s">
        <v>35</v>
      </c>
      <c r="O1184" t="s">
        <v>35</v>
      </c>
      <c r="P1184" t="s">
        <v>35</v>
      </c>
      <c r="Q1184" t="s">
        <v>35</v>
      </c>
      <c r="R1184" t="s">
        <v>35</v>
      </c>
      <c r="S1184" t="s">
        <v>34</v>
      </c>
      <c r="AC1184" t="s">
        <v>35</v>
      </c>
      <c r="AD1184">
        <v>20170124</v>
      </c>
      <c r="AF1184" t="str">
        <f>IFERROR(VLOOKUP(RIGHT(TblFeedFile1[[#This Row],[Leave Type ]],6),LkupPayType[],2,FALSE),"TBD")</f>
        <v>TBD</v>
      </c>
      <c r="AG1184" t="str">
        <f>IFERROR(VLOOKUP(TblFeedFile1[[#This Row],[ Report Number ]],LkupPayrollCycle[],2,FALSE),"TBD")</f>
        <v>Bi-Weekly</v>
      </c>
      <c r="AH1184" t="str">
        <f>IF(TblFeedFile1[[#This Row],[Return to Work Date ]]="","","Y")</f>
        <v/>
      </c>
    </row>
    <row r="1185" spans="1:34" x14ac:dyDescent="0.25">
      <c r="A1185" t="s">
        <v>37</v>
      </c>
      <c r="B1185">
        <v>314304</v>
      </c>
      <c r="C1185">
        <v>27752164</v>
      </c>
      <c r="D1185" s="1" t="s">
        <v>1502</v>
      </c>
      <c r="E1185" t="s">
        <v>1503</v>
      </c>
      <c r="F1185" t="s">
        <v>1504</v>
      </c>
      <c r="G1185">
        <v>20161204</v>
      </c>
      <c r="H1185">
        <v>20170605</v>
      </c>
      <c r="I1185" t="s">
        <v>537</v>
      </c>
      <c r="L1185" t="s">
        <v>34</v>
      </c>
      <c r="M1185" t="s">
        <v>34</v>
      </c>
      <c r="N1185" t="s">
        <v>35</v>
      </c>
      <c r="O1185" t="s">
        <v>35</v>
      </c>
      <c r="P1185" t="s">
        <v>35</v>
      </c>
      <c r="Q1185" t="s">
        <v>35</v>
      </c>
      <c r="R1185" t="s">
        <v>35</v>
      </c>
      <c r="S1185" t="s">
        <v>34</v>
      </c>
      <c r="AC1185" t="s">
        <v>35</v>
      </c>
      <c r="AD1185">
        <v>20170124</v>
      </c>
      <c r="AF1185" t="str">
        <f>IFERROR(VLOOKUP(RIGHT(TblFeedFile1[[#This Row],[Leave Type ]],6),LkupPayType[],2,FALSE),"TBD")</f>
        <v>TBD</v>
      </c>
      <c r="AG1185" t="str">
        <f>IFERROR(VLOOKUP(TblFeedFile1[[#This Row],[ Report Number ]],LkupPayrollCycle[],2,FALSE),"TBD")</f>
        <v>Bi-Weekly</v>
      </c>
      <c r="AH1185" t="str">
        <f>IF(TblFeedFile1[[#This Row],[Return to Work Date ]]="","","Y")</f>
        <v/>
      </c>
    </row>
    <row r="1186" spans="1:34" x14ac:dyDescent="0.25">
      <c r="A1186" t="s">
        <v>29</v>
      </c>
      <c r="B1186">
        <v>314301</v>
      </c>
      <c r="C1186">
        <v>27780895</v>
      </c>
      <c r="D1186" s="1" t="s">
        <v>1505</v>
      </c>
      <c r="E1186" t="s">
        <v>1506</v>
      </c>
      <c r="F1186" t="s">
        <v>1507</v>
      </c>
      <c r="G1186">
        <v>20161128</v>
      </c>
      <c r="H1186">
        <v>20170127</v>
      </c>
      <c r="I1186" t="s">
        <v>127</v>
      </c>
      <c r="L1186" t="s">
        <v>34</v>
      </c>
      <c r="M1186" t="s">
        <v>34</v>
      </c>
      <c r="N1186" t="s">
        <v>35</v>
      </c>
      <c r="O1186" t="s">
        <v>35</v>
      </c>
      <c r="P1186" t="s">
        <v>35</v>
      </c>
      <c r="Q1186" t="s">
        <v>35</v>
      </c>
      <c r="R1186" t="s">
        <v>35</v>
      </c>
      <c r="S1186" t="s">
        <v>34</v>
      </c>
      <c r="AC1186" t="s">
        <v>35</v>
      </c>
      <c r="AD1186">
        <v>20170124</v>
      </c>
      <c r="AF1186" t="str">
        <f>IFERROR(VLOOKUP(RIGHT(TblFeedFile1[[#This Row],[Leave Type ]],6),LkupPayType[],2,FALSE),"TBD")</f>
        <v>TBD</v>
      </c>
      <c r="AG1186" t="str">
        <f>IFERROR(VLOOKUP(TblFeedFile1[[#This Row],[ Report Number ]],LkupPayrollCycle[],2,FALSE),"TBD")</f>
        <v>Semi-Monthly</v>
      </c>
      <c r="AH1186" t="str">
        <f>IF(TblFeedFile1[[#This Row],[Return to Work Date ]]="","","Y")</f>
        <v/>
      </c>
    </row>
    <row r="1187" spans="1:34" x14ac:dyDescent="0.25">
      <c r="A1187" t="s">
        <v>37</v>
      </c>
      <c r="B1187">
        <v>314301</v>
      </c>
      <c r="C1187">
        <v>27780895</v>
      </c>
      <c r="D1187" s="1" t="s">
        <v>1505</v>
      </c>
      <c r="E1187" t="s">
        <v>1506</v>
      </c>
      <c r="F1187" t="s">
        <v>1507</v>
      </c>
      <c r="G1187">
        <v>20161128</v>
      </c>
      <c r="H1187">
        <v>20170228</v>
      </c>
      <c r="I1187" t="s">
        <v>127</v>
      </c>
      <c r="L1187" t="s">
        <v>34</v>
      </c>
      <c r="M1187" t="s">
        <v>34</v>
      </c>
      <c r="N1187" t="s">
        <v>35</v>
      </c>
      <c r="O1187" t="s">
        <v>35</v>
      </c>
      <c r="P1187" t="s">
        <v>35</v>
      </c>
      <c r="Q1187" t="s">
        <v>35</v>
      </c>
      <c r="R1187" t="s">
        <v>35</v>
      </c>
      <c r="S1187" t="s">
        <v>34</v>
      </c>
      <c r="AC1187" t="s">
        <v>35</v>
      </c>
      <c r="AD1187">
        <v>20170124</v>
      </c>
      <c r="AF1187" t="str">
        <f>IFERROR(VLOOKUP(RIGHT(TblFeedFile1[[#This Row],[Leave Type ]],6),LkupPayType[],2,FALSE),"TBD")</f>
        <v>TBD</v>
      </c>
      <c r="AG1187" t="str">
        <f>IFERROR(VLOOKUP(TblFeedFile1[[#This Row],[ Report Number ]],LkupPayrollCycle[],2,FALSE),"TBD")</f>
        <v>Semi-Monthly</v>
      </c>
      <c r="AH1187" t="str">
        <f>IF(TblFeedFile1[[#This Row],[Return to Work Date ]]="","","Y")</f>
        <v/>
      </c>
    </row>
    <row r="1188" spans="1:34" x14ac:dyDescent="0.25">
      <c r="A1188" t="s">
        <v>37</v>
      </c>
      <c r="B1188">
        <v>314304</v>
      </c>
      <c r="C1188">
        <v>27828619</v>
      </c>
      <c r="D1188" s="1" t="s">
        <v>1508</v>
      </c>
      <c r="E1188" t="s">
        <v>1151</v>
      </c>
      <c r="F1188" t="s">
        <v>297</v>
      </c>
      <c r="G1188">
        <v>20170124</v>
      </c>
      <c r="H1188">
        <v>20170328</v>
      </c>
      <c r="I1188" t="s">
        <v>36</v>
      </c>
      <c r="L1188" t="s">
        <v>34</v>
      </c>
      <c r="M1188" t="s">
        <v>34</v>
      </c>
      <c r="N1188" t="s">
        <v>35</v>
      </c>
      <c r="O1188" t="s">
        <v>35</v>
      </c>
      <c r="P1188" t="s">
        <v>35</v>
      </c>
      <c r="Q1188" t="s">
        <v>35</v>
      </c>
      <c r="R1188" t="s">
        <v>35</v>
      </c>
      <c r="S1188" t="s">
        <v>34</v>
      </c>
      <c r="AD1188">
        <v>20170124</v>
      </c>
      <c r="AF1188" t="str">
        <f>IFERROR(VLOOKUP(RIGHT(TblFeedFile1[[#This Row],[Leave Type ]],6),LkupPayType[],2,FALSE),"TBD")</f>
        <v>TBD</v>
      </c>
      <c r="AG1188" t="str">
        <f>IFERROR(VLOOKUP(TblFeedFile1[[#This Row],[ Report Number ]],LkupPayrollCycle[],2,FALSE),"TBD")</f>
        <v>Bi-Weekly</v>
      </c>
      <c r="AH1188" t="str">
        <f>IF(TblFeedFile1[[#This Row],[Return to Work Date ]]="","","Y")</f>
        <v/>
      </c>
    </row>
    <row r="1189" spans="1:34" x14ac:dyDescent="0.25">
      <c r="A1189" t="s">
        <v>37</v>
      </c>
      <c r="B1189">
        <v>314307</v>
      </c>
      <c r="C1189">
        <v>27831673</v>
      </c>
      <c r="D1189" s="1" t="s">
        <v>1509</v>
      </c>
      <c r="E1189" t="s">
        <v>626</v>
      </c>
      <c r="F1189" t="s">
        <v>1510</v>
      </c>
      <c r="G1189">
        <v>20170112</v>
      </c>
      <c r="H1189">
        <v>20170210</v>
      </c>
      <c r="I1189" t="s">
        <v>36</v>
      </c>
      <c r="L1189" t="s">
        <v>34</v>
      </c>
      <c r="M1189" t="s">
        <v>34</v>
      </c>
      <c r="N1189" t="s">
        <v>35</v>
      </c>
      <c r="O1189" t="s">
        <v>35</v>
      </c>
      <c r="P1189" t="s">
        <v>35</v>
      </c>
      <c r="Q1189" t="s">
        <v>35</v>
      </c>
      <c r="R1189" t="s">
        <v>35</v>
      </c>
      <c r="S1189" t="s">
        <v>34</v>
      </c>
      <c r="AD1189">
        <v>20170124</v>
      </c>
      <c r="AF1189" t="str">
        <f>IFERROR(VLOOKUP(RIGHT(TblFeedFile1[[#This Row],[Leave Type ]],6),LkupPayType[],2,FALSE),"TBD")</f>
        <v>TBD</v>
      </c>
      <c r="AG1189" t="str">
        <f>IFERROR(VLOOKUP(TblFeedFile1[[#This Row],[ Report Number ]],LkupPayrollCycle[],2,FALSE),"TBD")</f>
        <v>Semi-Monthly</v>
      </c>
      <c r="AH1189" t="str">
        <f>IF(TblFeedFile1[[#This Row],[Return to Work Date ]]="","","Y")</f>
        <v/>
      </c>
    </row>
    <row r="1190" spans="1:34" x14ac:dyDescent="0.25">
      <c r="A1190" t="s">
        <v>37</v>
      </c>
      <c r="B1190">
        <v>314304</v>
      </c>
      <c r="C1190">
        <v>27857426</v>
      </c>
      <c r="D1190" s="1">
        <v>541701238124</v>
      </c>
      <c r="E1190" t="s">
        <v>1511</v>
      </c>
      <c r="F1190" t="s">
        <v>1512</v>
      </c>
      <c r="G1190">
        <v>20170122</v>
      </c>
      <c r="I1190" t="s">
        <v>53</v>
      </c>
      <c r="L1190" t="s">
        <v>34</v>
      </c>
      <c r="M1190" t="s">
        <v>34</v>
      </c>
      <c r="N1190" t="s">
        <v>35</v>
      </c>
      <c r="O1190" t="s">
        <v>35</v>
      </c>
      <c r="P1190" t="s">
        <v>35</v>
      </c>
      <c r="Q1190" t="s">
        <v>35</v>
      </c>
      <c r="R1190" t="s">
        <v>35</v>
      </c>
      <c r="S1190" t="s">
        <v>34</v>
      </c>
      <c r="AD1190">
        <v>20170124</v>
      </c>
      <c r="AF1190" t="str">
        <f>IFERROR(VLOOKUP(RIGHT(TblFeedFile1[[#This Row],[Leave Type ]],6),LkupPayType[],2,FALSE),"TBD")</f>
        <v>TBD</v>
      </c>
      <c r="AG1190" t="str">
        <f>IFERROR(VLOOKUP(TblFeedFile1[[#This Row],[ Report Number ]],LkupPayrollCycle[],2,FALSE),"TBD")</f>
        <v>Bi-Weekly</v>
      </c>
      <c r="AH1190" t="str">
        <f>IF(TblFeedFile1[[#This Row],[Return to Work Date ]]="","","Y")</f>
        <v/>
      </c>
    </row>
    <row r="1191" spans="1:34" x14ac:dyDescent="0.25">
      <c r="A1191" t="s">
        <v>37</v>
      </c>
      <c r="B1191">
        <v>314304</v>
      </c>
      <c r="C1191">
        <v>27857426</v>
      </c>
      <c r="D1191" s="1" t="s">
        <v>1513</v>
      </c>
      <c r="E1191" t="s">
        <v>1511</v>
      </c>
      <c r="F1191" t="s">
        <v>1512</v>
      </c>
      <c r="G1191">
        <v>20170124</v>
      </c>
      <c r="H1191">
        <v>20170207</v>
      </c>
      <c r="I1191" t="s">
        <v>78</v>
      </c>
      <c r="K1191" t="s">
        <v>79</v>
      </c>
      <c r="L1191" t="s">
        <v>34</v>
      </c>
      <c r="M1191" t="s">
        <v>34</v>
      </c>
      <c r="N1191" t="s">
        <v>35</v>
      </c>
      <c r="O1191" t="s">
        <v>35</v>
      </c>
      <c r="P1191" t="s">
        <v>35</v>
      </c>
      <c r="Q1191" t="s">
        <v>35</v>
      </c>
      <c r="R1191" t="s">
        <v>35</v>
      </c>
      <c r="S1191" t="s">
        <v>34</v>
      </c>
      <c r="AD1191">
        <v>20170124</v>
      </c>
      <c r="AF1191" t="str">
        <f>IFERROR(VLOOKUP(RIGHT(TblFeedFile1[[#This Row],[Leave Type ]],6),LkupPayType[],2,FALSE),"TBD")</f>
        <v>TBD</v>
      </c>
      <c r="AG1191" t="str">
        <f>IFERROR(VLOOKUP(TblFeedFile1[[#This Row],[ Report Number ]],LkupPayrollCycle[],2,FALSE),"TBD")</f>
        <v>Bi-Weekly</v>
      </c>
      <c r="AH1191" t="str">
        <f>IF(TblFeedFile1[[#This Row],[Return to Work Date ]]="","","Y")</f>
        <v/>
      </c>
    </row>
    <row r="1192" spans="1:34" x14ac:dyDescent="0.25">
      <c r="A1192" t="s">
        <v>29</v>
      </c>
      <c r="B1192">
        <v>314304</v>
      </c>
      <c r="C1192">
        <v>27857541</v>
      </c>
      <c r="D1192" s="1">
        <v>551701178895</v>
      </c>
      <c r="E1192" t="s">
        <v>1514</v>
      </c>
      <c r="F1192" t="s">
        <v>1515</v>
      </c>
      <c r="G1192">
        <v>20170119</v>
      </c>
      <c r="H1192">
        <v>20170714</v>
      </c>
      <c r="I1192" t="s">
        <v>40</v>
      </c>
      <c r="L1192" t="s">
        <v>34</v>
      </c>
      <c r="M1192" t="s">
        <v>35</v>
      </c>
      <c r="N1192" t="s">
        <v>35</v>
      </c>
      <c r="O1192" t="s">
        <v>35</v>
      </c>
      <c r="P1192" t="s">
        <v>35</v>
      </c>
      <c r="Q1192" t="s">
        <v>35</v>
      </c>
      <c r="R1192" t="s">
        <v>34</v>
      </c>
      <c r="S1192" t="s">
        <v>34</v>
      </c>
      <c r="AD1192">
        <v>20170124</v>
      </c>
      <c r="AF1192" t="str">
        <f>IFERROR(VLOOKUP(RIGHT(TblFeedFile1[[#This Row],[Leave Type ]],6),LkupPayType[],2,FALSE),"TBD")</f>
        <v>TBD</v>
      </c>
      <c r="AG1192" t="str">
        <f>IFERROR(VLOOKUP(TblFeedFile1[[#This Row],[ Report Number ]],LkupPayrollCycle[],2,FALSE),"TBD")</f>
        <v>Bi-Weekly</v>
      </c>
      <c r="AH1192" t="str">
        <f>IF(TblFeedFile1[[#This Row],[Return to Work Date ]]="","","Y")</f>
        <v/>
      </c>
    </row>
    <row r="1193" spans="1:34" x14ac:dyDescent="0.25">
      <c r="A1193" t="s">
        <v>37</v>
      </c>
      <c r="B1193">
        <v>314304</v>
      </c>
      <c r="C1193">
        <v>27857541</v>
      </c>
      <c r="D1193" s="1">
        <v>551701178895</v>
      </c>
      <c r="E1193" t="s">
        <v>1514</v>
      </c>
      <c r="F1193" t="s">
        <v>1515</v>
      </c>
      <c r="G1193">
        <v>20170119</v>
      </c>
      <c r="H1193">
        <v>20170714</v>
      </c>
      <c r="I1193" t="s">
        <v>40</v>
      </c>
      <c r="L1193" t="s">
        <v>34</v>
      </c>
      <c r="M1193" t="s">
        <v>34</v>
      </c>
      <c r="N1193" t="s">
        <v>35</v>
      </c>
      <c r="O1193" t="s">
        <v>35</v>
      </c>
      <c r="P1193" t="s">
        <v>35</v>
      </c>
      <c r="Q1193" t="s">
        <v>35</v>
      </c>
      <c r="R1193" t="s">
        <v>35</v>
      </c>
      <c r="S1193" t="s">
        <v>34</v>
      </c>
      <c r="AD1193">
        <v>20170124</v>
      </c>
      <c r="AF1193" t="str">
        <f>IFERROR(VLOOKUP(RIGHT(TblFeedFile1[[#This Row],[Leave Type ]],6),LkupPayType[],2,FALSE),"TBD")</f>
        <v>TBD</v>
      </c>
      <c r="AG1193" t="str">
        <f>IFERROR(VLOOKUP(TblFeedFile1[[#This Row],[ Report Number ]],LkupPayrollCycle[],2,FALSE),"TBD")</f>
        <v>Bi-Weekly</v>
      </c>
      <c r="AH1193" t="str">
        <f>IF(TblFeedFile1[[#This Row],[Return to Work Date ]]="","","Y")</f>
        <v/>
      </c>
    </row>
    <row r="1194" spans="1:34" x14ac:dyDescent="0.25">
      <c r="A1194" t="s">
        <v>37</v>
      </c>
      <c r="B1194">
        <v>314304</v>
      </c>
      <c r="C1194">
        <v>27865172</v>
      </c>
      <c r="D1194" s="1">
        <v>511701238129</v>
      </c>
      <c r="E1194" t="s">
        <v>1225</v>
      </c>
      <c r="F1194" t="s">
        <v>1516</v>
      </c>
      <c r="G1194">
        <v>20170105</v>
      </c>
      <c r="I1194" t="s">
        <v>53</v>
      </c>
      <c r="L1194" t="s">
        <v>34</v>
      </c>
      <c r="M1194" t="s">
        <v>34</v>
      </c>
      <c r="N1194" t="s">
        <v>35</v>
      </c>
      <c r="O1194" t="s">
        <v>35</v>
      </c>
      <c r="P1194" t="s">
        <v>35</v>
      </c>
      <c r="Q1194" t="s">
        <v>35</v>
      </c>
      <c r="R1194" t="s">
        <v>35</v>
      </c>
      <c r="S1194" t="s">
        <v>34</v>
      </c>
      <c r="AD1194">
        <v>20170124</v>
      </c>
      <c r="AF1194" t="str">
        <f>IFERROR(VLOOKUP(RIGHT(TblFeedFile1[[#This Row],[Leave Type ]],6),LkupPayType[],2,FALSE),"TBD")</f>
        <v>TBD</v>
      </c>
      <c r="AG1194" t="str">
        <f>IFERROR(VLOOKUP(TblFeedFile1[[#This Row],[ Report Number ]],LkupPayrollCycle[],2,FALSE),"TBD")</f>
        <v>Bi-Weekly</v>
      </c>
      <c r="AH1194" t="str">
        <f>IF(TblFeedFile1[[#This Row],[Return to Work Date ]]="","","Y")</f>
        <v/>
      </c>
    </row>
    <row r="1195" spans="1:34" x14ac:dyDescent="0.25">
      <c r="A1195" t="s">
        <v>29</v>
      </c>
      <c r="B1195">
        <v>314301</v>
      </c>
      <c r="C1195">
        <v>27868701</v>
      </c>
      <c r="D1195" s="1" t="s">
        <v>1517</v>
      </c>
      <c r="E1195" t="s">
        <v>221</v>
      </c>
      <c r="F1195" t="s">
        <v>1518</v>
      </c>
      <c r="G1195">
        <v>20161005</v>
      </c>
      <c r="H1195">
        <v>20170124</v>
      </c>
      <c r="I1195" t="s">
        <v>223</v>
      </c>
      <c r="L1195" t="s">
        <v>34</v>
      </c>
      <c r="M1195" t="s">
        <v>34</v>
      </c>
      <c r="N1195" t="s">
        <v>35</v>
      </c>
      <c r="O1195" t="s">
        <v>35</v>
      </c>
      <c r="P1195" t="s">
        <v>35</v>
      </c>
      <c r="Q1195" t="s">
        <v>35</v>
      </c>
      <c r="R1195" t="s">
        <v>35</v>
      </c>
      <c r="S1195" t="s">
        <v>34</v>
      </c>
      <c r="AC1195" t="s">
        <v>35</v>
      </c>
      <c r="AD1195">
        <v>20170124</v>
      </c>
      <c r="AF1195" t="str">
        <f>IFERROR(VLOOKUP(RIGHT(TblFeedFile1[[#This Row],[Leave Type ]],6),LkupPayType[],2,FALSE),"TBD")</f>
        <v>TBD</v>
      </c>
      <c r="AG1195" t="str">
        <f>IFERROR(VLOOKUP(TblFeedFile1[[#This Row],[ Report Number ]],LkupPayrollCycle[],2,FALSE),"TBD")</f>
        <v>Semi-Monthly</v>
      </c>
      <c r="AH1195" t="str">
        <f>IF(TblFeedFile1[[#This Row],[Return to Work Date ]]="","","Y")</f>
        <v/>
      </c>
    </row>
    <row r="1196" spans="1:34" x14ac:dyDescent="0.25">
      <c r="A1196" t="s">
        <v>37</v>
      </c>
      <c r="B1196">
        <v>314301</v>
      </c>
      <c r="C1196">
        <v>27868701</v>
      </c>
      <c r="D1196" s="1" t="s">
        <v>1517</v>
      </c>
      <c r="E1196" t="s">
        <v>221</v>
      </c>
      <c r="F1196" t="s">
        <v>1518</v>
      </c>
      <c r="G1196">
        <v>20161005</v>
      </c>
      <c r="H1196">
        <v>20170123</v>
      </c>
      <c r="I1196" t="s">
        <v>223</v>
      </c>
      <c r="L1196" t="s">
        <v>34</v>
      </c>
      <c r="M1196" t="s">
        <v>34</v>
      </c>
      <c r="N1196" t="s">
        <v>35</v>
      </c>
      <c r="O1196" t="s">
        <v>35</v>
      </c>
      <c r="P1196" t="s">
        <v>35</v>
      </c>
      <c r="Q1196" t="s">
        <v>35</v>
      </c>
      <c r="R1196" t="s">
        <v>35</v>
      </c>
      <c r="S1196" t="s">
        <v>34</v>
      </c>
      <c r="T1196">
        <v>20170124</v>
      </c>
      <c r="AC1196" t="s">
        <v>35</v>
      </c>
      <c r="AD1196">
        <v>20170124</v>
      </c>
      <c r="AF1196" t="str">
        <f>IFERROR(VLOOKUP(RIGHT(TblFeedFile1[[#This Row],[Leave Type ]],6),LkupPayType[],2,FALSE),"TBD")</f>
        <v>TBD</v>
      </c>
      <c r="AG1196" t="str">
        <f>IFERROR(VLOOKUP(TblFeedFile1[[#This Row],[ Report Number ]],LkupPayrollCycle[],2,FALSE),"TBD")</f>
        <v>Semi-Monthly</v>
      </c>
      <c r="AH1196" t="str">
        <f>IF(TblFeedFile1[[#This Row],[Return to Work Date ]]="","","Y")</f>
        <v>Y</v>
      </c>
    </row>
    <row r="1197" spans="1:34" x14ac:dyDescent="0.25">
      <c r="A1197" t="s">
        <v>29</v>
      </c>
      <c r="B1197">
        <v>314304</v>
      </c>
      <c r="C1197">
        <v>27887603</v>
      </c>
      <c r="D1197" s="1">
        <v>541701208964</v>
      </c>
      <c r="E1197" t="s">
        <v>351</v>
      </c>
      <c r="F1197" t="s">
        <v>1519</v>
      </c>
      <c r="G1197">
        <v>20170118</v>
      </c>
      <c r="I1197" t="s">
        <v>53</v>
      </c>
      <c r="L1197" t="s">
        <v>34</v>
      </c>
      <c r="M1197" t="s">
        <v>34</v>
      </c>
      <c r="N1197" t="s">
        <v>35</v>
      </c>
      <c r="O1197" t="s">
        <v>35</v>
      </c>
      <c r="P1197" t="s">
        <v>35</v>
      </c>
      <c r="Q1197" t="s">
        <v>35</v>
      </c>
      <c r="R1197" t="s">
        <v>35</v>
      </c>
      <c r="S1197" t="s">
        <v>34</v>
      </c>
      <c r="AD1197">
        <v>20170124</v>
      </c>
      <c r="AF1197" t="str">
        <f>IFERROR(VLOOKUP(RIGHT(TblFeedFile1[[#This Row],[Leave Type ]],6),LkupPayType[],2,FALSE),"TBD")</f>
        <v>TBD</v>
      </c>
      <c r="AG1197" t="str">
        <f>IFERROR(VLOOKUP(TblFeedFile1[[#This Row],[ Report Number ]],LkupPayrollCycle[],2,FALSE),"TBD")</f>
        <v>Bi-Weekly</v>
      </c>
      <c r="AH1197" t="str">
        <f>IF(TblFeedFile1[[#This Row],[Return to Work Date ]]="","","Y")</f>
        <v/>
      </c>
    </row>
    <row r="1198" spans="1:34" x14ac:dyDescent="0.25">
      <c r="A1198" t="s">
        <v>37</v>
      </c>
      <c r="B1198">
        <v>314304</v>
      </c>
      <c r="C1198">
        <v>27887603</v>
      </c>
      <c r="D1198" s="1">
        <v>541701208964</v>
      </c>
      <c r="E1198" t="s">
        <v>351</v>
      </c>
      <c r="F1198" t="s">
        <v>1519</v>
      </c>
      <c r="G1198">
        <v>20170119</v>
      </c>
      <c r="H1198">
        <v>20180119</v>
      </c>
      <c r="I1198" t="s">
        <v>155</v>
      </c>
      <c r="L1198" t="s">
        <v>34</v>
      </c>
      <c r="M1198" t="s">
        <v>34</v>
      </c>
      <c r="N1198" t="s">
        <v>35</v>
      </c>
      <c r="O1198" t="s">
        <v>35</v>
      </c>
      <c r="P1198" t="s">
        <v>35</v>
      </c>
      <c r="Q1198" t="s">
        <v>35</v>
      </c>
      <c r="R1198" t="s">
        <v>35</v>
      </c>
      <c r="S1198" t="s">
        <v>34</v>
      </c>
      <c r="AD1198">
        <v>20170124</v>
      </c>
      <c r="AF1198" t="str">
        <f>IFERROR(VLOOKUP(RIGHT(TblFeedFile1[[#This Row],[Leave Type ]],6),LkupPayType[],2,FALSE),"TBD")</f>
        <v>TBD</v>
      </c>
      <c r="AG1198" t="str">
        <f>IFERROR(VLOOKUP(TblFeedFile1[[#This Row],[ Report Number ]],LkupPayrollCycle[],2,FALSE),"TBD")</f>
        <v>Bi-Weekly</v>
      </c>
      <c r="AH1198" t="str">
        <f>IF(TblFeedFile1[[#This Row],[Return to Work Date ]]="","","Y")</f>
        <v/>
      </c>
    </row>
    <row r="1199" spans="1:34" x14ac:dyDescent="0.25">
      <c r="A1199" t="s">
        <v>37</v>
      </c>
      <c r="B1199">
        <v>314304</v>
      </c>
      <c r="C1199">
        <v>27891251</v>
      </c>
      <c r="D1199" s="1" t="s">
        <v>1520</v>
      </c>
      <c r="E1199" t="s">
        <v>1521</v>
      </c>
      <c r="F1199" t="s">
        <v>1522</v>
      </c>
      <c r="G1199">
        <v>20170112</v>
      </c>
      <c r="H1199">
        <v>20170127</v>
      </c>
      <c r="I1199" t="s">
        <v>185</v>
      </c>
      <c r="L1199" t="s">
        <v>34</v>
      </c>
      <c r="M1199" t="s">
        <v>34</v>
      </c>
      <c r="N1199" t="s">
        <v>35</v>
      </c>
      <c r="O1199" t="s">
        <v>35</v>
      </c>
      <c r="P1199" t="s">
        <v>35</v>
      </c>
      <c r="Q1199" t="s">
        <v>35</v>
      </c>
      <c r="R1199" t="s">
        <v>35</v>
      </c>
      <c r="S1199" t="s">
        <v>34</v>
      </c>
      <c r="AD1199">
        <v>20170124</v>
      </c>
      <c r="AF1199" t="str">
        <f>IFERROR(VLOOKUP(RIGHT(TblFeedFile1[[#This Row],[Leave Type ]],6),LkupPayType[],2,FALSE),"TBD")</f>
        <v>TBD</v>
      </c>
      <c r="AG1199" t="str">
        <f>IFERROR(VLOOKUP(TblFeedFile1[[#This Row],[ Report Number ]],LkupPayrollCycle[],2,FALSE),"TBD")</f>
        <v>Bi-Weekly</v>
      </c>
      <c r="AH1199" t="str">
        <f>IF(TblFeedFile1[[#This Row],[Return to Work Date ]]="","","Y")</f>
        <v/>
      </c>
    </row>
    <row r="1200" spans="1:34" x14ac:dyDescent="0.25">
      <c r="A1200" t="s">
        <v>37</v>
      </c>
      <c r="B1200">
        <v>314304</v>
      </c>
      <c r="C1200">
        <v>27910764</v>
      </c>
      <c r="D1200" s="1">
        <v>571701068527</v>
      </c>
      <c r="E1200" t="s">
        <v>1523</v>
      </c>
      <c r="F1200" t="s">
        <v>1524</v>
      </c>
      <c r="G1200">
        <v>20170116</v>
      </c>
      <c r="H1200">
        <v>20170221</v>
      </c>
      <c r="I1200" t="s">
        <v>40</v>
      </c>
      <c r="L1200" t="s">
        <v>35</v>
      </c>
      <c r="Y1200">
        <v>384.6</v>
      </c>
      <c r="Z1200" t="s">
        <v>306</v>
      </c>
      <c r="AA1200">
        <v>20170116</v>
      </c>
      <c r="AB1200">
        <v>20170709</v>
      </c>
      <c r="AD1200">
        <v>20170124</v>
      </c>
      <c r="AF1200" t="str">
        <f>IFERROR(VLOOKUP(RIGHT(TblFeedFile1[[#This Row],[Leave Type ]],6),LkupPayType[],2,FALSE),"TBD")</f>
        <v>TBD</v>
      </c>
      <c r="AG1200" t="str">
        <f>IFERROR(VLOOKUP(TblFeedFile1[[#This Row],[ Report Number ]],LkupPayrollCycle[],2,FALSE),"TBD")</f>
        <v>Bi-Weekly</v>
      </c>
      <c r="AH1200" t="str">
        <f>IF(TblFeedFile1[[#This Row],[Return to Work Date ]]="","","Y")</f>
        <v/>
      </c>
    </row>
    <row r="1201" spans="1:34" x14ac:dyDescent="0.25">
      <c r="A1201" t="s">
        <v>37</v>
      </c>
      <c r="B1201">
        <v>314304</v>
      </c>
      <c r="C1201">
        <v>27927601</v>
      </c>
      <c r="D1201" s="1" t="s">
        <v>1525</v>
      </c>
      <c r="E1201" t="s">
        <v>637</v>
      </c>
      <c r="F1201" t="s">
        <v>1526</v>
      </c>
      <c r="G1201">
        <v>20170120</v>
      </c>
      <c r="H1201">
        <v>20170519</v>
      </c>
      <c r="I1201" t="s">
        <v>78</v>
      </c>
      <c r="K1201" t="s">
        <v>79</v>
      </c>
      <c r="L1201" t="s">
        <v>35</v>
      </c>
      <c r="AD1201">
        <v>20170124</v>
      </c>
      <c r="AF1201" t="str">
        <f>IFERROR(VLOOKUP(RIGHT(TblFeedFile1[[#This Row],[Leave Type ]],6),LkupPayType[],2,FALSE),"TBD")</f>
        <v>TBD</v>
      </c>
      <c r="AG1201" t="str">
        <f>IFERROR(VLOOKUP(TblFeedFile1[[#This Row],[ Report Number ]],LkupPayrollCycle[],2,FALSE),"TBD")</f>
        <v>Bi-Weekly</v>
      </c>
      <c r="AH1201" t="str">
        <f>IF(TblFeedFile1[[#This Row],[Return to Work Date ]]="","","Y")</f>
        <v/>
      </c>
    </row>
    <row r="1202" spans="1:34" x14ac:dyDescent="0.25">
      <c r="A1202" t="s">
        <v>37</v>
      </c>
      <c r="B1202">
        <v>314304</v>
      </c>
      <c r="C1202">
        <v>27927601</v>
      </c>
      <c r="D1202" s="1">
        <v>561701248566</v>
      </c>
      <c r="E1202" t="s">
        <v>637</v>
      </c>
      <c r="F1202" t="s">
        <v>1526</v>
      </c>
      <c r="G1202">
        <v>20170120</v>
      </c>
      <c r="I1202" t="s">
        <v>53</v>
      </c>
      <c r="L1202" t="s">
        <v>35</v>
      </c>
      <c r="AD1202">
        <v>20170124</v>
      </c>
      <c r="AF1202" t="str">
        <f>IFERROR(VLOOKUP(RIGHT(TblFeedFile1[[#This Row],[Leave Type ]],6),LkupPayType[],2,FALSE),"TBD")</f>
        <v>TBD</v>
      </c>
      <c r="AG1202" t="str">
        <f>IFERROR(VLOOKUP(TblFeedFile1[[#This Row],[ Report Number ]],LkupPayrollCycle[],2,FALSE),"TBD")</f>
        <v>Bi-Weekly</v>
      </c>
      <c r="AH1202" t="str">
        <f>IF(TblFeedFile1[[#This Row],[Return to Work Date ]]="","","Y")</f>
        <v/>
      </c>
    </row>
    <row r="1203" spans="1:34" x14ac:dyDescent="0.25">
      <c r="A1203" t="s">
        <v>37</v>
      </c>
      <c r="B1203">
        <v>314301</v>
      </c>
      <c r="C1203">
        <v>27932755</v>
      </c>
      <c r="D1203" s="1" t="s">
        <v>1527</v>
      </c>
      <c r="E1203" t="s">
        <v>1528</v>
      </c>
      <c r="F1203" t="s">
        <v>772</v>
      </c>
      <c r="G1203">
        <v>20170131</v>
      </c>
      <c r="H1203">
        <v>20170512</v>
      </c>
      <c r="I1203" t="s">
        <v>78</v>
      </c>
      <c r="K1203" t="s">
        <v>79</v>
      </c>
      <c r="L1203" t="s">
        <v>34</v>
      </c>
      <c r="M1203" t="s">
        <v>34</v>
      </c>
      <c r="N1203" t="s">
        <v>35</v>
      </c>
      <c r="O1203" t="s">
        <v>35</v>
      </c>
      <c r="P1203" t="s">
        <v>35</v>
      </c>
      <c r="Q1203" t="s">
        <v>35</v>
      </c>
      <c r="R1203" t="s">
        <v>35</v>
      </c>
      <c r="S1203" t="s">
        <v>34</v>
      </c>
      <c r="AD1203">
        <v>20170124</v>
      </c>
      <c r="AF1203" t="str">
        <f>IFERROR(VLOOKUP(RIGHT(TblFeedFile1[[#This Row],[Leave Type ]],6),LkupPayType[],2,FALSE),"TBD")</f>
        <v>TBD</v>
      </c>
      <c r="AG1203" t="str">
        <f>IFERROR(VLOOKUP(TblFeedFile1[[#This Row],[ Report Number ]],LkupPayrollCycle[],2,FALSE),"TBD")</f>
        <v>Semi-Monthly</v>
      </c>
      <c r="AH1203" t="str">
        <f>IF(TblFeedFile1[[#This Row],[Return to Work Date ]]="","","Y")</f>
        <v/>
      </c>
    </row>
    <row r="1204" spans="1:34" x14ac:dyDescent="0.25">
      <c r="A1204" t="s">
        <v>37</v>
      </c>
      <c r="B1204">
        <v>314304</v>
      </c>
      <c r="C1204">
        <v>27949665</v>
      </c>
      <c r="D1204" s="1" t="s">
        <v>1529</v>
      </c>
      <c r="E1204" t="s">
        <v>550</v>
      </c>
      <c r="F1204" t="s">
        <v>1530</v>
      </c>
      <c r="G1204">
        <v>20170107</v>
      </c>
      <c r="H1204">
        <v>20170120</v>
      </c>
      <c r="I1204" t="s">
        <v>78</v>
      </c>
      <c r="K1204" t="s">
        <v>79</v>
      </c>
      <c r="L1204" t="s">
        <v>34</v>
      </c>
      <c r="M1204" t="s">
        <v>34</v>
      </c>
      <c r="N1204" t="s">
        <v>35</v>
      </c>
      <c r="O1204" t="s">
        <v>35</v>
      </c>
      <c r="P1204" t="s">
        <v>35</v>
      </c>
      <c r="Q1204" t="s">
        <v>35</v>
      </c>
      <c r="R1204" t="s">
        <v>35</v>
      </c>
      <c r="S1204" t="s">
        <v>34</v>
      </c>
      <c r="T1204">
        <v>20170123</v>
      </c>
      <c r="AD1204">
        <v>20170124</v>
      </c>
      <c r="AF1204" t="str">
        <f>IFERROR(VLOOKUP(RIGHT(TblFeedFile1[[#This Row],[Leave Type ]],6),LkupPayType[],2,FALSE),"TBD")</f>
        <v>TBD</v>
      </c>
      <c r="AG1204" t="str">
        <f>IFERROR(VLOOKUP(TblFeedFile1[[#This Row],[ Report Number ]],LkupPayrollCycle[],2,FALSE),"TBD")</f>
        <v>Bi-Weekly</v>
      </c>
      <c r="AH1204" t="str">
        <f>IF(TblFeedFile1[[#This Row],[Return to Work Date ]]="","","Y")</f>
        <v>Y</v>
      </c>
    </row>
    <row r="1205" spans="1:34" x14ac:dyDescent="0.25">
      <c r="A1205" t="s">
        <v>29</v>
      </c>
      <c r="B1205">
        <v>314304</v>
      </c>
      <c r="C1205">
        <v>27966457</v>
      </c>
      <c r="D1205" s="1" t="s">
        <v>1531</v>
      </c>
      <c r="E1205" t="s">
        <v>1532</v>
      </c>
      <c r="F1205" t="s">
        <v>1533</v>
      </c>
      <c r="G1205">
        <v>20170106</v>
      </c>
      <c r="H1205">
        <v>20170319</v>
      </c>
      <c r="I1205" t="s">
        <v>155</v>
      </c>
      <c r="L1205" t="s">
        <v>34</v>
      </c>
      <c r="M1205" t="s">
        <v>34</v>
      </c>
      <c r="N1205" t="s">
        <v>35</v>
      </c>
      <c r="O1205" t="s">
        <v>35</v>
      </c>
      <c r="P1205" t="s">
        <v>35</v>
      </c>
      <c r="Q1205" t="s">
        <v>35</v>
      </c>
      <c r="R1205" t="s">
        <v>35</v>
      </c>
      <c r="S1205" t="s">
        <v>34</v>
      </c>
      <c r="AD1205">
        <v>20170124</v>
      </c>
      <c r="AF1205" t="str">
        <f>IFERROR(VLOOKUP(RIGHT(TblFeedFile1[[#This Row],[Leave Type ]],6),LkupPayType[],2,FALSE),"TBD")</f>
        <v>TBD</v>
      </c>
      <c r="AG1205" t="str">
        <f>IFERROR(VLOOKUP(TblFeedFile1[[#This Row],[ Report Number ]],LkupPayrollCycle[],2,FALSE),"TBD")</f>
        <v>Bi-Weekly</v>
      </c>
      <c r="AH1205" t="str">
        <f>IF(TblFeedFile1[[#This Row],[Return to Work Date ]]="","","Y")</f>
        <v/>
      </c>
    </row>
    <row r="1206" spans="1:34" x14ac:dyDescent="0.25">
      <c r="A1206" t="s">
        <v>37</v>
      </c>
      <c r="B1206">
        <v>314304</v>
      </c>
      <c r="C1206">
        <v>27966457</v>
      </c>
      <c r="D1206" s="1" t="s">
        <v>1531</v>
      </c>
      <c r="E1206" t="s">
        <v>1532</v>
      </c>
      <c r="F1206" t="s">
        <v>1533</v>
      </c>
      <c r="G1206">
        <v>20170106</v>
      </c>
      <c r="H1206">
        <v>20170130</v>
      </c>
      <c r="I1206" t="s">
        <v>155</v>
      </c>
      <c r="L1206" t="s">
        <v>34</v>
      </c>
      <c r="M1206" t="s">
        <v>34</v>
      </c>
      <c r="N1206" t="s">
        <v>35</v>
      </c>
      <c r="O1206" t="s">
        <v>35</v>
      </c>
      <c r="P1206" t="s">
        <v>35</v>
      </c>
      <c r="Q1206" t="s">
        <v>35</v>
      </c>
      <c r="R1206" t="s">
        <v>35</v>
      </c>
      <c r="S1206" t="s">
        <v>34</v>
      </c>
      <c r="AD1206">
        <v>20170124</v>
      </c>
      <c r="AF1206" t="str">
        <f>IFERROR(VLOOKUP(RIGHT(TblFeedFile1[[#This Row],[Leave Type ]],6),LkupPayType[],2,FALSE),"TBD")</f>
        <v>TBD</v>
      </c>
      <c r="AG1206" t="str">
        <f>IFERROR(VLOOKUP(TblFeedFile1[[#This Row],[ Report Number ]],LkupPayrollCycle[],2,FALSE),"TBD")</f>
        <v>Bi-Weekly</v>
      </c>
      <c r="AH1206" t="str">
        <f>IF(TblFeedFile1[[#This Row],[Return to Work Date ]]="","","Y")</f>
        <v/>
      </c>
    </row>
    <row r="1207" spans="1:34" x14ac:dyDescent="0.25">
      <c r="A1207" t="s">
        <v>29</v>
      </c>
      <c r="B1207">
        <v>314304</v>
      </c>
      <c r="C1207">
        <v>27972725</v>
      </c>
      <c r="D1207" s="1">
        <v>561701208936</v>
      </c>
      <c r="E1207" t="s">
        <v>1534</v>
      </c>
      <c r="F1207" t="s">
        <v>263</v>
      </c>
      <c r="G1207">
        <v>20170120</v>
      </c>
      <c r="I1207" t="s">
        <v>53</v>
      </c>
      <c r="L1207" t="s">
        <v>34</v>
      </c>
      <c r="M1207" t="s">
        <v>34</v>
      </c>
      <c r="N1207" t="s">
        <v>35</v>
      </c>
      <c r="O1207" t="s">
        <v>35</v>
      </c>
      <c r="P1207" t="s">
        <v>35</v>
      </c>
      <c r="Q1207" t="s">
        <v>35</v>
      </c>
      <c r="R1207" t="s">
        <v>35</v>
      </c>
      <c r="S1207" t="s">
        <v>34</v>
      </c>
      <c r="AD1207">
        <v>20170124</v>
      </c>
      <c r="AF1207" t="str">
        <f>IFERROR(VLOOKUP(RIGHT(TblFeedFile1[[#This Row],[Leave Type ]],6),LkupPayType[],2,FALSE),"TBD")</f>
        <v>TBD</v>
      </c>
      <c r="AG1207" t="str">
        <f>IFERROR(VLOOKUP(TblFeedFile1[[#This Row],[ Report Number ]],LkupPayrollCycle[],2,FALSE),"TBD")</f>
        <v>Bi-Weekly</v>
      </c>
      <c r="AH1207" t="str">
        <f>IF(TblFeedFile1[[#This Row],[Return to Work Date ]]="","","Y")</f>
        <v/>
      </c>
    </row>
    <row r="1208" spans="1:34" x14ac:dyDescent="0.25">
      <c r="A1208" t="s">
        <v>37</v>
      </c>
      <c r="B1208">
        <v>314304</v>
      </c>
      <c r="C1208">
        <v>27972725</v>
      </c>
      <c r="D1208" s="1">
        <v>561701208936</v>
      </c>
      <c r="E1208" t="s">
        <v>1534</v>
      </c>
      <c r="F1208" t="s">
        <v>263</v>
      </c>
      <c r="G1208">
        <v>20170120</v>
      </c>
      <c r="H1208">
        <v>20170206</v>
      </c>
      <c r="I1208" t="s">
        <v>53</v>
      </c>
      <c r="L1208" t="s">
        <v>34</v>
      </c>
      <c r="M1208" t="s">
        <v>34</v>
      </c>
      <c r="N1208" t="s">
        <v>35</v>
      </c>
      <c r="O1208" t="s">
        <v>35</v>
      </c>
      <c r="P1208" t="s">
        <v>35</v>
      </c>
      <c r="Q1208" t="s">
        <v>35</v>
      </c>
      <c r="R1208" t="s">
        <v>35</v>
      </c>
      <c r="S1208" t="s">
        <v>34</v>
      </c>
      <c r="AD1208">
        <v>20170124</v>
      </c>
      <c r="AF1208" t="str">
        <f>IFERROR(VLOOKUP(RIGHT(TblFeedFile1[[#This Row],[Leave Type ]],6),LkupPayType[],2,FALSE),"TBD")</f>
        <v>TBD</v>
      </c>
      <c r="AG1208" t="str">
        <f>IFERROR(VLOOKUP(TblFeedFile1[[#This Row],[ Report Number ]],LkupPayrollCycle[],2,FALSE),"TBD")</f>
        <v>Bi-Weekly</v>
      </c>
      <c r="AH1208" t="str">
        <f>IF(TblFeedFile1[[#This Row],[Return to Work Date ]]="","","Y")</f>
        <v/>
      </c>
    </row>
    <row r="1209" spans="1:34" x14ac:dyDescent="0.25">
      <c r="A1209" t="s">
        <v>37</v>
      </c>
      <c r="B1209">
        <v>314304</v>
      </c>
      <c r="C1209">
        <v>27987830</v>
      </c>
      <c r="D1209" s="1">
        <v>571612298257</v>
      </c>
      <c r="E1209" t="s">
        <v>1535</v>
      </c>
      <c r="F1209" t="s">
        <v>1536</v>
      </c>
      <c r="G1209">
        <v>20170103</v>
      </c>
      <c r="H1209">
        <v>20170103</v>
      </c>
      <c r="I1209" t="s">
        <v>43</v>
      </c>
      <c r="L1209" t="s">
        <v>34</v>
      </c>
      <c r="M1209" t="s">
        <v>34</v>
      </c>
      <c r="N1209" t="s">
        <v>35</v>
      </c>
      <c r="O1209" t="s">
        <v>35</v>
      </c>
      <c r="P1209" t="s">
        <v>35</v>
      </c>
      <c r="Q1209" t="s">
        <v>35</v>
      </c>
      <c r="R1209" t="s">
        <v>35</v>
      </c>
      <c r="S1209" t="s">
        <v>34</v>
      </c>
      <c r="AD1209">
        <v>20170124</v>
      </c>
      <c r="AF1209" t="str">
        <f>IFERROR(VLOOKUP(RIGHT(TblFeedFile1[[#This Row],[Leave Type ]],6),LkupPayType[],2,FALSE),"TBD")</f>
        <v>TBD</v>
      </c>
      <c r="AG1209" t="str">
        <f>IFERROR(VLOOKUP(TblFeedFile1[[#This Row],[ Report Number ]],LkupPayrollCycle[],2,FALSE),"TBD")</f>
        <v>Bi-Weekly</v>
      </c>
      <c r="AH1209" t="str">
        <f>IF(TblFeedFile1[[#This Row],[Return to Work Date ]]="","","Y")</f>
        <v/>
      </c>
    </row>
    <row r="1210" spans="1:34" x14ac:dyDescent="0.25">
      <c r="A1210" t="s">
        <v>37</v>
      </c>
      <c r="B1210">
        <v>314304</v>
      </c>
      <c r="C1210">
        <v>27994064</v>
      </c>
      <c r="D1210" s="1">
        <v>571701208917</v>
      </c>
      <c r="E1210" t="s">
        <v>1537</v>
      </c>
      <c r="F1210" t="s">
        <v>1538</v>
      </c>
      <c r="G1210">
        <v>20170123</v>
      </c>
      <c r="H1210">
        <v>20170224</v>
      </c>
      <c r="I1210" t="s">
        <v>53</v>
      </c>
      <c r="L1210" t="s">
        <v>34</v>
      </c>
      <c r="M1210" t="s">
        <v>34</v>
      </c>
      <c r="N1210" t="s">
        <v>35</v>
      </c>
      <c r="O1210" t="s">
        <v>35</v>
      </c>
      <c r="P1210" t="s">
        <v>35</v>
      </c>
      <c r="Q1210" t="s">
        <v>35</v>
      </c>
      <c r="R1210" t="s">
        <v>35</v>
      </c>
      <c r="S1210" t="s">
        <v>34</v>
      </c>
      <c r="AD1210">
        <v>20170124</v>
      </c>
      <c r="AF1210" t="str">
        <f>IFERROR(VLOOKUP(RIGHT(TblFeedFile1[[#This Row],[Leave Type ]],6),LkupPayType[],2,FALSE),"TBD")</f>
        <v>TBD</v>
      </c>
      <c r="AG1210" t="str">
        <f>IFERROR(VLOOKUP(TblFeedFile1[[#This Row],[ Report Number ]],LkupPayrollCycle[],2,FALSE),"TBD")</f>
        <v>Bi-Weekly</v>
      </c>
      <c r="AH1210" t="str">
        <f>IF(TblFeedFile1[[#This Row],[Return to Work Date ]]="","","Y")</f>
        <v/>
      </c>
    </row>
    <row r="1211" spans="1:34" x14ac:dyDescent="0.25">
      <c r="A1211" t="s">
        <v>29</v>
      </c>
      <c r="B1211">
        <v>314304</v>
      </c>
      <c r="C1211">
        <v>28006711</v>
      </c>
      <c r="D1211" s="1">
        <v>561612208286</v>
      </c>
      <c r="E1211" t="s">
        <v>1539</v>
      </c>
      <c r="F1211" t="s">
        <v>1540</v>
      </c>
      <c r="G1211">
        <v>20170109</v>
      </c>
      <c r="H1211">
        <v>20170201</v>
      </c>
      <c r="I1211" t="s">
        <v>53</v>
      </c>
      <c r="L1211" t="s">
        <v>34</v>
      </c>
      <c r="M1211" t="s">
        <v>34</v>
      </c>
      <c r="N1211" t="s">
        <v>35</v>
      </c>
      <c r="O1211" t="s">
        <v>35</v>
      </c>
      <c r="P1211" t="s">
        <v>35</v>
      </c>
      <c r="Q1211" t="s">
        <v>35</v>
      </c>
      <c r="R1211" t="s">
        <v>35</v>
      </c>
      <c r="S1211" t="s">
        <v>34</v>
      </c>
      <c r="AD1211">
        <v>20170124</v>
      </c>
      <c r="AF1211" t="str">
        <f>IFERROR(VLOOKUP(RIGHT(TblFeedFile1[[#This Row],[Leave Type ]],6),LkupPayType[],2,FALSE),"TBD")</f>
        <v>TBD</v>
      </c>
      <c r="AG1211" t="str">
        <f>IFERROR(VLOOKUP(TblFeedFile1[[#This Row],[ Report Number ]],LkupPayrollCycle[],2,FALSE),"TBD")</f>
        <v>Bi-Weekly</v>
      </c>
      <c r="AH1211" t="str">
        <f>IF(TblFeedFile1[[#This Row],[Return to Work Date ]]="","","Y")</f>
        <v/>
      </c>
    </row>
    <row r="1212" spans="1:34" x14ac:dyDescent="0.25">
      <c r="A1212" t="s">
        <v>37</v>
      </c>
      <c r="B1212">
        <v>164332</v>
      </c>
      <c r="C1212">
        <v>28006711</v>
      </c>
      <c r="D1212" s="1">
        <v>571701202887</v>
      </c>
      <c r="E1212" t="s">
        <v>1539</v>
      </c>
      <c r="F1212" t="s">
        <v>1540</v>
      </c>
      <c r="G1212">
        <v>20170109</v>
      </c>
      <c r="H1212">
        <v>20170131</v>
      </c>
      <c r="I1212" t="s">
        <v>78</v>
      </c>
      <c r="K1212" t="s">
        <v>79</v>
      </c>
      <c r="L1212" t="s">
        <v>34</v>
      </c>
      <c r="M1212" t="s">
        <v>34</v>
      </c>
      <c r="N1212" t="s">
        <v>35</v>
      </c>
      <c r="O1212" t="s">
        <v>35</v>
      </c>
      <c r="P1212" t="s">
        <v>35</v>
      </c>
      <c r="Q1212" t="s">
        <v>35</v>
      </c>
      <c r="R1212" t="s">
        <v>35</v>
      </c>
      <c r="S1212" t="s">
        <v>34</v>
      </c>
      <c r="AD1212">
        <v>20170124</v>
      </c>
      <c r="AF1212" t="str">
        <f>IFERROR(VLOOKUP(RIGHT(TblFeedFile1[[#This Row],[Leave Type ]],6),LkupPayType[],2,FALSE),"TBD")</f>
        <v>TBD</v>
      </c>
      <c r="AG1212" t="str">
        <f>IFERROR(VLOOKUP(TblFeedFile1[[#This Row],[ Report Number ]],LkupPayrollCycle[],2,FALSE),"TBD")</f>
        <v>Semi-Monthly</v>
      </c>
      <c r="AH1212" t="str">
        <f>IF(TblFeedFile1[[#This Row],[Return to Work Date ]]="","","Y")</f>
        <v/>
      </c>
    </row>
    <row r="1213" spans="1:34" x14ac:dyDescent="0.25">
      <c r="A1213" t="s">
        <v>37</v>
      </c>
      <c r="B1213">
        <v>314304</v>
      </c>
      <c r="C1213">
        <v>28006711</v>
      </c>
      <c r="D1213" s="1">
        <v>561612208286</v>
      </c>
      <c r="E1213" t="s">
        <v>1539</v>
      </c>
      <c r="F1213" t="s">
        <v>1540</v>
      </c>
      <c r="G1213">
        <v>20170109</v>
      </c>
      <c r="H1213">
        <v>20170131</v>
      </c>
      <c r="I1213" t="s">
        <v>53</v>
      </c>
      <c r="L1213" t="s">
        <v>34</v>
      </c>
      <c r="M1213" t="s">
        <v>34</v>
      </c>
      <c r="N1213" t="s">
        <v>35</v>
      </c>
      <c r="O1213" t="s">
        <v>35</v>
      </c>
      <c r="P1213" t="s">
        <v>35</v>
      </c>
      <c r="Q1213" t="s">
        <v>35</v>
      </c>
      <c r="R1213" t="s">
        <v>35</v>
      </c>
      <c r="S1213" t="s">
        <v>34</v>
      </c>
      <c r="AD1213">
        <v>20170124</v>
      </c>
      <c r="AF1213" t="str">
        <f>IFERROR(VLOOKUP(RIGHT(TblFeedFile1[[#This Row],[Leave Type ]],6),LkupPayType[],2,FALSE),"TBD")</f>
        <v>TBD</v>
      </c>
      <c r="AG1213" t="str">
        <f>IFERROR(VLOOKUP(TblFeedFile1[[#This Row],[ Report Number ]],LkupPayrollCycle[],2,FALSE),"TBD")</f>
        <v>Bi-Weekly</v>
      </c>
      <c r="AH1213" t="str">
        <f>IF(TblFeedFile1[[#This Row],[Return to Work Date ]]="","","Y")</f>
        <v/>
      </c>
    </row>
    <row r="1214" spans="1:34" x14ac:dyDescent="0.25">
      <c r="A1214" t="s">
        <v>37</v>
      </c>
      <c r="B1214">
        <v>314304</v>
      </c>
      <c r="C1214">
        <v>28006711</v>
      </c>
      <c r="D1214" s="1">
        <v>561612208286</v>
      </c>
      <c r="E1214" t="s">
        <v>1539</v>
      </c>
      <c r="F1214" t="s">
        <v>1540</v>
      </c>
      <c r="G1214">
        <v>20170116</v>
      </c>
      <c r="H1214">
        <v>20170131</v>
      </c>
      <c r="I1214" t="s">
        <v>40</v>
      </c>
      <c r="L1214" t="s">
        <v>34</v>
      </c>
      <c r="M1214" t="s">
        <v>34</v>
      </c>
      <c r="N1214" t="s">
        <v>35</v>
      </c>
      <c r="O1214" t="s">
        <v>35</v>
      </c>
      <c r="P1214" t="s">
        <v>35</v>
      </c>
      <c r="Q1214" t="s">
        <v>35</v>
      </c>
      <c r="R1214" t="s">
        <v>35</v>
      </c>
      <c r="S1214" t="s">
        <v>34</v>
      </c>
      <c r="Y1214">
        <v>170</v>
      </c>
      <c r="Z1214" t="s">
        <v>341</v>
      </c>
      <c r="AA1214">
        <v>20170116</v>
      </c>
      <c r="AB1214">
        <v>20170709</v>
      </c>
      <c r="AD1214">
        <v>20170124</v>
      </c>
      <c r="AF1214" t="str">
        <f>IFERROR(VLOOKUP(RIGHT(TblFeedFile1[[#This Row],[Leave Type ]],6),LkupPayType[],2,FALSE),"TBD")</f>
        <v>TBD</v>
      </c>
      <c r="AG1214" t="str">
        <f>IFERROR(VLOOKUP(TblFeedFile1[[#This Row],[ Report Number ]],LkupPayrollCycle[],2,FALSE),"TBD")</f>
        <v>Bi-Weekly</v>
      </c>
      <c r="AH1214" t="str">
        <f>IF(TblFeedFile1[[#This Row],[Return to Work Date ]]="","","Y")</f>
        <v/>
      </c>
    </row>
    <row r="1215" spans="1:34" x14ac:dyDescent="0.25">
      <c r="A1215" t="s">
        <v>37</v>
      </c>
      <c r="B1215">
        <v>314304</v>
      </c>
      <c r="C1215">
        <v>28008689</v>
      </c>
      <c r="D1215" s="1">
        <v>561701198696</v>
      </c>
      <c r="E1215" t="s">
        <v>1541</v>
      </c>
      <c r="F1215" t="s">
        <v>808</v>
      </c>
      <c r="G1215">
        <v>20170121</v>
      </c>
      <c r="H1215">
        <v>20170214</v>
      </c>
      <c r="I1215" t="s">
        <v>40</v>
      </c>
      <c r="L1215" t="s">
        <v>34</v>
      </c>
      <c r="M1215" t="s">
        <v>34</v>
      </c>
      <c r="N1215" t="s">
        <v>35</v>
      </c>
      <c r="O1215" t="s">
        <v>35</v>
      </c>
      <c r="P1215" t="s">
        <v>35</v>
      </c>
      <c r="Q1215" t="s">
        <v>35</v>
      </c>
      <c r="R1215" t="s">
        <v>35</v>
      </c>
      <c r="S1215" t="s">
        <v>34</v>
      </c>
      <c r="AD1215">
        <v>20170124</v>
      </c>
      <c r="AF1215" t="str">
        <f>IFERROR(VLOOKUP(RIGHT(TblFeedFile1[[#This Row],[Leave Type ]],6),LkupPayType[],2,FALSE),"TBD")</f>
        <v>TBD</v>
      </c>
      <c r="AG1215" t="str">
        <f>IFERROR(VLOOKUP(TblFeedFile1[[#This Row],[ Report Number ]],LkupPayrollCycle[],2,FALSE),"TBD")</f>
        <v>Bi-Weekly</v>
      </c>
      <c r="AH1215" t="str">
        <f>IF(TblFeedFile1[[#This Row],[Return to Work Date ]]="","","Y")</f>
        <v/>
      </c>
    </row>
    <row r="1216" spans="1:34" x14ac:dyDescent="0.25">
      <c r="A1216" t="s">
        <v>29</v>
      </c>
      <c r="B1216">
        <v>314305</v>
      </c>
      <c r="C1216">
        <v>28013532</v>
      </c>
      <c r="D1216" s="1" t="s">
        <v>1542</v>
      </c>
      <c r="E1216" t="s">
        <v>1543</v>
      </c>
      <c r="F1216" t="s">
        <v>1544</v>
      </c>
      <c r="G1216">
        <v>20161004</v>
      </c>
      <c r="H1216">
        <v>20161230</v>
      </c>
      <c r="I1216" t="s">
        <v>537</v>
      </c>
      <c r="L1216" t="s">
        <v>34</v>
      </c>
      <c r="M1216" t="s">
        <v>34</v>
      </c>
      <c r="N1216" t="s">
        <v>35</v>
      </c>
      <c r="O1216" t="s">
        <v>35</v>
      </c>
      <c r="P1216" t="s">
        <v>35</v>
      </c>
      <c r="Q1216" t="s">
        <v>35</v>
      </c>
      <c r="R1216" t="s">
        <v>35</v>
      </c>
      <c r="S1216" t="s">
        <v>34</v>
      </c>
      <c r="AC1216" t="s">
        <v>35</v>
      </c>
      <c r="AD1216">
        <v>20170124</v>
      </c>
      <c r="AF1216" t="str">
        <f>IFERROR(VLOOKUP(RIGHT(TblFeedFile1[[#This Row],[Leave Type ]],6),LkupPayType[],2,FALSE),"TBD")</f>
        <v>TBD</v>
      </c>
      <c r="AG1216" t="str">
        <f>IFERROR(VLOOKUP(TblFeedFile1[[#This Row],[ Report Number ]],LkupPayrollCycle[],2,FALSE),"TBD")</f>
        <v>Bi-Weekly</v>
      </c>
      <c r="AH1216" t="str">
        <f>IF(TblFeedFile1[[#This Row],[Return to Work Date ]]="","","Y")</f>
        <v/>
      </c>
    </row>
    <row r="1217" spans="1:34" x14ac:dyDescent="0.25">
      <c r="A1217" t="s">
        <v>29</v>
      </c>
      <c r="B1217">
        <v>314305</v>
      </c>
      <c r="C1217">
        <v>28013532</v>
      </c>
      <c r="D1217" s="1" t="s">
        <v>1542</v>
      </c>
      <c r="E1217" t="s">
        <v>1543</v>
      </c>
      <c r="F1217" t="s">
        <v>1544</v>
      </c>
      <c r="G1217">
        <v>20160805</v>
      </c>
      <c r="H1217">
        <v>20161230</v>
      </c>
      <c r="I1217" t="s">
        <v>303</v>
      </c>
      <c r="L1217" t="s">
        <v>34</v>
      </c>
      <c r="M1217" t="s">
        <v>34</v>
      </c>
      <c r="N1217" t="s">
        <v>35</v>
      </c>
      <c r="O1217" t="s">
        <v>35</v>
      </c>
      <c r="P1217" t="s">
        <v>35</v>
      </c>
      <c r="Q1217" t="s">
        <v>35</v>
      </c>
      <c r="R1217" t="s">
        <v>35</v>
      </c>
      <c r="S1217" t="s">
        <v>34</v>
      </c>
      <c r="AC1217" t="s">
        <v>35</v>
      </c>
      <c r="AD1217">
        <v>20170124</v>
      </c>
      <c r="AF1217" t="str">
        <f>IFERROR(VLOOKUP(RIGHT(TblFeedFile1[[#This Row],[Leave Type ]],6),LkupPayType[],2,FALSE),"TBD")</f>
        <v>TBD</v>
      </c>
      <c r="AG1217" t="str">
        <f>IFERROR(VLOOKUP(TblFeedFile1[[#This Row],[ Report Number ]],LkupPayrollCycle[],2,FALSE),"TBD")</f>
        <v>Bi-Weekly</v>
      </c>
      <c r="AH1217" t="str">
        <f>IF(TblFeedFile1[[#This Row],[Return to Work Date ]]="","","Y")</f>
        <v/>
      </c>
    </row>
    <row r="1218" spans="1:34" x14ac:dyDescent="0.25">
      <c r="A1218" t="s">
        <v>29</v>
      </c>
      <c r="B1218">
        <v>314305</v>
      </c>
      <c r="C1218">
        <v>28013532</v>
      </c>
      <c r="D1218" s="1" t="s">
        <v>1542</v>
      </c>
      <c r="E1218" t="s">
        <v>1543</v>
      </c>
      <c r="F1218" t="s">
        <v>1544</v>
      </c>
      <c r="G1218">
        <v>20160706</v>
      </c>
      <c r="H1218">
        <v>20161230</v>
      </c>
      <c r="I1218" t="s">
        <v>423</v>
      </c>
      <c r="L1218" t="s">
        <v>34</v>
      </c>
      <c r="M1218" t="s">
        <v>34</v>
      </c>
      <c r="N1218" t="s">
        <v>35</v>
      </c>
      <c r="O1218" t="s">
        <v>35</v>
      </c>
      <c r="P1218" t="s">
        <v>35</v>
      </c>
      <c r="Q1218" t="s">
        <v>35</v>
      </c>
      <c r="R1218" t="s">
        <v>35</v>
      </c>
      <c r="S1218" t="s">
        <v>34</v>
      </c>
      <c r="AC1218" t="s">
        <v>35</v>
      </c>
      <c r="AD1218">
        <v>20170124</v>
      </c>
      <c r="AF1218" t="str">
        <f>IFERROR(VLOOKUP(RIGHT(TblFeedFile1[[#This Row],[Leave Type ]],6),LkupPayType[],2,FALSE),"TBD")</f>
        <v>TBD</v>
      </c>
      <c r="AG1218" t="str">
        <f>IFERROR(VLOOKUP(TblFeedFile1[[#This Row],[ Report Number ]],LkupPayrollCycle[],2,FALSE),"TBD")</f>
        <v>Bi-Weekly</v>
      </c>
      <c r="AH1218" t="str">
        <f>IF(TblFeedFile1[[#This Row],[Return to Work Date ]]="","","Y")</f>
        <v/>
      </c>
    </row>
    <row r="1219" spans="1:34" x14ac:dyDescent="0.25">
      <c r="A1219" t="s">
        <v>37</v>
      </c>
      <c r="B1219">
        <v>314305</v>
      </c>
      <c r="C1219">
        <v>28013532</v>
      </c>
      <c r="D1219" s="1" t="s">
        <v>1542</v>
      </c>
      <c r="E1219" t="s">
        <v>1543</v>
      </c>
      <c r="F1219" t="s">
        <v>1544</v>
      </c>
      <c r="G1219">
        <v>20161004</v>
      </c>
      <c r="H1219">
        <v>20161230</v>
      </c>
      <c r="I1219" t="s">
        <v>201</v>
      </c>
      <c r="L1219" t="s">
        <v>34</v>
      </c>
      <c r="M1219" t="s">
        <v>34</v>
      </c>
      <c r="N1219" t="s">
        <v>35</v>
      </c>
      <c r="O1219" t="s">
        <v>35</v>
      </c>
      <c r="P1219" t="s">
        <v>35</v>
      </c>
      <c r="Q1219" t="s">
        <v>35</v>
      </c>
      <c r="R1219" t="s">
        <v>35</v>
      </c>
      <c r="S1219" t="s">
        <v>34</v>
      </c>
      <c r="AC1219" t="s">
        <v>35</v>
      </c>
      <c r="AD1219">
        <v>20170124</v>
      </c>
      <c r="AF1219" t="str">
        <f>IFERROR(VLOOKUP(RIGHT(TblFeedFile1[[#This Row],[Leave Type ]],6),LkupPayType[],2,FALSE),"TBD")</f>
        <v>TBD</v>
      </c>
      <c r="AG1219" t="str">
        <f>IFERROR(VLOOKUP(TblFeedFile1[[#This Row],[ Report Number ]],LkupPayrollCycle[],2,FALSE),"TBD")</f>
        <v>Bi-Weekly</v>
      </c>
      <c r="AH1219" t="str">
        <f>IF(TblFeedFile1[[#This Row],[Return to Work Date ]]="","","Y")</f>
        <v/>
      </c>
    </row>
    <row r="1220" spans="1:34" x14ac:dyDescent="0.25">
      <c r="A1220" t="s">
        <v>29</v>
      </c>
      <c r="B1220">
        <v>314301</v>
      </c>
      <c r="C1220">
        <v>28036620</v>
      </c>
      <c r="D1220" s="1" t="s">
        <v>1545</v>
      </c>
      <c r="E1220" t="s">
        <v>1546</v>
      </c>
      <c r="F1220" t="s">
        <v>1507</v>
      </c>
      <c r="G1220">
        <v>20161205</v>
      </c>
      <c r="H1220">
        <v>20170120</v>
      </c>
      <c r="I1220" t="s">
        <v>223</v>
      </c>
      <c r="L1220" t="s">
        <v>34</v>
      </c>
      <c r="M1220" t="s">
        <v>34</v>
      </c>
      <c r="N1220" t="s">
        <v>35</v>
      </c>
      <c r="O1220" t="s">
        <v>35</v>
      </c>
      <c r="P1220" t="s">
        <v>35</v>
      </c>
      <c r="Q1220" t="s">
        <v>35</v>
      </c>
      <c r="R1220" t="s">
        <v>35</v>
      </c>
      <c r="S1220" t="s">
        <v>34</v>
      </c>
      <c r="AC1220" t="s">
        <v>35</v>
      </c>
      <c r="AD1220">
        <v>20170124</v>
      </c>
      <c r="AF1220" t="str">
        <f>IFERROR(VLOOKUP(RIGHT(TblFeedFile1[[#This Row],[Leave Type ]],6),LkupPayType[],2,FALSE),"TBD")</f>
        <v>TBD</v>
      </c>
      <c r="AG1220" t="str">
        <f>IFERROR(VLOOKUP(TblFeedFile1[[#This Row],[ Report Number ]],LkupPayrollCycle[],2,FALSE),"TBD")</f>
        <v>Semi-Monthly</v>
      </c>
      <c r="AH1220" t="str">
        <f>IF(TblFeedFile1[[#This Row],[Return to Work Date ]]="","","Y")</f>
        <v/>
      </c>
    </row>
    <row r="1221" spans="1:34" x14ac:dyDescent="0.25">
      <c r="A1221" t="s">
        <v>37</v>
      </c>
      <c r="B1221">
        <v>314301</v>
      </c>
      <c r="C1221">
        <v>28036620</v>
      </c>
      <c r="D1221" s="1" t="s">
        <v>1545</v>
      </c>
      <c r="E1221" t="s">
        <v>1546</v>
      </c>
      <c r="F1221" t="s">
        <v>1507</v>
      </c>
      <c r="G1221">
        <v>20161205</v>
      </c>
      <c r="H1221">
        <v>20170122</v>
      </c>
      <c r="I1221" t="s">
        <v>223</v>
      </c>
      <c r="L1221" t="s">
        <v>34</v>
      </c>
      <c r="M1221" t="s">
        <v>34</v>
      </c>
      <c r="N1221" t="s">
        <v>35</v>
      </c>
      <c r="O1221" t="s">
        <v>35</v>
      </c>
      <c r="P1221" t="s">
        <v>35</v>
      </c>
      <c r="Q1221" t="s">
        <v>35</v>
      </c>
      <c r="R1221" t="s">
        <v>35</v>
      </c>
      <c r="S1221" t="s">
        <v>34</v>
      </c>
      <c r="T1221">
        <v>20170123</v>
      </c>
      <c r="AC1221" t="s">
        <v>35</v>
      </c>
      <c r="AD1221">
        <v>20170124</v>
      </c>
      <c r="AF1221" t="str">
        <f>IFERROR(VLOOKUP(RIGHT(TblFeedFile1[[#This Row],[Leave Type ]],6),LkupPayType[],2,FALSE),"TBD")</f>
        <v>TBD</v>
      </c>
      <c r="AG1221" t="str">
        <f>IFERROR(VLOOKUP(TblFeedFile1[[#This Row],[ Report Number ]],LkupPayrollCycle[],2,FALSE),"TBD")</f>
        <v>Semi-Monthly</v>
      </c>
      <c r="AH1221" t="str">
        <f>IF(TblFeedFile1[[#This Row],[Return to Work Date ]]="","","Y")</f>
        <v>Y</v>
      </c>
    </row>
    <row r="1222" spans="1:34" x14ac:dyDescent="0.25">
      <c r="A1222" t="s">
        <v>37</v>
      </c>
      <c r="B1222">
        <v>314304</v>
      </c>
      <c r="C1222">
        <v>28054261</v>
      </c>
      <c r="D1222" s="1" t="s">
        <v>1547</v>
      </c>
      <c r="E1222" t="s">
        <v>1548</v>
      </c>
      <c r="F1222" t="s">
        <v>1536</v>
      </c>
      <c r="G1222">
        <v>20170120</v>
      </c>
      <c r="H1222">
        <v>20170129</v>
      </c>
      <c r="I1222" t="s">
        <v>78</v>
      </c>
      <c r="K1222" t="s">
        <v>79</v>
      </c>
      <c r="L1222" t="s">
        <v>35</v>
      </c>
      <c r="AD1222">
        <v>20170124</v>
      </c>
      <c r="AF1222" t="str">
        <f>IFERROR(VLOOKUP(RIGHT(TblFeedFile1[[#This Row],[Leave Type ]],6),LkupPayType[],2,FALSE),"TBD")</f>
        <v>TBD</v>
      </c>
      <c r="AG1222" t="str">
        <f>IFERROR(VLOOKUP(TblFeedFile1[[#This Row],[ Report Number ]],LkupPayrollCycle[],2,FALSE),"TBD")</f>
        <v>Bi-Weekly</v>
      </c>
      <c r="AH1222" t="str">
        <f>IF(TblFeedFile1[[#This Row],[Return to Work Date ]]="","","Y")</f>
        <v/>
      </c>
    </row>
    <row r="1223" spans="1:34" x14ac:dyDescent="0.25">
      <c r="A1223" t="s">
        <v>37</v>
      </c>
      <c r="B1223">
        <v>314304</v>
      </c>
      <c r="C1223">
        <v>28067792</v>
      </c>
      <c r="D1223" s="1">
        <v>501701128578</v>
      </c>
      <c r="E1223" t="s">
        <v>1549</v>
      </c>
      <c r="F1223" t="s">
        <v>1550</v>
      </c>
      <c r="G1223">
        <v>20170123</v>
      </c>
      <c r="H1223">
        <v>20170221</v>
      </c>
      <c r="I1223" t="s">
        <v>40</v>
      </c>
      <c r="L1223" t="s">
        <v>34</v>
      </c>
      <c r="M1223" t="s">
        <v>34</v>
      </c>
      <c r="N1223" t="s">
        <v>35</v>
      </c>
      <c r="O1223" t="s">
        <v>35</v>
      </c>
      <c r="P1223" t="s">
        <v>35</v>
      </c>
      <c r="Q1223" t="s">
        <v>35</v>
      </c>
      <c r="R1223" t="s">
        <v>35</v>
      </c>
      <c r="S1223" t="s">
        <v>34</v>
      </c>
      <c r="AD1223">
        <v>20170124</v>
      </c>
      <c r="AF1223" t="str">
        <f>IFERROR(VLOOKUP(RIGHT(TblFeedFile1[[#This Row],[Leave Type ]],6),LkupPayType[],2,FALSE),"TBD")</f>
        <v>TBD</v>
      </c>
      <c r="AG1223" t="str">
        <f>IFERROR(VLOOKUP(TblFeedFile1[[#This Row],[ Report Number ]],LkupPayrollCycle[],2,FALSE),"TBD")</f>
        <v>Bi-Weekly</v>
      </c>
      <c r="AH1223" t="str">
        <f>IF(TblFeedFile1[[#This Row],[Return to Work Date ]]="","","Y")</f>
        <v/>
      </c>
    </row>
    <row r="1224" spans="1:34" x14ac:dyDescent="0.25">
      <c r="A1224" t="s">
        <v>37</v>
      </c>
      <c r="B1224">
        <v>314304</v>
      </c>
      <c r="C1224">
        <v>28070688</v>
      </c>
      <c r="D1224" s="1">
        <v>511701238091</v>
      </c>
      <c r="E1224" t="s">
        <v>1222</v>
      </c>
      <c r="F1224" t="s">
        <v>1551</v>
      </c>
      <c r="G1224">
        <v>20170117</v>
      </c>
      <c r="H1224">
        <v>20170331</v>
      </c>
      <c r="I1224" t="s">
        <v>53</v>
      </c>
      <c r="L1224" t="s">
        <v>34</v>
      </c>
      <c r="M1224" t="s">
        <v>34</v>
      </c>
      <c r="N1224" t="s">
        <v>35</v>
      </c>
      <c r="O1224" t="s">
        <v>35</v>
      </c>
      <c r="P1224" t="s">
        <v>35</v>
      </c>
      <c r="Q1224" t="s">
        <v>35</v>
      </c>
      <c r="R1224" t="s">
        <v>35</v>
      </c>
      <c r="S1224" t="s">
        <v>34</v>
      </c>
      <c r="AD1224">
        <v>20170124</v>
      </c>
      <c r="AF1224" t="str">
        <f>IFERROR(VLOOKUP(RIGHT(TblFeedFile1[[#This Row],[Leave Type ]],6),LkupPayType[],2,FALSE),"TBD")</f>
        <v>TBD</v>
      </c>
      <c r="AG1224" t="str">
        <f>IFERROR(VLOOKUP(TblFeedFile1[[#This Row],[ Report Number ]],LkupPayrollCycle[],2,FALSE),"TBD")</f>
        <v>Bi-Weekly</v>
      </c>
      <c r="AH1224" t="str">
        <f>IF(TblFeedFile1[[#This Row],[Return to Work Date ]]="","","Y")</f>
        <v/>
      </c>
    </row>
    <row r="1225" spans="1:34" x14ac:dyDescent="0.25">
      <c r="A1225" t="s">
        <v>37</v>
      </c>
      <c r="B1225">
        <v>314304</v>
      </c>
      <c r="C1225">
        <v>28070688</v>
      </c>
      <c r="D1225" s="1">
        <v>511701238091</v>
      </c>
      <c r="E1225" t="s">
        <v>1222</v>
      </c>
      <c r="F1225" t="s">
        <v>1551</v>
      </c>
      <c r="G1225">
        <v>20170124</v>
      </c>
      <c r="H1225">
        <v>20170331</v>
      </c>
      <c r="I1225" t="s">
        <v>40</v>
      </c>
      <c r="L1225" t="s">
        <v>34</v>
      </c>
      <c r="M1225" t="s">
        <v>34</v>
      </c>
      <c r="N1225" t="s">
        <v>35</v>
      </c>
      <c r="O1225" t="s">
        <v>35</v>
      </c>
      <c r="P1225" t="s">
        <v>35</v>
      </c>
      <c r="Q1225" t="s">
        <v>35</v>
      </c>
      <c r="R1225" t="s">
        <v>35</v>
      </c>
      <c r="S1225" t="s">
        <v>34</v>
      </c>
      <c r="AD1225">
        <v>20170124</v>
      </c>
      <c r="AF1225" t="str">
        <f>IFERROR(VLOOKUP(RIGHT(TblFeedFile1[[#This Row],[Leave Type ]],6),LkupPayType[],2,FALSE),"TBD")</f>
        <v>TBD</v>
      </c>
      <c r="AG1225" t="str">
        <f>IFERROR(VLOOKUP(TblFeedFile1[[#This Row],[ Report Number ]],LkupPayrollCycle[],2,FALSE),"TBD")</f>
        <v>Bi-Weekly</v>
      </c>
      <c r="AH1225" t="str">
        <f>IF(TblFeedFile1[[#This Row],[Return to Work Date ]]="","","Y")</f>
        <v/>
      </c>
    </row>
    <row r="1226" spans="1:34" x14ac:dyDescent="0.25">
      <c r="A1226" t="s">
        <v>29</v>
      </c>
      <c r="B1226">
        <v>314304</v>
      </c>
      <c r="C1226">
        <v>28075210</v>
      </c>
      <c r="D1226" s="1">
        <v>501701098748</v>
      </c>
      <c r="E1226" t="s">
        <v>1552</v>
      </c>
      <c r="F1226" t="s">
        <v>1553</v>
      </c>
      <c r="G1226">
        <v>20170116</v>
      </c>
      <c r="H1226">
        <v>20170311</v>
      </c>
      <c r="I1226" t="s">
        <v>53</v>
      </c>
      <c r="L1226" t="s">
        <v>34</v>
      </c>
      <c r="M1226" t="s">
        <v>34</v>
      </c>
      <c r="N1226" t="s">
        <v>35</v>
      </c>
      <c r="O1226" t="s">
        <v>35</v>
      </c>
      <c r="P1226" t="s">
        <v>35</v>
      </c>
      <c r="Q1226" t="s">
        <v>35</v>
      </c>
      <c r="R1226" t="s">
        <v>35</v>
      </c>
      <c r="S1226" t="s">
        <v>34</v>
      </c>
      <c r="AD1226">
        <v>20170124</v>
      </c>
      <c r="AF1226" t="str">
        <f>IFERROR(VLOOKUP(RIGHT(TblFeedFile1[[#This Row],[Leave Type ]],6),LkupPayType[],2,FALSE),"TBD")</f>
        <v>TBD</v>
      </c>
      <c r="AG1226" t="str">
        <f>IFERROR(VLOOKUP(TblFeedFile1[[#This Row],[ Report Number ]],LkupPayrollCycle[],2,FALSE),"TBD")</f>
        <v>Bi-Weekly</v>
      </c>
      <c r="AH1226" t="str">
        <f>IF(TblFeedFile1[[#This Row],[Return to Work Date ]]="","","Y")</f>
        <v/>
      </c>
    </row>
    <row r="1227" spans="1:34" x14ac:dyDescent="0.25">
      <c r="A1227" t="s">
        <v>37</v>
      </c>
      <c r="B1227">
        <v>314304</v>
      </c>
      <c r="C1227">
        <v>28075210</v>
      </c>
      <c r="D1227" s="1" t="s">
        <v>1554</v>
      </c>
      <c r="E1227" t="s">
        <v>1552</v>
      </c>
      <c r="F1227" t="s">
        <v>1553</v>
      </c>
      <c r="G1227">
        <v>20170115</v>
      </c>
      <c r="H1227">
        <v>20170506</v>
      </c>
      <c r="I1227" t="s">
        <v>78</v>
      </c>
      <c r="K1227" t="s">
        <v>79</v>
      </c>
      <c r="L1227" t="s">
        <v>34</v>
      </c>
      <c r="M1227" t="s">
        <v>34</v>
      </c>
      <c r="N1227" t="s">
        <v>35</v>
      </c>
      <c r="O1227" t="s">
        <v>35</v>
      </c>
      <c r="P1227" t="s">
        <v>35</v>
      </c>
      <c r="Q1227" t="s">
        <v>35</v>
      </c>
      <c r="R1227" t="s">
        <v>35</v>
      </c>
      <c r="S1227" t="s">
        <v>34</v>
      </c>
      <c r="AD1227">
        <v>20170124</v>
      </c>
      <c r="AF1227" t="str">
        <f>IFERROR(VLOOKUP(RIGHT(TblFeedFile1[[#This Row],[Leave Type ]],6),LkupPayType[],2,FALSE),"TBD")</f>
        <v>TBD</v>
      </c>
      <c r="AG1227" t="str">
        <f>IFERROR(VLOOKUP(TblFeedFile1[[#This Row],[ Report Number ]],LkupPayrollCycle[],2,FALSE),"TBD")</f>
        <v>Bi-Weekly</v>
      </c>
      <c r="AH1227" t="str">
        <f>IF(TblFeedFile1[[#This Row],[Return to Work Date ]]="","","Y")</f>
        <v/>
      </c>
    </row>
    <row r="1228" spans="1:34" x14ac:dyDescent="0.25">
      <c r="A1228" t="s">
        <v>37</v>
      </c>
      <c r="B1228">
        <v>314304</v>
      </c>
      <c r="C1228">
        <v>28075210</v>
      </c>
      <c r="D1228" s="1">
        <v>501701098748</v>
      </c>
      <c r="E1228" t="s">
        <v>1552</v>
      </c>
      <c r="F1228" t="s">
        <v>1553</v>
      </c>
      <c r="G1228">
        <v>20170116</v>
      </c>
      <c r="H1228">
        <v>20170506</v>
      </c>
      <c r="I1228" t="s">
        <v>53</v>
      </c>
      <c r="L1228" t="s">
        <v>34</v>
      </c>
      <c r="M1228" t="s">
        <v>34</v>
      </c>
      <c r="N1228" t="s">
        <v>35</v>
      </c>
      <c r="O1228" t="s">
        <v>35</v>
      </c>
      <c r="P1228" t="s">
        <v>35</v>
      </c>
      <c r="Q1228" t="s">
        <v>35</v>
      </c>
      <c r="R1228" t="s">
        <v>35</v>
      </c>
      <c r="S1228" t="s">
        <v>34</v>
      </c>
      <c r="AD1228">
        <v>20170124</v>
      </c>
      <c r="AF1228" t="str">
        <f>IFERROR(VLOOKUP(RIGHT(TblFeedFile1[[#This Row],[Leave Type ]],6),LkupPayType[],2,FALSE),"TBD")</f>
        <v>TBD</v>
      </c>
      <c r="AG1228" t="str">
        <f>IFERROR(VLOOKUP(TblFeedFile1[[#This Row],[ Report Number ]],LkupPayrollCycle[],2,FALSE),"TBD")</f>
        <v>Bi-Weekly</v>
      </c>
      <c r="AH1228" t="str">
        <f>IF(TblFeedFile1[[#This Row],[Return to Work Date ]]="","","Y")</f>
        <v/>
      </c>
    </row>
    <row r="1229" spans="1:34" x14ac:dyDescent="0.25">
      <c r="A1229" t="s">
        <v>37</v>
      </c>
      <c r="B1229">
        <v>314304</v>
      </c>
      <c r="C1229">
        <v>28075210</v>
      </c>
      <c r="D1229" s="1">
        <v>501701098748</v>
      </c>
      <c r="E1229" t="s">
        <v>1552</v>
      </c>
      <c r="F1229" t="s">
        <v>1553</v>
      </c>
      <c r="G1229">
        <v>20170123</v>
      </c>
      <c r="H1229">
        <v>20170506</v>
      </c>
      <c r="I1229" t="s">
        <v>40</v>
      </c>
      <c r="L1229" t="s">
        <v>34</v>
      </c>
      <c r="M1229" t="s">
        <v>34</v>
      </c>
      <c r="N1229" t="s">
        <v>35</v>
      </c>
      <c r="O1229" t="s">
        <v>35</v>
      </c>
      <c r="P1229" t="s">
        <v>35</v>
      </c>
      <c r="Q1229" t="s">
        <v>35</v>
      </c>
      <c r="R1229" t="s">
        <v>35</v>
      </c>
      <c r="S1229" t="s">
        <v>34</v>
      </c>
      <c r="AD1229">
        <v>20170124</v>
      </c>
      <c r="AF1229" t="str">
        <f>IFERROR(VLOOKUP(RIGHT(TblFeedFile1[[#This Row],[Leave Type ]],6),LkupPayType[],2,FALSE),"TBD")</f>
        <v>TBD</v>
      </c>
      <c r="AG1229" t="str">
        <f>IFERROR(VLOOKUP(TblFeedFile1[[#This Row],[ Report Number ]],LkupPayrollCycle[],2,FALSE),"TBD")</f>
        <v>Bi-Weekly</v>
      </c>
      <c r="AH1229" t="str">
        <f>IF(TblFeedFile1[[#This Row],[Return to Work Date ]]="","","Y")</f>
        <v/>
      </c>
    </row>
    <row r="1230" spans="1:34" x14ac:dyDescent="0.25">
      <c r="A1230" t="s">
        <v>37</v>
      </c>
      <c r="B1230">
        <v>314301</v>
      </c>
      <c r="C1230">
        <v>28078356</v>
      </c>
      <c r="D1230" s="1" t="s">
        <v>1555</v>
      </c>
      <c r="E1230" t="s">
        <v>1556</v>
      </c>
      <c r="F1230" t="s">
        <v>1557</v>
      </c>
      <c r="G1230">
        <v>20161212</v>
      </c>
      <c r="H1230">
        <v>20170120</v>
      </c>
      <c r="I1230" t="s">
        <v>223</v>
      </c>
      <c r="L1230" t="s">
        <v>34</v>
      </c>
      <c r="M1230" t="s">
        <v>34</v>
      </c>
      <c r="N1230" t="s">
        <v>35</v>
      </c>
      <c r="O1230" t="s">
        <v>35</v>
      </c>
      <c r="P1230" t="s">
        <v>35</v>
      </c>
      <c r="Q1230" t="s">
        <v>35</v>
      </c>
      <c r="R1230" t="s">
        <v>35</v>
      </c>
      <c r="S1230" t="s">
        <v>34</v>
      </c>
      <c r="T1230">
        <v>20170123</v>
      </c>
      <c r="AC1230" t="s">
        <v>35</v>
      </c>
      <c r="AD1230">
        <v>20170124</v>
      </c>
      <c r="AF1230" t="str">
        <f>IFERROR(VLOOKUP(RIGHT(TblFeedFile1[[#This Row],[Leave Type ]],6),LkupPayType[],2,FALSE),"TBD")</f>
        <v>TBD</v>
      </c>
      <c r="AG1230" t="str">
        <f>IFERROR(VLOOKUP(TblFeedFile1[[#This Row],[ Report Number ]],LkupPayrollCycle[],2,FALSE),"TBD")</f>
        <v>Semi-Monthly</v>
      </c>
      <c r="AH1230" t="str">
        <f>IF(TblFeedFile1[[#This Row],[Return to Work Date ]]="","","Y")</f>
        <v>Y</v>
      </c>
    </row>
    <row r="1231" spans="1:34" x14ac:dyDescent="0.25">
      <c r="A1231" t="s">
        <v>29</v>
      </c>
      <c r="B1231">
        <v>314301</v>
      </c>
      <c r="C1231">
        <v>28078536</v>
      </c>
      <c r="D1231" s="1" t="s">
        <v>1558</v>
      </c>
      <c r="E1231" t="s">
        <v>1559</v>
      </c>
      <c r="F1231" t="s">
        <v>1560</v>
      </c>
      <c r="G1231">
        <v>20160912</v>
      </c>
      <c r="H1231">
        <v>20170308</v>
      </c>
      <c r="I1231" t="s">
        <v>127</v>
      </c>
      <c r="L1231" t="s">
        <v>34</v>
      </c>
      <c r="M1231" t="s">
        <v>34</v>
      </c>
      <c r="N1231" t="s">
        <v>35</v>
      </c>
      <c r="O1231" t="s">
        <v>35</v>
      </c>
      <c r="P1231" t="s">
        <v>35</v>
      </c>
      <c r="Q1231" t="s">
        <v>35</v>
      </c>
      <c r="R1231" t="s">
        <v>35</v>
      </c>
      <c r="S1231" t="s">
        <v>34</v>
      </c>
      <c r="AC1231" t="s">
        <v>35</v>
      </c>
      <c r="AD1231">
        <v>20170124</v>
      </c>
      <c r="AF1231" t="str">
        <f>IFERROR(VLOOKUP(RIGHT(TblFeedFile1[[#This Row],[Leave Type ]],6),LkupPayType[],2,FALSE),"TBD")</f>
        <v>TBD</v>
      </c>
      <c r="AG1231" t="str">
        <f>IFERROR(VLOOKUP(TblFeedFile1[[#This Row],[ Report Number ]],LkupPayrollCycle[],2,FALSE),"TBD")</f>
        <v>Semi-Monthly</v>
      </c>
      <c r="AH1231" t="str">
        <f>IF(TblFeedFile1[[#This Row],[Return to Work Date ]]="","","Y")</f>
        <v/>
      </c>
    </row>
    <row r="1232" spans="1:34" x14ac:dyDescent="0.25">
      <c r="A1232" t="s">
        <v>37</v>
      </c>
      <c r="B1232">
        <v>314301</v>
      </c>
      <c r="C1232">
        <v>28078536</v>
      </c>
      <c r="D1232" s="1" t="s">
        <v>1558</v>
      </c>
      <c r="E1232" t="s">
        <v>1559</v>
      </c>
      <c r="F1232" t="s">
        <v>1560</v>
      </c>
      <c r="G1232">
        <v>20160912</v>
      </c>
      <c r="H1232">
        <v>20170116</v>
      </c>
      <c r="I1232" t="s">
        <v>127</v>
      </c>
      <c r="L1232" t="s">
        <v>34</v>
      </c>
      <c r="M1232" t="s">
        <v>34</v>
      </c>
      <c r="N1232" t="s">
        <v>35</v>
      </c>
      <c r="O1232" t="s">
        <v>35</v>
      </c>
      <c r="P1232" t="s">
        <v>35</v>
      </c>
      <c r="Q1232" t="s">
        <v>35</v>
      </c>
      <c r="R1232" t="s">
        <v>35</v>
      </c>
      <c r="S1232" t="s">
        <v>34</v>
      </c>
      <c r="T1232">
        <v>20170117</v>
      </c>
      <c r="AC1232" t="s">
        <v>35</v>
      </c>
      <c r="AD1232">
        <v>20170124</v>
      </c>
      <c r="AF1232" t="str">
        <f>IFERROR(VLOOKUP(RIGHT(TblFeedFile1[[#This Row],[Leave Type ]],6),LkupPayType[],2,FALSE),"TBD")</f>
        <v>TBD</v>
      </c>
      <c r="AG1232" t="str">
        <f>IFERROR(VLOOKUP(TblFeedFile1[[#This Row],[ Report Number ]],LkupPayrollCycle[],2,FALSE),"TBD")</f>
        <v>Semi-Monthly</v>
      </c>
      <c r="AH1232" t="str">
        <f>IF(TblFeedFile1[[#This Row],[Return to Work Date ]]="","","Y")</f>
        <v>Y</v>
      </c>
    </row>
    <row r="1233" spans="1:34" x14ac:dyDescent="0.25">
      <c r="A1233" t="s">
        <v>29</v>
      </c>
      <c r="B1233">
        <v>314301</v>
      </c>
      <c r="C1233">
        <v>28091257</v>
      </c>
      <c r="D1233" s="1" t="s">
        <v>1561</v>
      </c>
      <c r="E1233" t="s">
        <v>1562</v>
      </c>
      <c r="F1233" t="s">
        <v>1563</v>
      </c>
      <c r="G1233">
        <v>20170114</v>
      </c>
      <c r="H1233">
        <v>20170114</v>
      </c>
      <c r="I1233" t="s">
        <v>33</v>
      </c>
      <c r="L1233" t="s">
        <v>34</v>
      </c>
      <c r="M1233" t="s">
        <v>34</v>
      </c>
      <c r="N1233" t="s">
        <v>35</v>
      </c>
      <c r="O1233" t="s">
        <v>35</v>
      </c>
      <c r="P1233" t="s">
        <v>35</v>
      </c>
      <c r="Q1233" t="s">
        <v>35</v>
      </c>
      <c r="R1233" t="s">
        <v>35</v>
      </c>
      <c r="S1233" t="s">
        <v>34</v>
      </c>
      <c r="AD1233">
        <v>20170124</v>
      </c>
      <c r="AF1233" t="str">
        <f>IFERROR(VLOOKUP(RIGHT(TblFeedFile1[[#This Row],[Leave Type ]],6),LkupPayType[],2,FALSE),"TBD")</f>
        <v>TBD</v>
      </c>
      <c r="AG1233" t="str">
        <f>IFERROR(VLOOKUP(TblFeedFile1[[#This Row],[ Report Number ]],LkupPayrollCycle[],2,FALSE),"TBD")</f>
        <v>Semi-Monthly</v>
      </c>
      <c r="AH1233" t="str">
        <f>IF(TblFeedFile1[[#This Row],[Return to Work Date ]]="","","Y")</f>
        <v/>
      </c>
    </row>
    <row r="1234" spans="1:34" x14ac:dyDescent="0.25">
      <c r="A1234" t="s">
        <v>37</v>
      </c>
      <c r="B1234">
        <v>314301</v>
      </c>
      <c r="C1234">
        <v>28091257</v>
      </c>
      <c r="D1234" s="1" t="s">
        <v>1561</v>
      </c>
      <c r="E1234" t="s">
        <v>1562</v>
      </c>
      <c r="F1234" t="s">
        <v>1563</v>
      </c>
      <c r="G1234">
        <v>20161216</v>
      </c>
      <c r="H1234">
        <v>20170113</v>
      </c>
      <c r="I1234" t="s">
        <v>223</v>
      </c>
      <c r="L1234" t="s">
        <v>34</v>
      </c>
      <c r="M1234" t="s">
        <v>34</v>
      </c>
      <c r="N1234" t="s">
        <v>35</v>
      </c>
      <c r="O1234" t="s">
        <v>35</v>
      </c>
      <c r="P1234" t="s">
        <v>35</v>
      </c>
      <c r="Q1234" t="s">
        <v>35</v>
      </c>
      <c r="R1234" t="s">
        <v>35</v>
      </c>
      <c r="S1234" t="s">
        <v>34</v>
      </c>
      <c r="T1234">
        <v>20170117</v>
      </c>
      <c r="AD1234">
        <v>20170124</v>
      </c>
      <c r="AF1234" t="str">
        <f>IFERROR(VLOOKUP(RIGHT(TblFeedFile1[[#This Row],[Leave Type ]],6),LkupPayType[],2,FALSE),"TBD")</f>
        <v>TBD</v>
      </c>
      <c r="AG1234" t="str">
        <f>IFERROR(VLOOKUP(TblFeedFile1[[#This Row],[ Report Number ]],LkupPayrollCycle[],2,FALSE),"TBD")</f>
        <v>Semi-Monthly</v>
      </c>
      <c r="AH1234" t="str">
        <f>IF(TblFeedFile1[[#This Row],[Return to Work Date ]]="","","Y")</f>
        <v>Y</v>
      </c>
    </row>
    <row r="1235" spans="1:34" x14ac:dyDescent="0.25">
      <c r="A1235" t="s">
        <v>37</v>
      </c>
      <c r="B1235">
        <v>314304</v>
      </c>
      <c r="C1235">
        <v>28122025</v>
      </c>
      <c r="D1235" s="1" t="s">
        <v>1564</v>
      </c>
      <c r="E1235" t="s">
        <v>1565</v>
      </c>
      <c r="F1235" t="s">
        <v>1566</v>
      </c>
      <c r="G1235">
        <v>20170121</v>
      </c>
      <c r="H1235">
        <v>20170121</v>
      </c>
      <c r="I1235" t="s">
        <v>33</v>
      </c>
      <c r="L1235" t="s">
        <v>34</v>
      </c>
      <c r="M1235" t="s">
        <v>34</v>
      </c>
      <c r="N1235" t="s">
        <v>35</v>
      </c>
      <c r="O1235" t="s">
        <v>35</v>
      </c>
      <c r="P1235" t="s">
        <v>35</v>
      </c>
      <c r="Q1235" t="s">
        <v>35</v>
      </c>
      <c r="R1235" t="s">
        <v>35</v>
      </c>
      <c r="S1235" t="s">
        <v>34</v>
      </c>
      <c r="AC1235" t="s">
        <v>35</v>
      </c>
      <c r="AD1235">
        <v>20170124</v>
      </c>
      <c r="AF1235" t="str">
        <f>IFERROR(VLOOKUP(RIGHT(TblFeedFile1[[#This Row],[Leave Type ]],6),LkupPayType[],2,FALSE),"TBD")</f>
        <v>TBD</v>
      </c>
      <c r="AG1235" t="str">
        <f>IFERROR(VLOOKUP(TblFeedFile1[[#This Row],[ Report Number ]],LkupPayrollCycle[],2,FALSE),"TBD")</f>
        <v>Bi-Weekly</v>
      </c>
      <c r="AH1235" t="str">
        <f>IF(TblFeedFile1[[#This Row],[Return to Work Date ]]="","","Y")</f>
        <v/>
      </c>
    </row>
    <row r="1236" spans="1:34" x14ac:dyDescent="0.25">
      <c r="A1236" t="s">
        <v>29</v>
      </c>
      <c r="B1236">
        <v>314304</v>
      </c>
      <c r="C1236">
        <v>28125142</v>
      </c>
      <c r="D1236" s="1" t="s">
        <v>1567</v>
      </c>
      <c r="E1236" t="s">
        <v>892</v>
      </c>
      <c r="F1236" t="s">
        <v>808</v>
      </c>
      <c r="G1236">
        <v>20170114</v>
      </c>
      <c r="H1236">
        <v>20170114</v>
      </c>
      <c r="I1236" t="s">
        <v>33</v>
      </c>
      <c r="L1236" t="s">
        <v>34</v>
      </c>
      <c r="M1236" t="s">
        <v>34</v>
      </c>
      <c r="N1236" t="s">
        <v>35</v>
      </c>
      <c r="O1236" t="s">
        <v>35</v>
      </c>
      <c r="P1236" t="s">
        <v>35</v>
      </c>
      <c r="Q1236" t="s">
        <v>35</v>
      </c>
      <c r="R1236" t="s">
        <v>35</v>
      </c>
      <c r="S1236" t="s">
        <v>34</v>
      </c>
      <c r="AD1236">
        <v>20170124</v>
      </c>
      <c r="AF1236" t="str">
        <f>IFERROR(VLOOKUP(RIGHT(TblFeedFile1[[#This Row],[Leave Type ]],6),LkupPayType[],2,FALSE),"TBD")</f>
        <v>TBD</v>
      </c>
      <c r="AG1236" t="str">
        <f>IFERROR(VLOOKUP(TblFeedFile1[[#This Row],[ Report Number ]],LkupPayrollCycle[],2,FALSE),"TBD")</f>
        <v>Bi-Weekly</v>
      </c>
      <c r="AH1236" t="str">
        <f>IF(TblFeedFile1[[#This Row],[Return to Work Date ]]="","","Y")</f>
        <v/>
      </c>
    </row>
    <row r="1237" spans="1:34" x14ac:dyDescent="0.25">
      <c r="A1237" t="s">
        <v>29</v>
      </c>
      <c r="B1237">
        <v>314304</v>
      </c>
      <c r="C1237">
        <v>28125142</v>
      </c>
      <c r="D1237" s="1" t="s">
        <v>1567</v>
      </c>
      <c r="E1237" t="s">
        <v>892</v>
      </c>
      <c r="F1237" t="s">
        <v>808</v>
      </c>
      <c r="G1237">
        <v>20170103</v>
      </c>
      <c r="H1237">
        <v>20170113</v>
      </c>
      <c r="I1237" t="s">
        <v>36</v>
      </c>
      <c r="L1237" t="s">
        <v>34</v>
      </c>
      <c r="M1237" t="s">
        <v>34</v>
      </c>
      <c r="N1237" t="s">
        <v>35</v>
      </c>
      <c r="O1237" t="s">
        <v>35</v>
      </c>
      <c r="P1237" t="s">
        <v>35</v>
      </c>
      <c r="Q1237" t="s">
        <v>35</v>
      </c>
      <c r="R1237" t="s">
        <v>35</v>
      </c>
      <c r="S1237" t="s">
        <v>34</v>
      </c>
      <c r="AD1237">
        <v>20170124</v>
      </c>
      <c r="AF1237" t="str">
        <f>IFERROR(VLOOKUP(RIGHT(TblFeedFile1[[#This Row],[Leave Type ]],6),LkupPayType[],2,FALSE),"TBD")</f>
        <v>TBD</v>
      </c>
      <c r="AG1237" t="str">
        <f>IFERROR(VLOOKUP(TblFeedFile1[[#This Row],[ Report Number ]],LkupPayrollCycle[],2,FALSE),"TBD")</f>
        <v>Bi-Weekly</v>
      </c>
      <c r="AH1237" t="str">
        <f>IF(TblFeedFile1[[#This Row],[Return to Work Date ]]="","","Y")</f>
        <v/>
      </c>
    </row>
    <row r="1238" spans="1:34" x14ac:dyDescent="0.25">
      <c r="A1238" t="s">
        <v>37</v>
      </c>
      <c r="B1238">
        <v>314304</v>
      </c>
      <c r="C1238">
        <v>28125142</v>
      </c>
      <c r="D1238" s="1" t="s">
        <v>1567</v>
      </c>
      <c r="E1238" t="s">
        <v>892</v>
      </c>
      <c r="F1238" t="s">
        <v>808</v>
      </c>
      <c r="G1238">
        <v>20170102</v>
      </c>
      <c r="H1238">
        <v>20170305</v>
      </c>
      <c r="I1238" t="s">
        <v>36</v>
      </c>
      <c r="L1238" t="s">
        <v>34</v>
      </c>
      <c r="M1238" t="s">
        <v>34</v>
      </c>
      <c r="N1238" t="s">
        <v>35</v>
      </c>
      <c r="O1238" t="s">
        <v>35</v>
      </c>
      <c r="P1238" t="s">
        <v>35</v>
      </c>
      <c r="Q1238" t="s">
        <v>35</v>
      </c>
      <c r="R1238" t="s">
        <v>35</v>
      </c>
      <c r="S1238" t="s">
        <v>34</v>
      </c>
      <c r="AD1238">
        <v>20170124</v>
      </c>
      <c r="AF1238" t="str">
        <f>IFERROR(VLOOKUP(RIGHT(TblFeedFile1[[#This Row],[Leave Type ]],6),LkupPayType[],2,FALSE),"TBD")</f>
        <v>TBD</v>
      </c>
      <c r="AG1238" t="str">
        <f>IFERROR(VLOOKUP(TblFeedFile1[[#This Row],[ Report Number ]],LkupPayrollCycle[],2,FALSE),"TBD")</f>
        <v>Bi-Weekly</v>
      </c>
      <c r="AH1238" t="str">
        <f>IF(TblFeedFile1[[#This Row],[Return to Work Date ]]="","","Y")</f>
        <v/>
      </c>
    </row>
    <row r="1239" spans="1:34" x14ac:dyDescent="0.25">
      <c r="A1239" t="s">
        <v>29</v>
      </c>
      <c r="B1239">
        <v>314301</v>
      </c>
      <c r="C1239">
        <v>28128424</v>
      </c>
      <c r="D1239" s="1" t="s">
        <v>1568</v>
      </c>
      <c r="E1239" t="s">
        <v>948</v>
      </c>
      <c r="F1239" t="s">
        <v>1569</v>
      </c>
      <c r="G1239">
        <v>20160919</v>
      </c>
      <c r="H1239">
        <v>20170108</v>
      </c>
      <c r="I1239" t="s">
        <v>223</v>
      </c>
      <c r="L1239" t="s">
        <v>34</v>
      </c>
      <c r="M1239" t="s">
        <v>34</v>
      </c>
      <c r="N1239" t="s">
        <v>35</v>
      </c>
      <c r="O1239" t="s">
        <v>35</v>
      </c>
      <c r="P1239" t="s">
        <v>35</v>
      </c>
      <c r="Q1239" t="s">
        <v>35</v>
      </c>
      <c r="R1239" t="s">
        <v>35</v>
      </c>
      <c r="S1239" t="s">
        <v>34</v>
      </c>
      <c r="T1239">
        <v>20170109</v>
      </c>
      <c r="AC1239" t="s">
        <v>35</v>
      </c>
      <c r="AD1239">
        <v>20170124</v>
      </c>
      <c r="AF1239" t="str">
        <f>IFERROR(VLOOKUP(RIGHT(TblFeedFile1[[#This Row],[Leave Type ]],6),LkupPayType[],2,FALSE),"TBD")</f>
        <v>TBD</v>
      </c>
      <c r="AG1239" t="str">
        <f>IFERROR(VLOOKUP(TblFeedFile1[[#This Row],[ Report Number ]],LkupPayrollCycle[],2,FALSE),"TBD")</f>
        <v>Semi-Monthly</v>
      </c>
      <c r="AH1239" t="str">
        <f>IF(TblFeedFile1[[#This Row],[Return to Work Date ]]="","","Y")</f>
        <v>Y</v>
      </c>
    </row>
    <row r="1240" spans="1:34" x14ac:dyDescent="0.25">
      <c r="A1240" t="s">
        <v>37</v>
      </c>
      <c r="B1240">
        <v>314301</v>
      </c>
      <c r="C1240">
        <v>28128424</v>
      </c>
      <c r="D1240" s="1" t="s">
        <v>1568</v>
      </c>
      <c r="E1240" t="s">
        <v>948</v>
      </c>
      <c r="F1240" t="s">
        <v>1569</v>
      </c>
      <c r="G1240">
        <v>20160919</v>
      </c>
      <c r="H1240">
        <v>20170108</v>
      </c>
      <c r="I1240" t="s">
        <v>78</v>
      </c>
      <c r="K1240" t="s">
        <v>219</v>
      </c>
      <c r="L1240" t="s">
        <v>34</v>
      </c>
      <c r="M1240" t="s">
        <v>34</v>
      </c>
      <c r="N1240" t="s">
        <v>35</v>
      </c>
      <c r="O1240" t="s">
        <v>35</v>
      </c>
      <c r="P1240" t="s">
        <v>35</v>
      </c>
      <c r="Q1240" t="s">
        <v>35</v>
      </c>
      <c r="R1240" t="s">
        <v>35</v>
      </c>
      <c r="S1240" t="s">
        <v>34</v>
      </c>
      <c r="AC1240" t="s">
        <v>35</v>
      </c>
      <c r="AD1240">
        <v>20170124</v>
      </c>
      <c r="AF1240" t="str">
        <f>IFERROR(VLOOKUP(RIGHT(TblFeedFile1[[#This Row],[Leave Type ]],6),LkupPayType[],2,FALSE),"TBD")</f>
        <v>TBD</v>
      </c>
      <c r="AG1240" t="str">
        <f>IFERROR(VLOOKUP(TblFeedFile1[[#This Row],[ Report Number ]],LkupPayrollCycle[],2,FALSE),"TBD")</f>
        <v>Semi-Monthly</v>
      </c>
      <c r="AH1240" t="str">
        <f>IF(TblFeedFile1[[#This Row],[Return to Work Date ]]="","","Y")</f>
        <v/>
      </c>
    </row>
    <row r="1241" spans="1:34" x14ac:dyDescent="0.25">
      <c r="A1241" t="s">
        <v>37</v>
      </c>
      <c r="B1241">
        <v>314301</v>
      </c>
      <c r="C1241">
        <v>28128424</v>
      </c>
      <c r="D1241" s="1" t="s">
        <v>1568</v>
      </c>
      <c r="E1241" t="s">
        <v>948</v>
      </c>
      <c r="F1241" t="s">
        <v>1569</v>
      </c>
      <c r="G1241">
        <v>20170107</v>
      </c>
      <c r="H1241">
        <v>20170108</v>
      </c>
      <c r="I1241" t="s">
        <v>223</v>
      </c>
      <c r="L1241" t="s">
        <v>34</v>
      </c>
      <c r="M1241" t="s">
        <v>34</v>
      </c>
      <c r="N1241" t="s">
        <v>35</v>
      </c>
      <c r="O1241" t="s">
        <v>35</v>
      </c>
      <c r="P1241" t="s">
        <v>35</v>
      </c>
      <c r="Q1241" t="s">
        <v>35</v>
      </c>
      <c r="R1241" t="s">
        <v>35</v>
      </c>
      <c r="S1241" t="s">
        <v>34</v>
      </c>
      <c r="T1241">
        <v>20170109</v>
      </c>
      <c r="AC1241" t="s">
        <v>35</v>
      </c>
      <c r="AD1241">
        <v>20170124</v>
      </c>
      <c r="AF1241" t="str">
        <f>IFERROR(VLOOKUP(RIGHT(TblFeedFile1[[#This Row],[Leave Type ]],6),LkupPayType[],2,FALSE),"TBD")</f>
        <v>TBD</v>
      </c>
      <c r="AG1241" t="str">
        <f>IFERROR(VLOOKUP(TblFeedFile1[[#This Row],[ Report Number ]],LkupPayrollCycle[],2,FALSE),"TBD")</f>
        <v>Semi-Monthly</v>
      </c>
      <c r="AH1241" t="str">
        <f>IF(TblFeedFile1[[#This Row],[Return to Work Date ]]="","","Y")</f>
        <v>Y</v>
      </c>
    </row>
    <row r="1242" spans="1:34" x14ac:dyDescent="0.25">
      <c r="A1242" t="s">
        <v>37</v>
      </c>
      <c r="B1242">
        <v>314301</v>
      </c>
      <c r="C1242">
        <v>28128424</v>
      </c>
      <c r="D1242" s="1" t="s">
        <v>1568</v>
      </c>
      <c r="E1242" t="s">
        <v>948</v>
      </c>
      <c r="F1242" t="s">
        <v>1569</v>
      </c>
      <c r="G1242">
        <v>20170107</v>
      </c>
      <c r="H1242">
        <v>20170108</v>
      </c>
      <c r="I1242" t="s">
        <v>185</v>
      </c>
      <c r="L1242" t="s">
        <v>34</v>
      </c>
      <c r="M1242" t="s">
        <v>34</v>
      </c>
      <c r="N1242" t="s">
        <v>35</v>
      </c>
      <c r="O1242" t="s">
        <v>35</v>
      </c>
      <c r="P1242" t="s">
        <v>35</v>
      </c>
      <c r="Q1242" t="s">
        <v>35</v>
      </c>
      <c r="R1242" t="s">
        <v>35</v>
      </c>
      <c r="S1242" t="s">
        <v>34</v>
      </c>
      <c r="AC1242" t="s">
        <v>35</v>
      </c>
      <c r="AD1242">
        <v>20170124</v>
      </c>
      <c r="AF1242" t="str">
        <f>IFERROR(VLOOKUP(RIGHT(TblFeedFile1[[#This Row],[Leave Type ]],6),LkupPayType[],2,FALSE),"TBD")</f>
        <v>TBD</v>
      </c>
      <c r="AG1242" t="str">
        <f>IFERROR(VLOOKUP(TblFeedFile1[[#This Row],[ Report Number ]],LkupPayrollCycle[],2,FALSE),"TBD")</f>
        <v>Semi-Monthly</v>
      </c>
      <c r="AH1242" t="str">
        <f>IF(TblFeedFile1[[#This Row],[Return to Work Date ]]="","","Y")</f>
        <v/>
      </c>
    </row>
    <row r="1243" spans="1:34" x14ac:dyDescent="0.25">
      <c r="A1243" t="s">
        <v>29</v>
      </c>
      <c r="B1243">
        <v>314305</v>
      </c>
      <c r="C1243">
        <v>28141099</v>
      </c>
      <c r="D1243" s="1" t="s">
        <v>1570</v>
      </c>
      <c r="E1243" t="s">
        <v>1571</v>
      </c>
      <c r="F1243" t="s">
        <v>1572</v>
      </c>
      <c r="G1243">
        <v>20160829</v>
      </c>
      <c r="H1243">
        <v>20170131</v>
      </c>
      <c r="I1243" t="s">
        <v>537</v>
      </c>
      <c r="L1243" t="s">
        <v>34</v>
      </c>
      <c r="M1243" t="s">
        <v>34</v>
      </c>
      <c r="N1243" t="s">
        <v>35</v>
      </c>
      <c r="O1243" t="s">
        <v>35</v>
      </c>
      <c r="P1243" t="s">
        <v>35</v>
      </c>
      <c r="Q1243" t="s">
        <v>35</v>
      </c>
      <c r="R1243" t="s">
        <v>35</v>
      </c>
      <c r="S1243" t="s">
        <v>34</v>
      </c>
      <c r="AC1243" t="s">
        <v>35</v>
      </c>
      <c r="AD1243">
        <v>20170124</v>
      </c>
      <c r="AF1243" t="str">
        <f>IFERROR(VLOOKUP(RIGHT(TblFeedFile1[[#This Row],[Leave Type ]],6),LkupPayType[],2,FALSE),"TBD")</f>
        <v>TBD</v>
      </c>
      <c r="AG1243" t="str">
        <f>IFERROR(VLOOKUP(TblFeedFile1[[#This Row],[ Report Number ]],LkupPayrollCycle[],2,FALSE),"TBD")</f>
        <v>Bi-Weekly</v>
      </c>
      <c r="AH1243" t="str">
        <f>IF(TblFeedFile1[[#This Row],[Return to Work Date ]]="","","Y")</f>
        <v/>
      </c>
    </row>
    <row r="1244" spans="1:34" x14ac:dyDescent="0.25">
      <c r="A1244" t="s">
        <v>29</v>
      </c>
      <c r="B1244">
        <v>314305</v>
      </c>
      <c r="C1244">
        <v>28141099</v>
      </c>
      <c r="D1244" s="1" t="s">
        <v>1570</v>
      </c>
      <c r="E1244" t="s">
        <v>1571</v>
      </c>
      <c r="F1244" t="s">
        <v>1572</v>
      </c>
      <c r="G1244">
        <v>20160630</v>
      </c>
      <c r="H1244">
        <v>20170131</v>
      </c>
      <c r="I1244" t="s">
        <v>303</v>
      </c>
      <c r="L1244" t="s">
        <v>34</v>
      </c>
      <c r="M1244" t="s">
        <v>34</v>
      </c>
      <c r="N1244" t="s">
        <v>35</v>
      </c>
      <c r="O1244" t="s">
        <v>35</v>
      </c>
      <c r="P1244" t="s">
        <v>35</v>
      </c>
      <c r="Q1244" t="s">
        <v>35</v>
      </c>
      <c r="R1244" t="s">
        <v>35</v>
      </c>
      <c r="S1244" t="s">
        <v>34</v>
      </c>
      <c r="AC1244" t="s">
        <v>35</v>
      </c>
      <c r="AD1244">
        <v>20170124</v>
      </c>
      <c r="AF1244" t="str">
        <f>IFERROR(VLOOKUP(RIGHT(TblFeedFile1[[#This Row],[Leave Type ]],6),LkupPayType[],2,FALSE),"TBD")</f>
        <v>TBD</v>
      </c>
      <c r="AG1244" t="str">
        <f>IFERROR(VLOOKUP(TblFeedFile1[[#This Row],[ Report Number ]],LkupPayrollCycle[],2,FALSE),"TBD")</f>
        <v>Bi-Weekly</v>
      </c>
      <c r="AH1244" t="str">
        <f>IF(TblFeedFile1[[#This Row],[Return to Work Date ]]="","","Y")</f>
        <v/>
      </c>
    </row>
    <row r="1245" spans="1:34" x14ac:dyDescent="0.25">
      <c r="A1245" t="s">
        <v>37</v>
      </c>
      <c r="B1245">
        <v>314305</v>
      </c>
      <c r="C1245">
        <v>28141099</v>
      </c>
      <c r="D1245" s="1" t="s">
        <v>1570</v>
      </c>
      <c r="E1245" t="s">
        <v>1571</v>
      </c>
      <c r="F1245" t="s">
        <v>1572</v>
      </c>
      <c r="G1245">
        <v>20160630</v>
      </c>
      <c r="H1245">
        <v>20180131</v>
      </c>
      <c r="I1245" t="s">
        <v>303</v>
      </c>
      <c r="L1245" t="s">
        <v>34</v>
      </c>
      <c r="M1245" t="s">
        <v>34</v>
      </c>
      <c r="N1245" t="s">
        <v>35</v>
      </c>
      <c r="O1245" t="s">
        <v>35</v>
      </c>
      <c r="P1245" t="s">
        <v>35</v>
      </c>
      <c r="Q1245" t="s">
        <v>35</v>
      </c>
      <c r="R1245" t="s">
        <v>35</v>
      </c>
      <c r="S1245" t="s">
        <v>34</v>
      </c>
      <c r="AC1245" t="s">
        <v>35</v>
      </c>
      <c r="AD1245">
        <v>20170124</v>
      </c>
      <c r="AF1245" t="str">
        <f>IFERROR(VLOOKUP(RIGHT(TblFeedFile1[[#This Row],[Leave Type ]],6),LkupPayType[],2,FALSE),"TBD")</f>
        <v>TBD</v>
      </c>
      <c r="AG1245" t="str">
        <f>IFERROR(VLOOKUP(TblFeedFile1[[#This Row],[ Report Number ]],LkupPayrollCycle[],2,FALSE),"TBD")</f>
        <v>Bi-Weekly</v>
      </c>
      <c r="AH1245" t="str">
        <f>IF(TblFeedFile1[[#This Row],[Return to Work Date ]]="","","Y")</f>
        <v/>
      </c>
    </row>
    <row r="1246" spans="1:34" x14ac:dyDescent="0.25">
      <c r="A1246" t="s">
        <v>37</v>
      </c>
      <c r="B1246">
        <v>314305</v>
      </c>
      <c r="C1246">
        <v>28141099</v>
      </c>
      <c r="D1246" s="1" t="s">
        <v>1570</v>
      </c>
      <c r="E1246" t="s">
        <v>1571</v>
      </c>
      <c r="F1246" t="s">
        <v>1572</v>
      </c>
      <c r="G1246">
        <v>20160829</v>
      </c>
      <c r="H1246">
        <v>20180131</v>
      </c>
      <c r="I1246" t="s">
        <v>201</v>
      </c>
      <c r="L1246" t="s">
        <v>34</v>
      </c>
      <c r="M1246" t="s">
        <v>34</v>
      </c>
      <c r="N1246" t="s">
        <v>35</v>
      </c>
      <c r="O1246" t="s">
        <v>35</v>
      </c>
      <c r="P1246" t="s">
        <v>35</v>
      </c>
      <c r="Q1246" t="s">
        <v>35</v>
      </c>
      <c r="R1246" t="s">
        <v>35</v>
      </c>
      <c r="S1246" t="s">
        <v>34</v>
      </c>
      <c r="AC1246" t="s">
        <v>35</v>
      </c>
      <c r="AD1246">
        <v>20170124</v>
      </c>
      <c r="AF1246" t="str">
        <f>IFERROR(VLOOKUP(RIGHT(TblFeedFile1[[#This Row],[Leave Type ]],6),LkupPayType[],2,FALSE),"TBD")</f>
        <v>TBD</v>
      </c>
      <c r="AG1246" t="str">
        <f>IFERROR(VLOOKUP(TblFeedFile1[[#This Row],[ Report Number ]],LkupPayrollCycle[],2,FALSE),"TBD")</f>
        <v>Bi-Weekly</v>
      </c>
      <c r="AH1246" t="str">
        <f>IF(TblFeedFile1[[#This Row],[Return to Work Date ]]="","","Y")</f>
        <v/>
      </c>
    </row>
    <row r="1247" spans="1:34" x14ac:dyDescent="0.25">
      <c r="A1247" t="s">
        <v>29</v>
      </c>
      <c r="B1247">
        <v>314304</v>
      </c>
      <c r="C1247">
        <v>28176211</v>
      </c>
      <c r="D1247" s="1">
        <v>511612278921</v>
      </c>
      <c r="E1247" t="s">
        <v>1573</v>
      </c>
      <c r="F1247" t="s">
        <v>853</v>
      </c>
      <c r="G1247">
        <v>20170117</v>
      </c>
      <c r="H1247">
        <v>20170228</v>
      </c>
      <c r="I1247" t="s">
        <v>40</v>
      </c>
      <c r="L1247" t="s">
        <v>34</v>
      </c>
      <c r="M1247" t="s">
        <v>34</v>
      </c>
      <c r="N1247" t="s">
        <v>35</v>
      </c>
      <c r="O1247" t="s">
        <v>35</v>
      </c>
      <c r="P1247" t="s">
        <v>35</v>
      </c>
      <c r="Q1247" t="s">
        <v>35</v>
      </c>
      <c r="R1247" t="s">
        <v>35</v>
      </c>
      <c r="S1247" t="s">
        <v>34</v>
      </c>
      <c r="AD1247">
        <v>20170124</v>
      </c>
      <c r="AF1247" t="str">
        <f>IFERROR(VLOOKUP(RIGHT(TblFeedFile1[[#This Row],[Leave Type ]],6),LkupPayType[],2,FALSE),"TBD")</f>
        <v>TBD</v>
      </c>
      <c r="AG1247" t="str">
        <f>IFERROR(VLOOKUP(TblFeedFile1[[#This Row],[ Report Number ]],LkupPayrollCycle[],2,FALSE),"TBD")</f>
        <v>Bi-Weekly</v>
      </c>
      <c r="AH1247" t="str">
        <f>IF(TblFeedFile1[[#This Row],[Return to Work Date ]]="","","Y")</f>
        <v/>
      </c>
    </row>
    <row r="1248" spans="1:34" x14ac:dyDescent="0.25">
      <c r="A1248" t="s">
        <v>37</v>
      </c>
      <c r="B1248">
        <v>314304</v>
      </c>
      <c r="C1248">
        <v>28176211</v>
      </c>
      <c r="D1248" s="1">
        <v>511612278921</v>
      </c>
      <c r="E1248" t="s">
        <v>1573</v>
      </c>
      <c r="F1248" t="s">
        <v>853</v>
      </c>
      <c r="G1248">
        <v>20170119</v>
      </c>
      <c r="H1248">
        <v>20170228</v>
      </c>
      <c r="I1248" t="s">
        <v>40</v>
      </c>
      <c r="L1248" t="s">
        <v>34</v>
      </c>
      <c r="M1248" t="s">
        <v>34</v>
      </c>
      <c r="N1248" t="s">
        <v>35</v>
      </c>
      <c r="O1248" t="s">
        <v>35</v>
      </c>
      <c r="P1248" t="s">
        <v>35</v>
      </c>
      <c r="Q1248" t="s">
        <v>35</v>
      </c>
      <c r="R1248" t="s">
        <v>35</v>
      </c>
      <c r="S1248" t="s">
        <v>34</v>
      </c>
      <c r="AD1248">
        <v>20170124</v>
      </c>
      <c r="AF1248" t="str">
        <f>IFERROR(VLOOKUP(RIGHT(TblFeedFile1[[#This Row],[Leave Type ]],6),LkupPayType[],2,FALSE),"TBD")</f>
        <v>TBD</v>
      </c>
      <c r="AG1248" t="str">
        <f>IFERROR(VLOOKUP(TblFeedFile1[[#This Row],[ Report Number ]],LkupPayrollCycle[],2,FALSE),"TBD")</f>
        <v>Bi-Weekly</v>
      </c>
      <c r="AH1248" t="str">
        <f>IF(TblFeedFile1[[#This Row],[Return to Work Date ]]="","","Y")</f>
        <v/>
      </c>
    </row>
    <row r="1249" spans="1:34" x14ac:dyDescent="0.25">
      <c r="A1249" t="s">
        <v>37</v>
      </c>
      <c r="B1249">
        <v>314304</v>
      </c>
      <c r="C1249">
        <v>28183993</v>
      </c>
      <c r="D1249" s="1">
        <v>571701248467</v>
      </c>
      <c r="E1249" t="s">
        <v>1235</v>
      </c>
      <c r="F1249" t="s">
        <v>178</v>
      </c>
      <c r="G1249">
        <v>20170110</v>
      </c>
      <c r="I1249" t="s">
        <v>53</v>
      </c>
      <c r="L1249" t="s">
        <v>34</v>
      </c>
      <c r="M1249" t="s">
        <v>34</v>
      </c>
      <c r="N1249" t="s">
        <v>35</v>
      </c>
      <c r="O1249" t="s">
        <v>35</v>
      </c>
      <c r="P1249" t="s">
        <v>35</v>
      </c>
      <c r="Q1249" t="s">
        <v>35</v>
      </c>
      <c r="R1249" t="s">
        <v>35</v>
      </c>
      <c r="S1249" t="s">
        <v>34</v>
      </c>
      <c r="AD1249">
        <v>20170124</v>
      </c>
      <c r="AF1249" t="str">
        <f>IFERROR(VLOOKUP(RIGHT(TblFeedFile1[[#This Row],[Leave Type ]],6),LkupPayType[],2,FALSE),"TBD")</f>
        <v>TBD</v>
      </c>
      <c r="AG1249" t="str">
        <f>IFERROR(VLOOKUP(TblFeedFile1[[#This Row],[ Report Number ]],LkupPayrollCycle[],2,FALSE),"TBD")</f>
        <v>Bi-Weekly</v>
      </c>
      <c r="AH1249" t="str">
        <f>IF(TblFeedFile1[[#This Row],[Return to Work Date ]]="","","Y")</f>
        <v/>
      </c>
    </row>
    <row r="1250" spans="1:34" x14ac:dyDescent="0.25">
      <c r="A1250" t="s">
        <v>29</v>
      </c>
      <c r="B1250">
        <v>314304</v>
      </c>
      <c r="C1250">
        <v>28202417</v>
      </c>
      <c r="D1250" s="1">
        <v>541701178854</v>
      </c>
      <c r="E1250" t="s">
        <v>1574</v>
      </c>
      <c r="F1250" t="s">
        <v>1575</v>
      </c>
      <c r="G1250">
        <v>20170117</v>
      </c>
      <c r="H1250">
        <v>20170219</v>
      </c>
      <c r="I1250" t="s">
        <v>53</v>
      </c>
      <c r="L1250" t="s">
        <v>34</v>
      </c>
      <c r="M1250" t="s">
        <v>34</v>
      </c>
      <c r="N1250" t="s">
        <v>35</v>
      </c>
      <c r="O1250" t="s">
        <v>35</v>
      </c>
      <c r="P1250" t="s">
        <v>35</v>
      </c>
      <c r="Q1250" t="s">
        <v>35</v>
      </c>
      <c r="R1250" t="s">
        <v>35</v>
      </c>
      <c r="S1250" t="s">
        <v>34</v>
      </c>
      <c r="AD1250">
        <v>20170124</v>
      </c>
      <c r="AF1250" t="str">
        <f>IFERROR(VLOOKUP(RIGHT(TblFeedFile1[[#This Row],[Leave Type ]],6),LkupPayType[],2,FALSE),"TBD")</f>
        <v>TBD</v>
      </c>
      <c r="AG1250" t="str">
        <f>IFERROR(VLOOKUP(TblFeedFile1[[#This Row],[ Report Number ]],LkupPayrollCycle[],2,FALSE),"TBD")</f>
        <v>Bi-Weekly</v>
      </c>
      <c r="AH1250" t="str">
        <f>IF(TblFeedFile1[[#This Row],[Return to Work Date ]]="","","Y")</f>
        <v/>
      </c>
    </row>
    <row r="1251" spans="1:34" x14ac:dyDescent="0.25">
      <c r="A1251" t="s">
        <v>37</v>
      </c>
      <c r="B1251">
        <v>314304</v>
      </c>
      <c r="C1251">
        <v>28202417</v>
      </c>
      <c r="D1251" s="1">
        <v>541701178854</v>
      </c>
      <c r="E1251" t="s">
        <v>1574</v>
      </c>
      <c r="F1251" t="s">
        <v>1575</v>
      </c>
      <c r="G1251">
        <v>20170117</v>
      </c>
      <c r="H1251">
        <v>20170130</v>
      </c>
      <c r="I1251" t="s">
        <v>53</v>
      </c>
      <c r="L1251" t="s">
        <v>34</v>
      </c>
      <c r="M1251" t="s">
        <v>34</v>
      </c>
      <c r="N1251" t="s">
        <v>35</v>
      </c>
      <c r="O1251" t="s">
        <v>35</v>
      </c>
      <c r="P1251" t="s">
        <v>35</v>
      </c>
      <c r="Q1251" t="s">
        <v>35</v>
      </c>
      <c r="R1251" t="s">
        <v>35</v>
      </c>
      <c r="S1251" t="s">
        <v>34</v>
      </c>
      <c r="AD1251">
        <v>20170124</v>
      </c>
      <c r="AF1251" t="str">
        <f>IFERROR(VLOOKUP(RIGHT(TblFeedFile1[[#This Row],[Leave Type ]],6),LkupPayType[],2,FALSE),"TBD")</f>
        <v>TBD</v>
      </c>
      <c r="AG1251" t="str">
        <f>IFERROR(VLOOKUP(TblFeedFile1[[#This Row],[ Report Number ]],LkupPayrollCycle[],2,FALSE),"TBD")</f>
        <v>Bi-Weekly</v>
      </c>
      <c r="AH1251" t="str">
        <f>IF(TblFeedFile1[[#This Row],[Return to Work Date ]]="","","Y")</f>
        <v/>
      </c>
    </row>
    <row r="1252" spans="1:34" x14ac:dyDescent="0.25">
      <c r="A1252" t="s">
        <v>37</v>
      </c>
      <c r="B1252">
        <v>314304</v>
      </c>
      <c r="C1252">
        <v>28202417</v>
      </c>
      <c r="D1252" s="1">
        <v>541701178854</v>
      </c>
      <c r="E1252" t="s">
        <v>1574</v>
      </c>
      <c r="F1252" t="s">
        <v>1575</v>
      </c>
      <c r="G1252">
        <v>20170124</v>
      </c>
      <c r="H1252">
        <v>20170130</v>
      </c>
      <c r="I1252" t="s">
        <v>40</v>
      </c>
      <c r="L1252" t="s">
        <v>34</v>
      </c>
      <c r="M1252" t="s">
        <v>34</v>
      </c>
      <c r="N1252" t="s">
        <v>35</v>
      </c>
      <c r="O1252" t="s">
        <v>35</v>
      </c>
      <c r="P1252" t="s">
        <v>35</v>
      </c>
      <c r="Q1252" t="s">
        <v>35</v>
      </c>
      <c r="R1252" t="s">
        <v>35</v>
      </c>
      <c r="S1252" t="s">
        <v>34</v>
      </c>
      <c r="AD1252">
        <v>20170124</v>
      </c>
      <c r="AF1252" t="str">
        <f>IFERROR(VLOOKUP(RIGHT(TblFeedFile1[[#This Row],[Leave Type ]],6),LkupPayType[],2,FALSE),"TBD")</f>
        <v>TBD</v>
      </c>
      <c r="AG1252" t="str">
        <f>IFERROR(VLOOKUP(TblFeedFile1[[#This Row],[ Report Number ]],LkupPayrollCycle[],2,FALSE),"TBD")</f>
        <v>Bi-Weekly</v>
      </c>
      <c r="AH1252" t="str">
        <f>IF(TblFeedFile1[[#This Row],[Return to Work Date ]]="","","Y")</f>
        <v/>
      </c>
    </row>
    <row r="1253" spans="1:34" x14ac:dyDescent="0.25">
      <c r="A1253" t="s">
        <v>29</v>
      </c>
      <c r="B1253">
        <v>314301</v>
      </c>
      <c r="C1253">
        <v>28213724</v>
      </c>
      <c r="D1253" s="1" t="s">
        <v>1576</v>
      </c>
      <c r="E1253" t="s">
        <v>544</v>
      </c>
      <c r="F1253" t="s">
        <v>1577</v>
      </c>
      <c r="G1253">
        <v>20160628</v>
      </c>
      <c r="H1253">
        <v>20161101</v>
      </c>
      <c r="I1253" t="s">
        <v>36</v>
      </c>
      <c r="L1253" t="s">
        <v>34</v>
      </c>
      <c r="M1253" t="s">
        <v>34</v>
      </c>
      <c r="N1253" t="s">
        <v>35</v>
      </c>
      <c r="O1253" t="s">
        <v>35</v>
      </c>
      <c r="P1253" t="s">
        <v>35</v>
      </c>
      <c r="Q1253" t="s">
        <v>35</v>
      </c>
      <c r="R1253" t="s">
        <v>35</v>
      </c>
      <c r="S1253" t="s">
        <v>34</v>
      </c>
      <c r="T1253">
        <v>20161102</v>
      </c>
      <c r="AC1253" t="s">
        <v>35</v>
      </c>
      <c r="AD1253">
        <v>20170124</v>
      </c>
      <c r="AF1253" t="str">
        <f>IFERROR(VLOOKUP(RIGHT(TblFeedFile1[[#This Row],[Leave Type ]],6),LkupPayType[],2,FALSE),"TBD")</f>
        <v>TBD</v>
      </c>
      <c r="AG1253" t="str">
        <f>IFERROR(VLOOKUP(TblFeedFile1[[#This Row],[ Report Number ]],LkupPayrollCycle[],2,FALSE),"TBD")</f>
        <v>Semi-Monthly</v>
      </c>
      <c r="AH1253" t="str">
        <f>IF(TblFeedFile1[[#This Row],[Return to Work Date ]]="","","Y")</f>
        <v>Y</v>
      </c>
    </row>
    <row r="1254" spans="1:34" x14ac:dyDescent="0.25">
      <c r="A1254" t="s">
        <v>37</v>
      </c>
      <c r="B1254">
        <v>314307</v>
      </c>
      <c r="C1254">
        <v>28213724</v>
      </c>
      <c r="D1254" s="1" t="s">
        <v>1576</v>
      </c>
      <c r="E1254" t="s">
        <v>544</v>
      </c>
      <c r="F1254" t="s">
        <v>1577</v>
      </c>
      <c r="G1254">
        <v>20160628</v>
      </c>
      <c r="H1254">
        <v>20170102</v>
      </c>
      <c r="I1254" t="s">
        <v>36</v>
      </c>
      <c r="L1254" t="s">
        <v>34</v>
      </c>
      <c r="M1254" t="s">
        <v>34</v>
      </c>
      <c r="N1254" t="s">
        <v>35</v>
      </c>
      <c r="O1254" t="s">
        <v>35</v>
      </c>
      <c r="P1254" t="s">
        <v>35</v>
      </c>
      <c r="Q1254" t="s">
        <v>35</v>
      </c>
      <c r="R1254" t="s">
        <v>35</v>
      </c>
      <c r="S1254" t="s">
        <v>34</v>
      </c>
      <c r="AC1254" t="s">
        <v>35</v>
      </c>
      <c r="AD1254">
        <v>20170124</v>
      </c>
      <c r="AF1254" t="str">
        <f>IFERROR(VLOOKUP(RIGHT(TblFeedFile1[[#This Row],[Leave Type ]],6),LkupPayType[],2,FALSE),"TBD")</f>
        <v>TBD</v>
      </c>
      <c r="AG1254" t="str">
        <f>IFERROR(VLOOKUP(TblFeedFile1[[#This Row],[ Report Number ]],LkupPayrollCycle[],2,FALSE),"TBD")</f>
        <v>Semi-Monthly</v>
      </c>
      <c r="AH1254" t="str">
        <f>IF(TblFeedFile1[[#This Row],[Return to Work Date ]]="","","Y")</f>
        <v/>
      </c>
    </row>
    <row r="1255" spans="1:34" x14ac:dyDescent="0.25">
      <c r="A1255" t="s">
        <v>29</v>
      </c>
      <c r="B1255">
        <v>314304</v>
      </c>
      <c r="C1255">
        <v>28218172</v>
      </c>
      <c r="D1255" s="1" t="s">
        <v>1578</v>
      </c>
      <c r="E1255" t="s">
        <v>1260</v>
      </c>
      <c r="F1255" t="s">
        <v>1579</v>
      </c>
      <c r="G1255">
        <v>20161201</v>
      </c>
      <c r="H1255">
        <v>20170501</v>
      </c>
      <c r="I1255" t="s">
        <v>423</v>
      </c>
      <c r="L1255" t="s">
        <v>34</v>
      </c>
      <c r="M1255" t="s">
        <v>34</v>
      </c>
      <c r="N1255" t="s">
        <v>35</v>
      </c>
      <c r="O1255" t="s">
        <v>35</v>
      </c>
      <c r="P1255" t="s">
        <v>35</v>
      </c>
      <c r="Q1255" t="s">
        <v>35</v>
      </c>
      <c r="R1255" t="s">
        <v>35</v>
      </c>
      <c r="S1255" t="s">
        <v>34</v>
      </c>
      <c r="AC1255" t="s">
        <v>35</v>
      </c>
      <c r="AD1255">
        <v>20170124</v>
      </c>
      <c r="AF1255" t="str">
        <f>IFERROR(VLOOKUP(RIGHT(TblFeedFile1[[#This Row],[Leave Type ]],6),LkupPayType[],2,FALSE),"TBD")</f>
        <v>TBD</v>
      </c>
      <c r="AG1255" t="str">
        <f>IFERROR(VLOOKUP(TblFeedFile1[[#This Row],[ Report Number ]],LkupPayrollCycle[],2,FALSE),"TBD")</f>
        <v>Bi-Weekly</v>
      </c>
      <c r="AH1255" t="str">
        <f>IF(TblFeedFile1[[#This Row],[Return to Work Date ]]="","","Y")</f>
        <v/>
      </c>
    </row>
    <row r="1256" spans="1:34" x14ac:dyDescent="0.25">
      <c r="A1256" t="s">
        <v>29</v>
      </c>
      <c r="B1256">
        <v>314304</v>
      </c>
      <c r="C1256">
        <v>28218172</v>
      </c>
      <c r="D1256" s="1" t="s">
        <v>1578</v>
      </c>
      <c r="E1256" t="s">
        <v>1260</v>
      </c>
      <c r="F1256" t="s">
        <v>1579</v>
      </c>
      <c r="G1256">
        <v>20161201</v>
      </c>
      <c r="H1256">
        <v>20170501</v>
      </c>
      <c r="I1256" t="s">
        <v>537</v>
      </c>
      <c r="L1256" t="s">
        <v>34</v>
      </c>
      <c r="M1256" t="s">
        <v>34</v>
      </c>
      <c r="N1256" t="s">
        <v>35</v>
      </c>
      <c r="O1256" t="s">
        <v>35</v>
      </c>
      <c r="P1256" t="s">
        <v>35</v>
      </c>
      <c r="Q1256" t="s">
        <v>35</v>
      </c>
      <c r="R1256" t="s">
        <v>35</v>
      </c>
      <c r="S1256" t="s">
        <v>34</v>
      </c>
      <c r="AC1256" t="s">
        <v>35</v>
      </c>
      <c r="AD1256">
        <v>20170124</v>
      </c>
      <c r="AF1256" t="str">
        <f>IFERROR(VLOOKUP(RIGHT(TblFeedFile1[[#This Row],[Leave Type ]],6),LkupPayType[],2,FALSE),"TBD")</f>
        <v>TBD</v>
      </c>
      <c r="AG1256" t="str">
        <f>IFERROR(VLOOKUP(TblFeedFile1[[#This Row],[ Report Number ]],LkupPayrollCycle[],2,FALSE),"TBD")</f>
        <v>Bi-Weekly</v>
      </c>
      <c r="AH1256" t="str">
        <f>IF(TblFeedFile1[[#This Row],[Return to Work Date ]]="","","Y")</f>
        <v/>
      </c>
    </row>
    <row r="1257" spans="1:34" x14ac:dyDescent="0.25">
      <c r="A1257" t="s">
        <v>29</v>
      </c>
      <c r="B1257">
        <v>314304</v>
      </c>
      <c r="C1257">
        <v>28218172</v>
      </c>
      <c r="D1257" s="1" t="s">
        <v>1578</v>
      </c>
      <c r="E1257" t="s">
        <v>1260</v>
      </c>
      <c r="F1257" t="s">
        <v>1579</v>
      </c>
      <c r="G1257">
        <v>20161201</v>
      </c>
      <c r="H1257">
        <v>20170501</v>
      </c>
      <c r="I1257" t="s">
        <v>303</v>
      </c>
      <c r="L1257" t="s">
        <v>34</v>
      </c>
      <c r="M1257" t="s">
        <v>34</v>
      </c>
      <c r="N1257" t="s">
        <v>35</v>
      </c>
      <c r="O1257" t="s">
        <v>35</v>
      </c>
      <c r="P1257" t="s">
        <v>35</v>
      </c>
      <c r="Q1257" t="s">
        <v>35</v>
      </c>
      <c r="R1257" t="s">
        <v>35</v>
      </c>
      <c r="S1257" t="s">
        <v>34</v>
      </c>
      <c r="AC1257" t="s">
        <v>35</v>
      </c>
      <c r="AD1257">
        <v>20170124</v>
      </c>
      <c r="AF1257" t="str">
        <f>IFERROR(VLOOKUP(RIGHT(TblFeedFile1[[#This Row],[Leave Type ]],6),LkupPayType[],2,FALSE),"TBD")</f>
        <v>TBD</v>
      </c>
      <c r="AG1257" t="str">
        <f>IFERROR(VLOOKUP(TblFeedFile1[[#This Row],[ Report Number ]],LkupPayrollCycle[],2,FALSE),"TBD")</f>
        <v>Bi-Weekly</v>
      </c>
      <c r="AH1257" t="str">
        <f>IF(TblFeedFile1[[#This Row],[Return to Work Date ]]="","","Y")</f>
        <v/>
      </c>
    </row>
    <row r="1258" spans="1:34" x14ac:dyDescent="0.25">
      <c r="A1258" t="s">
        <v>29</v>
      </c>
      <c r="B1258">
        <v>314304</v>
      </c>
      <c r="C1258">
        <v>28218172</v>
      </c>
      <c r="D1258" s="1" t="s">
        <v>1578</v>
      </c>
      <c r="E1258" t="s">
        <v>1260</v>
      </c>
      <c r="F1258" t="s">
        <v>1579</v>
      </c>
      <c r="G1258">
        <v>20161201</v>
      </c>
      <c r="H1258">
        <v>20170501</v>
      </c>
      <c r="I1258" t="s">
        <v>201</v>
      </c>
      <c r="L1258" t="s">
        <v>34</v>
      </c>
      <c r="M1258" t="s">
        <v>34</v>
      </c>
      <c r="N1258" t="s">
        <v>35</v>
      </c>
      <c r="O1258" t="s">
        <v>35</v>
      </c>
      <c r="P1258" t="s">
        <v>35</v>
      </c>
      <c r="Q1258" t="s">
        <v>35</v>
      </c>
      <c r="R1258" t="s">
        <v>35</v>
      </c>
      <c r="S1258" t="s">
        <v>34</v>
      </c>
      <c r="AC1258" t="s">
        <v>35</v>
      </c>
      <c r="AD1258">
        <v>20170124</v>
      </c>
      <c r="AF1258" t="str">
        <f>IFERROR(VLOOKUP(RIGHT(TblFeedFile1[[#This Row],[Leave Type ]],6),LkupPayType[],2,FALSE),"TBD")</f>
        <v>TBD</v>
      </c>
      <c r="AG1258" t="str">
        <f>IFERROR(VLOOKUP(TblFeedFile1[[#This Row],[ Report Number ]],LkupPayrollCycle[],2,FALSE),"TBD")</f>
        <v>Bi-Weekly</v>
      </c>
      <c r="AH1258" t="str">
        <f>IF(TblFeedFile1[[#This Row],[Return to Work Date ]]="","","Y")</f>
        <v/>
      </c>
    </row>
    <row r="1259" spans="1:34" x14ac:dyDescent="0.25">
      <c r="A1259" t="s">
        <v>37</v>
      </c>
      <c r="B1259">
        <v>314304</v>
      </c>
      <c r="C1259">
        <v>28218172</v>
      </c>
      <c r="D1259" s="1" t="s">
        <v>1578</v>
      </c>
      <c r="E1259" t="s">
        <v>1260</v>
      </c>
      <c r="F1259" t="s">
        <v>1579</v>
      </c>
      <c r="G1259">
        <v>20161201</v>
      </c>
      <c r="H1259">
        <v>20170929</v>
      </c>
      <c r="I1259" t="s">
        <v>537</v>
      </c>
      <c r="L1259" t="s">
        <v>34</v>
      </c>
      <c r="M1259" t="s">
        <v>34</v>
      </c>
      <c r="N1259" t="s">
        <v>35</v>
      </c>
      <c r="O1259" t="s">
        <v>35</v>
      </c>
      <c r="P1259" t="s">
        <v>35</v>
      </c>
      <c r="Q1259" t="s">
        <v>35</v>
      </c>
      <c r="R1259" t="s">
        <v>35</v>
      </c>
      <c r="S1259" t="s">
        <v>34</v>
      </c>
      <c r="AC1259" t="s">
        <v>35</v>
      </c>
      <c r="AD1259">
        <v>20170124</v>
      </c>
      <c r="AF1259" t="str">
        <f>IFERROR(VLOOKUP(RIGHT(TblFeedFile1[[#This Row],[Leave Type ]],6),LkupPayType[],2,FALSE),"TBD")</f>
        <v>TBD</v>
      </c>
      <c r="AG1259" t="str">
        <f>IFERROR(VLOOKUP(TblFeedFile1[[#This Row],[ Report Number ]],LkupPayrollCycle[],2,FALSE),"TBD")</f>
        <v>Bi-Weekly</v>
      </c>
      <c r="AH1259" t="str">
        <f>IF(TblFeedFile1[[#This Row],[Return to Work Date ]]="","","Y")</f>
        <v/>
      </c>
    </row>
    <row r="1260" spans="1:34" x14ac:dyDescent="0.25">
      <c r="A1260" t="s">
        <v>37</v>
      </c>
      <c r="B1260">
        <v>314305</v>
      </c>
      <c r="C1260">
        <v>28238508</v>
      </c>
      <c r="D1260" s="1">
        <v>541701138734</v>
      </c>
      <c r="E1260" t="s">
        <v>1055</v>
      </c>
      <c r="F1260" t="s">
        <v>1580</v>
      </c>
      <c r="G1260">
        <v>20170123</v>
      </c>
      <c r="H1260">
        <v>20170214</v>
      </c>
      <c r="I1260" t="s">
        <v>40</v>
      </c>
      <c r="L1260" t="s">
        <v>34</v>
      </c>
      <c r="M1260" t="s">
        <v>34</v>
      </c>
      <c r="N1260" t="s">
        <v>35</v>
      </c>
      <c r="O1260" t="s">
        <v>35</v>
      </c>
      <c r="P1260" t="s">
        <v>35</v>
      </c>
      <c r="Q1260" t="s">
        <v>35</v>
      </c>
      <c r="R1260" t="s">
        <v>35</v>
      </c>
      <c r="S1260" t="s">
        <v>34</v>
      </c>
      <c r="AD1260">
        <v>20170124</v>
      </c>
      <c r="AF1260" t="str">
        <f>IFERROR(VLOOKUP(RIGHT(TblFeedFile1[[#This Row],[Leave Type ]],6),LkupPayType[],2,FALSE),"TBD")</f>
        <v>TBD</v>
      </c>
      <c r="AG1260" t="str">
        <f>IFERROR(VLOOKUP(TblFeedFile1[[#This Row],[ Report Number ]],LkupPayrollCycle[],2,FALSE),"TBD")</f>
        <v>Bi-Weekly</v>
      </c>
      <c r="AH1260" t="str">
        <f>IF(TblFeedFile1[[#This Row],[Return to Work Date ]]="","","Y")</f>
        <v/>
      </c>
    </row>
    <row r="1261" spans="1:34" x14ac:dyDescent="0.25">
      <c r="A1261" t="s">
        <v>37</v>
      </c>
      <c r="B1261">
        <v>314304</v>
      </c>
      <c r="C1261">
        <v>28239780</v>
      </c>
      <c r="D1261" s="1" t="s">
        <v>1581</v>
      </c>
      <c r="E1261" t="s">
        <v>901</v>
      </c>
      <c r="F1261" t="s">
        <v>1582</v>
      </c>
      <c r="G1261">
        <v>20170114</v>
      </c>
      <c r="H1261">
        <v>20170227</v>
      </c>
      <c r="I1261" t="s">
        <v>36</v>
      </c>
      <c r="L1261" t="s">
        <v>34</v>
      </c>
      <c r="M1261" t="s">
        <v>34</v>
      </c>
      <c r="N1261" t="s">
        <v>35</v>
      </c>
      <c r="O1261" t="s">
        <v>35</v>
      </c>
      <c r="P1261" t="s">
        <v>35</v>
      </c>
      <c r="Q1261" t="s">
        <v>35</v>
      </c>
      <c r="R1261" t="s">
        <v>35</v>
      </c>
      <c r="S1261" t="s">
        <v>34</v>
      </c>
      <c r="AD1261">
        <v>20170124</v>
      </c>
      <c r="AF1261" t="str">
        <f>IFERROR(VLOOKUP(RIGHT(TblFeedFile1[[#This Row],[Leave Type ]],6),LkupPayType[],2,FALSE),"TBD")</f>
        <v>TBD</v>
      </c>
      <c r="AG1261" t="str">
        <f>IFERROR(VLOOKUP(TblFeedFile1[[#This Row],[ Report Number ]],LkupPayrollCycle[],2,FALSE),"TBD")</f>
        <v>Bi-Weekly</v>
      </c>
      <c r="AH1261" t="str">
        <f>IF(TblFeedFile1[[#This Row],[Return to Work Date ]]="","","Y")</f>
        <v/>
      </c>
    </row>
    <row r="1262" spans="1:34" x14ac:dyDescent="0.25">
      <c r="A1262" t="s">
        <v>37</v>
      </c>
      <c r="B1262">
        <v>314304</v>
      </c>
      <c r="C1262">
        <v>28239780</v>
      </c>
      <c r="D1262" s="1">
        <v>531701238333</v>
      </c>
      <c r="E1262" t="s">
        <v>901</v>
      </c>
      <c r="F1262" t="s">
        <v>1582</v>
      </c>
      <c r="G1262">
        <v>20170114</v>
      </c>
      <c r="I1262" t="s">
        <v>53</v>
      </c>
      <c r="L1262" t="s">
        <v>34</v>
      </c>
      <c r="M1262" t="s">
        <v>34</v>
      </c>
      <c r="N1262" t="s">
        <v>35</v>
      </c>
      <c r="O1262" t="s">
        <v>35</v>
      </c>
      <c r="P1262" t="s">
        <v>35</v>
      </c>
      <c r="Q1262" t="s">
        <v>35</v>
      </c>
      <c r="R1262" t="s">
        <v>35</v>
      </c>
      <c r="S1262" t="s">
        <v>34</v>
      </c>
      <c r="AD1262">
        <v>20170124</v>
      </c>
      <c r="AF1262" t="str">
        <f>IFERROR(VLOOKUP(RIGHT(TblFeedFile1[[#This Row],[Leave Type ]],6),LkupPayType[],2,FALSE),"TBD")</f>
        <v>TBD</v>
      </c>
      <c r="AG1262" t="str">
        <f>IFERROR(VLOOKUP(TblFeedFile1[[#This Row],[ Report Number ]],LkupPayrollCycle[],2,FALSE),"TBD")</f>
        <v>Bi-Weekly</v>
      </c>
      <c r="AH1262" t="str">
        <f>IF(TblFeedFile1[[#This Row],[Return to Work Date ]]="","","Y")</f>
        <v/>
      </c>
    </row>
    <row r="1263" spans="1:34" x14ac:dyDescent="0.25">
      <c r="A1263" t="s">
        <v>29</v>
      </c>
      <c r="B1263">
        <v>314304</v>
      </c>
      <c r="C1263">
        <v>28266902</v>
      </c>
      <c r="D1263" s="1" t="s">
        <v>1583</v>
      </c>
      <c r="E1263" t="s">
        <v>1535</v>
      </c>
      <c r="F1263" t="s">
        <v>159</v>
      </c>
      <c r="G1263">
        <v>20170103</v>
      </c>
      <c r="H1263">
        <v>20170123</v>
      </c>
      <c r="I1263" t="s">
        <v>36</v>
      </c>
      <c r="L1263" t="s">
        <v>34</v>
      </c>
      <c r="M1263" t="s">
        <v>34</v>
      </c>
      <c r="N1263" t="s">
        <v>35</v>
      </c>
      <c r="O1263" t="s">
        <v>35</v>
      </c>
      <c r="P1263" t="s">
        <v>35</v>
      </c>
      <c r="Q1263" t="s">
        <v>35</v>
      </c>
      <c r="R1263" t="s">
        <v>35</v>
      </c>
      <c r="S1263" t="s">
        <v>34</v>
      </c>
      <c r="AD1263">
        <v>20170124</v>
      </c>
      <c r="AF1263" t="str">
        <f>IFERROR(VLOOKUP(RIGHT(TblFeedFile1[[#This Row],[Leave Type ]],6),LkupPayType[],2,FALSE),"TBD")</f>
        <v>TBD</v>
      </c>
      <c r="AG1263" t="str">
        <f>IFERROR(VLOOKUP(TblFeedFile1[[#This Row],[ Report Number ]],LkupPayrollCycle[],2,FALSE),"TBD")</f>
        <v>Bi-Weekly</v>
      </c>
      <c r="AH1263" t="str">
        <f>IF(TblFeedFile1[[#This Row],[Return to Work Date ]]="","","Y")</f>
        <v/>
      </c>
    </row>
    <row r="1264" spans="1:34" x14ac:dyDescent="0.25">
      <c r="A1264" t="s">
        <v>37</v>
      </c>
      <c r="B1264">
        <v>314304</v>
      </c>
      <c r="C1264">
        <v>28266902</v>
      </c>
      <c r="D1264" s="1">
        <v>571701058327</v>
      </c>
      <c r="E1264" t="s">
        <v>1535</v>
      </c>
      <c r="F1264" t="s">
        <v>159</v>
      </c>
      <c r="G1264">
        <v>20170103</v>
      </c>
      <c r="H1264">
        <v>20170123</v>
      </c>
      <c r="I1264" t="s">
        <v>53</v>
      </c>
      <c r="L1264" t="s">
        <v>34</v>
      </c>
      <c r="M1264" t="s">
        <v>34</v>
      </c>
      <c r="N1264" t="s">
        <v>35</v>
      </c>
      <c r="O1264" t="s">
        <v>35</v>
      </c>
      <c r="P1264" t="s">
        <v>35</v>
      </c>
      <c r="Q1264" t="s">
        <v>35</v>
      </c>
      <c r="R1264" t="s">
        <v>35</v>
      </c>
      <c r="S1264" t="s">
        <v>34</v>
      </c>
      <c r="AD1264">
        <v>20170124</v>
      </c>
      <c r="AF1264" t="str">
        <f>IFERROR(VLOOKUP(RIGHT(TblFeedFile1[[#This Row],[Leave Type ]],6),LkupPayType[],2,FALSE),"TBD")</f>
        <v>TBD</v>
      </c>
      <c r="AG1264" t="str">
        <f>IFERROR(VLOOKUP(TblFeedFile1[[#This Row],[ Report Number ]],LkupPayrollCycle[],2,FALSE),"TBD")</f>
        <v>Bi-Weekly</v>
      </c>
      <c r="AH1264" t="str">
        <f>IF(TblFeedFile1[[#This Row],[Return to Work Date ]]="","","Y")</f>
        <v/>
      </c>
    </row>
    <row r="1265" spans="1:34" x14ac:dyDescent="0.25">
      <c r="A1265" t="s">
        <v>37</v>
      </c>
      <c r="B1265">
        <v>314304</v>
      </c>
      <c r="C1265">
        <v>28266902</v>
      </c>
      <c r="D1265" s="1">
        <v>571701058327</v>
      </c>
      <c r="E1265" t="s">
        <v>1535</v>
      </c>
      <c r="F1265" t="s">
        <v>159</v>
      </c>
      <c r="G1265">
        <v>20170110</v>
      </c>
      <c r="H1265">
        <v>20170123</v>
      </c>
      <c r="I1265" t="s">
        <v>40</v>
      </c>
      <c r="L1265" t="s">
        <v>34</v>
      </c>
      <c r="M1265" t="s">
        <v>34</v>
      </c>
      <c r="N1265" t="s">
        <v>35</v>
      </c>
      <c r="O1265" t="s">
        <v>35</v>
      </c>
      <c r="P1265" t="s">
        <v>35</v>
      </c>
      <c r="Q1265" t="s">
        <v>35</v>
      </c>
      <c r="R1265" t="s">
        <v>35</v>
      </c>
      <c r="S1265" t="s">
        <v>34</v>
      </c>
      <c r="AD1265">
        <v>20170124</v>
      </c>
      <c r="AF1265" t="str">
        <f>IFERROR(VLOOKUP(RIGHT(TblFeedFile1[[#This Row],[Leave Type ]],6),LkupPayType[],2,FALSE),"TBD")</f>
        <v>TBD</v>
      </c>
      <c r="AG1265" t="str">
        <f>IFERROR(VLOOKUP(TblFeedFile1[[#This Row],[ Report Number ]],LkupPayrollCycle[],2,FALSE),"TBD")</f>
        <v>Bi-Weekly</v>
      </c>
      <c r="AH1265" t="str">
        <f>IF(TblFeedFile1[[#This Row],[Return to Work Date ]]="","","Y")</f>
        <v/>
      </c>
    </row>
    <row r="1266" spans="1:34" x14ac:dyDescent="0.25">
      <c r="A1266" t="s">
        <v>37</v>
      </c>
      <c r="B1266">
        <v>314304</v>
      </c>
      <c r="C1266">
        <v>28266902</v>
      </c>
      <c r="D1266" s="1" t="s">
        <v>1583</v>
      </c>
      <c r="E1266" t="s">
        <v>1535</v>
      </c>
      <c r="F1266" t="s">
        <v>159</v>
      </c>
      <c r="G1266">
        <v>20170124</v>
      </c>
      <c r="H1266">
        <v>20170124</v>
      </c>
      <c r="I1266" t="s">
        <v>33</v>
      </c>
      <c r="L1266" t="s">
        <v>34</v>
      </c>
      <c r="M1266" t="s">
        <v>34</v>
      </c>
      <c r="N1266" t="s">
        <v>35</v>
      </c>
      <c r="O1266" t="s">
        <v>35</v>
      </c>
      <c r="P1266" t="s">
        <v>35</v>
      </c>
      <c r="Q1266" t="s">
        <v>35</v>
      </c>
      <c r="R1266" t="s">
        <v>35</v>
      </c>
      <c r="S1266" t="s">
        <v>34</v>
      </c>
      <c r="AD1266">
        <v>20170124</v>
      </c>
      <c r="AF1266" t="str">
        <f>IFERROR(VLOOKUP(RIGHT(TblFeedFile1[[#This Row],[Leave Type ]],6),LkupPayType[],2,FALSE),"TBD")</f>
        <v>TBD</v>
      </c>
      <c r="AG1266" t="str">
        <f>IFERROR(VLOOKUP(TblFeedFile1[[#This Row],[ Report Number ]],LkupPayrollCycle[],2,FALSE),"TBD")</f>
        <v>Bi-Weekly</v>
      </c>
      <c r="AH1266" t="str">
        <f>IF(TblFeedFile1[[#This Row],[Return to Work Date ]]="","","Y")</f>
        <v/>
      </c>
    </row>
    <row r="1267" spans="1:34" x14ac:dyDescent="0.25">
      <c r="A1267" t="s">
        <v>37</v>
      </c>
      <c r="B1267">
        <v>314304</v>
      </c>
      <c r="C1267">
        <v>28269553</v>
      </c>
      <c r="D1267" s="1" t="s">
        <v>1584</v>
      </c>
      <c r="E1267" t="s">
        <v>1585</v>
      </c>
      <c r="F1267" t="s">
        <v>324</v>
      </c>
      <c r="G1267">
        <v>20170123</v>
      </c>
      <c r="H1267">
        <v>20170508</v>
      </c>
      <c r="I1267" t="s">
        <v>223</v>
      </c>
      <c r="L1267" t="s">
        <v>34</v>
      </c>
      <c r="M1267" t="s">
        <v>34</v>
      </c>
      <c r="N1267" t="s">
        <v>35</v>
      </c>
      <c r="O1267" t="s">
        <v>35</v>
      </c>
      <c r="P1267" t="s">
        <v>35</v>
      </c>
      <c r="Q1267" t="s">
        <v>35</v>
      </c>
      <c r="R1267" t="s">
        <v>35</v>
      </c>
      <c r="S1267" t="s">
        <v>34</v>
      </c>
      <c r="AD1267">
        <v>20170124</v>
      </c>
      <c r="AF1267" t="str">
        <f>IFERROR(VLOOKUP(RIGHT(TblFeedFile1[[#This Row],[Leave Type ]],6),LkupPayType[],2,FALSE),"TBD")</f>
        <v>TBD</v>
      </c>
      <c r="AG1267" t="str">
        <f>IFERROR(VLOOKUP(TblFeedFile1[[#This Row],[ Report Number ]],LkupPayrollCycle[],2,FALSE),"TBD")</f>
        <v>Bi-Weekly</v>
      </c>
      <c r="AH1267" t="str">
        <f>IF(TblFeedFile1[[#This Row],[Return to Work Date ]]="","","Y")</f>
        <v/>
      </c>
    </row>
    <row r="1268" spans="1:34" x14ac:dyDescent="0.25">
      <c r="A1268" t="s">
        <v>37</v>
      </c>
      <c r="B1268">
        <v>314304</v>
      </c>
      <c r="C1268">
        <v>28294641</v>
      </c>
      <c r="D1268" s="1" t="s">
        <v>1586</v>
      </c>
      <c r="E1268" t="s">
        <v>895</v>
      </c>
      <c r="F1268" t="s">
        <v>197</v>
      </c>
      <c r="G1268">
        <v>20170123</v>
      </c>
      <c r="H1268">
        <v>20170129</v>
      </c>
      <c r="I1268" t="s">
        <v>185</v>
      </c>
      <c r="L1268" t="s">
        <v>34</v>
      </c>
      <c r="M1268" t="s">
        <v>34</v>
      </c>
      <c r="N1268" t="s">
        <v>35</v>
      </c>
      <c r="O1268" t="s">
        <v>35</v>
      </c>
      <c r="P1268" t="s">
        <v>35</v>
      </c>
      <c r="Q1268" t="s">
        <v>35</v>
      </c>
      <c r="R1268" t="s">
        <v>35</v>
      </c>
      <c r="S1268" t="s">
        <v>34</v>
      </c>
      <c r="AC1268" t="s">
        <v>35</v>
      </c>
      <c r="AD1268">
        <v>20170124</v>
      </c>
      <c r="AF1268" t="str">
        <f>IFERROR(VLOOKUP(RIGHT(TblFeedFile1[[#This Row],[Leave Type ]],6),LkupPayType[],2,FALSE),"TBD")</f>
        <v>TBD</v>
      </c>
      <c r="AG1268" t="str">
        <f>IFERROR(VLOOKUP(TblFeedFile1[[#This Row],[ Report Number ]],LkupPayrollCycle[],2,FALSE),"TBD")</f>
        <v>Bi-Weekly</v>
      </c>
      <c r="AH1268" t="str">
        <f>IF(TblFeedFile1[[#This Row],[Return to Work Date ]]="","","Y")</f>
        <v/>
      </c>
    </row>
    <row r="1269" spans="1:34" x14ac:dyDescent="0.25">
      <c r="A1269" t="s">
        <v>29</v>
      </c>
      <c r="B1269">
        <v>314304</v>
      </c>
      <c r="C1269">
        <v>28341272</v>
      </c>
      <c r="D1269" s="1">
        <v>521701068572</v>
      </c>
      <c r="E1269" t="s">
        <v>331</v>
      </c>
      <c r="F1269" t="s">
        <v>1587</v>
      </c>
      <c r="G1269">
        <v>20170116</v>
      </c>
      <c r="H1269">
        <v>20170125</v>
      </c>
      <c r="I1269" t="s">
        <v>40</v>
      </c>
      <c r="L1269" t="s">
        <v>34</v>
      </c>
      <c r="M1269" t="s">
        <v>34</v>
      </c>
      <c r="N1269" t="s">
        <v>35</v>
      </c>
      <c r="O1269" t="s">
        <v>35</v>
      </c>
      <c r="P1269" t="s">
        <v>35</v>
      </c>
      <c r="Q1269" t="s">
        <v>35</v>
      </c>
      <c r="R1269" t="s">
        <v>35</v>
      </c>
      <c r="S1269" t="s">
        <v>34</v>
      </c>
      <c r="AD1269">
        <v>20170124</v>
      </c>
      <c r="AF1269" t="str">
        <f>IFERROR(VLOOKUP(RIGHT(TblFeedFile1[[#This Row],[Leave Type ]],6),LkupPayType[],2,FALSE),"TBD")</f>
        <v>TBD</v>
      </c>
      <c r="AG1269" t="str">
        <f>IFERROR(VLOOKUP(TblFeedFile1[[#This Row],[ Report Number ]],LkupPayrollCycle[],2,FALSE),"TBD")</f>
        <v>Bi-Weekly</v>
      </c>
      <c r="AH1269" t="str">
        <f>IF(TblFeedFile1[[#This Row],[Return to Work Date ]]="","","Y")</f>
        <v/>
      </c>
    </row>
    <row r="1270" spans="1:34" x14ac:dyDescent="0.25">
      <c r="A1270" t="s">
        <v>29</v>
      </c>
      <c r="B1270">
        <v>314304</v>
      </c>
      <c r="C1270">
        <v>28341272</v>
      </c>
      <c r="D1270" s="1">
        <v>571701198817</v>
      </c>
      <c r="E1270" t="s">
        <v>331</v>
      </c>
      <c r="F1270" t="s">
        <v>1587</v>
      </c>
      <c r="G1270">
        <v>20170110</v>
      </c>
      <c r="H1270">
        <v>20170110</v>
      </c>
      <c r="I1270" t="s">
        <v>43</v>
      </c>
      <c r="L1270" t="s">
        <v>34</v>
      </c>
      <c r="M1270" t="s">
        <v>34</v>
      </c>
      <c r="N1270" t="s">
        <v>35</v>
      </c>
      <c r="O1270" t="s">
        <v>35</v>
      </c>
      <c r="P1270" t="s">
        <v>35</v>
      </c>
      <c r="Q1270" t="s">
        <v>35</v>
      </c>
      <c r="R1270" t="s">
        <v>35</v>
      </c>
      <c r="S1270" t="s">
        <v>34</v>
      </c>
      <c r="AD1270">
        <v>20170124</v>
      </c>
      <c r="AF1270" t="str">
        <f>IFERROR(VLOOKUP(RIGHT(TblFeedFile1[[#This Row],[Leave Type ]],6),LkupPayType[],2,FALSE),"TBD")</f>
        <v>TBD</v>
      </c>
      <c r="AG1270" t="str">
        <f>IFERROR(VLOOKUP(TblFeedFile1[[#This Row],[ Report Number ]],LkupPayrollCycle[],2,FALSE),"TBD")</f>
        <v>Bi-Weekly</v>
      </c>
      <c r="AH1270" t="str">
        <f>IF(TblFeedFile1[[#This Row],[Return to Work Date ]]="","","Y")</f>
        <v/>
      </c>
    </row>
    <row r="1271" spans="1:34" x14ac:dyDescent="0.25">
      <c r="A1271" t="s">
        <v>29</v>
      </c>
      <c r="B1271">
        <v>314304</v>
      </c>
      <c r="C1271">
        <v>28341272</v>
      </c>
      <c r="D1271" s="1">
        <v>521701068572</v>
      </c>
      <c r="E1271" t="s">
        <v>331</v>
      </c>
      <c r="F1271" t="s">
        <v>1587</v>
      </c>
      <c r="G1271">
        <v>20170109</v>
      </c>
      <c r="H1271">
        <v>20170125</v>
      </c>
      <c r="I1271" t="s">
        <v>53</v>
      </c>
      <c r="L1271" t="s">
        <v>34</v>
      </c>
      <c r="M1271" t="s">
        <v>34</v>
      </c>
      <c r="N1271" t="s">
        <v>35</v>
      </c>
      <c r="O1271" t="s">
        <v>35</v>
      </c>
      <c r="P1271" t="s">
        <v>35</v>
      </c>
      <c r="Q1271" t="s">
        <v>35</v>
      </c>
      <c r="R1271" t="s">
        <v>35</v>
      </c>
      <c r="S1271" t="s">
        <v>34</v>
      </c>
      <c r="AD1271">
        <v>20170124</v>
      </c>
      <c r="AF1271" t="str">
        <f>IFERROR(VLOOKUP(RIGHT(TblFeedFile1[[#This Row],[Leave Type ]],6),LkupPayType[],2,FALSE),"TBD")</f>
        <v>TBD</v>
      </c>
      <c r="AG1271" t="str">
        <f>IFERROR(VLOOKUP(TblFeedFile1[[#This Row],[ Report Number ]],LkupPayrollCycle[],2,FALSE),"TBD")</f>
        <v>Bi-Weekly</v>
      </c>
      <c r="AH1271" t="str">
        <f>IF(TblFeedFile1[[#This Row],[Return to Work Date ]]="","","Y")</f>
        <v/>
      </c>
    </row>
    <row r="1272" spans="1:34" x14ac:dyDescent="0.25">
      <c r="A1272" t="s">
        <v>37</v>
      </c>
      <c r="B1272">
        <v>314304</v>
      </c>
      <c r="C1272">
        <v>28344100</v>
      </c>
      <c r="D1272" s="1" t="s">
        <v>1588</v>
      </c>
      <c r="E1272" t="s">
        <v>430</v>
      </c>
      <c r="F1272" t="s">
        <v>1589</v>
      </c>
      <c r="G1272">
        <v>20160502</v>
      </c>
      <c r="H1272">
        <v>20160701</v>
      </c>
      <c r="I1272" t="s">
        <v>36</v>
      </c>
      <c r="L1272" t="s">
        <v>34</v>
      </c>
      <c r="M1272" t="s">
        <v>34</v>
      </c>
      <c r="N1272" t="s">
        <v>35</v>
      </c>
      <c r="O1272" t="s">
        <v>35</v>
      </c>
      <c r="P1272" t="s">
        <v>35</v>
      </c>
      <c r="Q1272" t="s">
        <v>35</v>
      </c>
      <c r="R1272" t="s">
        <v>35</v>
      </c>
      <c r="S1272" t="s">
        <v>34</v>
      </c>
      <c r="AD1272">
        <v>20170124</v>
      </c>
      <c r="AF1272" t="str">
        <f>IFERROR(VLOOKUP(RIGHT(TblFeedFile1[[#This Row],[Leave Type ]],6),LkupPayType[],2,FALSE),"TBD")</f>
        <v>TBD</v>
      </c>
      <c r="AG1272" t="str">
        <f>IFERROR(VLOOKUP(TblFeedFile1[[#This Row],[ Report Number ]],LkupPayrollCycle[],2,FALSE),"TBD")</f>
        <v>Bi-Weekly</v>
      </c>
      <c r="AH1272" t="str">
        <f>IF(TblFeedFile1[[#This Row],[Return to Work Date ]]="","","Y")</f>
        <v/>
      </c>
    </row>
    <row r="1273" spans="1:34" x14ac:dyDescent="0.25">
      <c r="A1273" t="s">
        <v>37</v>
      </c>
      <c r="B1273">
        <v>314304</v>
      </c>
      <c r="C1273">
        <v>28344100</v>
      </c>
      <c r="D1273" s="1" t="s">
        <v>1590</v>
      </c>
      <c r="E1273" t="s">
        <v>430</v>
      </c>
      <c r="F1273" t="s">
        <v>1589</v>
      </c>
      <c r="G1273">
        <v>20161017</v>
      </c>
      <c r="H1273">
        <v>20161118</v>
      </c>
      <c r="I1273" t="s">
        <v>36</v>
      </c>
      <c r="L1273" t="s">
        <v>34</v>
      </c>
      <c r="M1273" t="s">
        <v>34</v>
      </c>
      <c r="N1273" t="s">
        <v>35</v>
      </c>
      <c r="O1273" t="s">
        <v>35</v>
      </c>
      <c r="P1273" t="s">
        <v>35</v>
      </c>
      <c r="Q1273" t="s">
        <v>35</v>
      </c>
      <c r="R1273" t="s">
        <v>35</v>
      </c>
      <c r="S1273" t="s">
        <v>34</v>
      </c>
      <c r="T1273">
        <v>20161119</v>
      </c>
      <c r="AD1273">
        <v>20170124</v>
      </c>
      <c r="AF1273" t="str">
        <f>IFERROR(VLOOKUP(RIGHT(TblFeedFile1[[#This Row],[Leave Type ]],6),LkupPayType[],2,FALSE),"TBD")</f>
        <v>TBD</v>
      </c>
      <c r="AG1273" t="str">
        <f>IFERROR(VLOOKUP(TblFeedFile1[[#This Row],[ Report Number ]],LkupPayrollCycle[],2,FALSE),"TBD")</f>
        <v>Bi-Weekly</v>
      </c>
      <c r="AH1273" t="str">
        <f>IF(TblFeedFile1[[#This Row],[Return to Work Date ]]="","","Y")</f>
        <v>Y</v>
      </c>
    </row>
    <row r="1274" spans="1:34" x14ac:dyDescent="0.25">
      <c r="A1274" t="s">
        <v>29</v>
      </c>
      <c r="B1274">
        <v>314301</v>
      </c>
      <c r="C1274">
        <v>28344637</v>
      </c>
      <c r="D1274" s="1" t="s">
        <v>1591</v>
      </c>
      <c r="E1274" t="s">
        <v>112</v>
      </c>
      <c r="F1274" t="s">
        <v>1015</v>
      </c>
      <c r="G1274">
        <v>20170119</v>
      </c>
      <c r="H1274">
        <v>20170528</v>
      </c>
      <c r="I1274" t="s">
        <v>36</v>
      </c>
      <c r="L1274" t="s">
        <v>35</v>
      </c>
      <c r="AD1274">
        <v>20170124</v>
      </c>
      <c r="AF1274" t="str">
        <f>IFERROR(VLOOKUP(RIGHT(TblFeedFile1[[#This Row],[Leave Type ]],6),LkupPayType[],2,FALSE),"TBD")</f>
        <v>TBD</v>
      </c>
      <c r="AG1274" t="str">
        <f>IFERROR(VLOOKUP(TblFeedFile1[[#This Row],[ Report Number ]],LkupPayrollCycle[],2,FALSE),"TBD")</f>
        <v>Semi-Monthly</v>
      </c>
      <c r="AH1274" t="str">
        <f>IF(TblFeedFile1[[#This Row],[Return to Work Date ]]="","","Y")</f>
        <v/>
      </c>
    </row>
    <row r="1275" spans="1:34" x14ac:dyDescent="0.25">
      <c r="A1275" t="s">
        <v>37</v>
      </c>
      <c r="B1275">
        <v>314301</v>
      </c>
      <c r="C1275">
        <v>28344637</v>
      </c>
      <c r="D1275" s="1" t="s">
        <v>1591</v>
      </c>
      <c r="E1275" t="s">
        <v>112</v>
      </c>
      <c r="F1275" t="s">
        <v>1015</v>
      </c>
      <c r="G1275">
        <v>20170119</v>
      </c>
      <c r="H1275">
        <v>20170528</v>
      </c>
      <c r="I1275" t="s">
        <v>78</v>
      </c>
      <c r="K1275" t="s">
        <v>79</v>
      </c>
      <c r="L1275" t="s">
        <v>35</v>
      </c>
      <c r="AD1275">
        <v>20170124</v>
      </c>
      <c r="AF1275" t="str">
        <f>IFERROR(VLOOKUP(RIGHT(TblFeedFile1[[#This Row],[Leave Type ]],6),LkupPayType[],2,FALSE),"TBD")</f>
        <v>TBD</v>
      </c>
      <c r="AG1275" t="str">
        <f>IFERROR(VLOOKUP(TblFeedFile1[[#This Row],[ Report Number ]],LkupPayrollCycle[],2,FALSE),"TBD")</f>
        <v>Semi-Monthly</v>
      </c>
      <c r="AH1275" t="str">
        <f>IF(TblFeedFile1[[#This Row],[Return to Work Date ]]="","","Y")</f>
        <v/>
      </c>
    </row>
    <row r="1276" spans="1:34" x14ac:dyDescent="0.25">
      <c r="A1276" t="s">
        <v>37</v>
      </c>
      <c r="B1276">
        <v>314301</v>
      </c>
      <c r="C1276">
        <v>28344637</v>
      </c>
      <c r="D1276" s="1">
        <v>551701208035</v>
      </c>
      <c r="E1276" t="s">
        <v>112</v>
      </c>
      <c r="F1276" t="s">
        <v>1015</v>
      </c>
      <c r="G1276">
        <v>20170120</v>
      </c>
      <c r="H1276">
        <v>20170528</v>
      </c>
      <c r="I1276" t="s">
        <v>53</v>
      </c>
      <c r="L1276" t="s">
        <v>35</v>
      </c>
      <c r="AD1276">
        <v>20170124</v>
      </c>
      <c r="AF1276" t="str">
        <f>IFERROR(VLOOKUP(RIGHT(TblFeedFile1[[#This Row],[Leave Type ]],6),LkupPayType[],2,FALSE),"TBD")</f>
        <v>TBD</v>
      </c>
      <c r="AG1276" t="str">
        <f>IFERROR(VLOOKUP(TblFeedFile1[[#This Row],[ Report Number ]],LkupPayrollCycle[],2,FALSE),"TBD")</f>
        <v>Semi-Monthly</v>
      </c>
      <c r="AH1276" t="str">
        <f>IF(TblFeedFile1[[#This Row],[Return to Work Date ]]="","","Y")</f>
        <v/>
      </c>
    </row>
    <row r="1277" spans="1:34" x14ac:dyDescent="0.25">
      <c r="A1277" t="s">
        <v>37</v>
      </c>
      <c r="B1277">
        <v>314301</v>
      </c>
      <c r="C1277">
        <v>28344637</v>
      </c>
      <c r="D1277" s="1">
        <v>551701208035</v>
      </c>
      <c r="E1277" t="s">
        <v>112</v>
      </c>
      <c r="F1277" t="s">
        <v>1015</v>
      </c>
      <c r="G1277">
        <v>20170127</v>
      </c>
      <c r="H1277">
        <v>20170528</v>
      </c>
      <c r="I1277" t="s">
        <v>40</v>
      </c>
      <c r="L1277" t="s">
        <v>35</v>
      </c>
      <c r="AD1277">
        <v>20170124</v>
      </c>
      <c r="AF1277" t="str">
        <f>IFERROR(VLOOKUP(RIGHT(TblFeedFile1[[#This Row],[Leave Type ]],6),LkupPayType[],2,FALSE),"TBD")</f>
        <v>TBD</v>
      </c>
      <c r="AG1277" t="str">
        <f>IFERROR(VLOOKUP(TblFeedFile1[[#This Row],[ Report Number ]],LkupPayrollCycle[],2,FALSE),"TBD")</f>
        <v>Semi-Monthly</v>
      </c>
      <c r="AH1277" t="str">
        <f>IF(TblFeedFile1[[#This Row],[Return to Work Date ]]="","","Y")</f>
        <v/>
      </c>
    </row>
    <row r="1278" spans="1:34" x14ac:dyDescent="0.25">
      <c r="A1278" t="s">
        <v>29</v>
      </c>
      <c r="B1278">
        <v>314304</v>
      </c>
      <c r="C1278">
        <v>28348676</v>
      </c>
      <c r="D1278" s="1">
        <v>521701098822</v>
      </c>
      <c r="E1278" t="s">
        <v>556</v>
      </c>
      <c r="F1278" t="s">
        <v>1592</v>
      </c>
      <c r="G1278">
        <v>20170109</v>
      </c>
      <c r="H1278">
        <v>20170228</v>
      </c>
      <c r="I1278" t="s">
        <v>40</v>
      </c>
      <c r="L1278" t="s">
        <v>35</v>
      </c>
      <c r="X1278" t="s">
        <v>35</v>
      </c>
      <c r="AD1278">
        <v>20170124</v>
      </c>
      <c r="AF1278" t="str">
        <f>IFERROR(VLOOKUP(RIGHT(TblFeedFile1[[#This Row],[Leave Type ]],6),LkupPayType[],2,FALSE),"TBD")</f>
        <v>TBD</v>
      </c>
      <c r="AG1278" t="str">
        <f>IFERROR(VLOOKUP(TblFeedFile1[[#This Row],[ Report Number ]],LkupPayrollCycle[],2,FALSE),"TBD")</f>
        <v>Bi-Weekly</v>
      </c>
      <c r="AH1278" t="str">
        <f>IF(TblFeedFile1[[#This Row],[Return to Work Date ]]="","","Y")</f>
        <v/>
      </c>
    </row>
    <row r="1279" spans="1:34" x14ac:dyDescent="0.25">
      <c r="A1279" t="s">
        <v>37</v>
      </c>
      <c r="B1279">
        <v>314304</v>
      </c>
      <c r="C1279">
        <v>28348676</v>
      </c>
      <c r="D1279" s="1">
        <v>521701098822</v>
      </c>
      <c r="E1279" t="s">
        <v>556</v>
      </c>
      <c r="F1279" t="s">
        <v>1592</v>
      </c>
      <c r="G1279">
        <v>20170109</v>
      </c>
      <c r="H1279">
        <v>20170122</v>
      </c>
      <c r="I1279" t="s">
        <v>40</v>
      </c>
      <c r="L1279" t="s">
        <v>35</v>
      </c>
      <c r="T1279">
        <v>20170123</v>
      </c>
      <c r="X1279" t="s">
        <v>35</v>
      </c>
      <c r="AD1279">
        <v>20170124</v>
      </c>
      <c r="AF1279" t="str">
        <f>IFERROR(VLOOKUP(RIGHT(TblFeedFile1[[#This Row],[Leave Type ]],6),LkupPayType[],2,FALSE),"TBD")</f>
        <v>TBD</v>
      </c>
      <c r="AG1279" t="str">
        <f>IFERROR(VLOOKUP(TblFeedFile1[[#This Row],[ Report Number ]],LkupPayrollCycle[],2,FALSE),"TBD")</f>
        <v>Bi-Weekly</v>
      </c>
      <c r="AH1279" t="str">
        <f>IF(TblFeedFile1[[#This Row],[Return to Work Date ]]="","","Y")</f>
        <v>Y</v>
      </c>
    </row>
    <row r="1280" spans="1:34" x14ac:dyDescent="0.25">
      <c r="A1280" t="s">
        <v>29</v>
      </c>
      <c r="B1280">
        <v>314301</v>
      </c>
      <c r="C1280">
        <v>28363813</v>
      </c>
      <c r="D1280" s="1" t="s">
        <v>1593</v>
      </c>
      <c r="E1280" t="s">
        <v>1594</v>
      </c>
      <c r="F1280" t="s">
        <v>1595</v>
      </c>
      <c r="G1280">
        <v>20170114</v>
      </c>
      <c r="H1280">
        <v>20170114</v>
      </c>
      <c r="I1280" t="s">
        <v>33</v>
      </c>
      <c r="L1280" t="s">
        <v>34</v>
      </c>
      <c r="M1280" t="s">
        <v>34</v>
      </c>
      <c r="N1280" t="s">
        <v>35</v>
      </c>
      <c r="O1280" t="s">
        <v>35</v>
      </c>
      <c r="P1280" t="s">
        <v>35</v>
      </c>
      <c r="Q1280" t="s">
        <v>35</v>
      </c>
      <c r="R1280" t="s">
        <v>35</v>
      </c>
      <c r="S1280" t="s">
        <v>34</v>
      </c>
      <c r="AC1280" t="s">
        <v>35</v>
      </c>
      <c r="AD1280">
        <v>20170124</v>
      </c>
      <c r="AF1280" t="str">
        <f>IFERROR(VLOOKUP(RIGHT(TblFeedFile1[[#This Row],[Leave Type ]],6),LkupPayType[],2,FALSE),"TBD")</f>
        <v>TBD</v>
      </c>
      <c r="AG1280" t="str">
        <f>IFERROR(VLOOKUP(TblFeedFile1[[#This Row],[ Report Number ]],LkupPayrollCycle[],2,FALSE),"TBD")</f>
        <v>Semi-Monthly</v>
      </c>
      <c r="AH1280" t="str">
        <f>IF(TblFeedFile1[[#This Row],[Return to Work Date ]]="","","Y")</f>
        <v/>
      </c>
    </row>
    <row r="1281" spans="1:34" x14ac:dyDescent="0.25">
      <c r="A1281" t="s">
        <v>29</v>
      </c>
      <c r="B1281">
        <v>314301</v>
      </c>
      <c r="C1281">
        <v>28363813</v>
      </c>
      <c r="D1281" s="1" t="s">
        <v>1593</v>
      </c>
      <c r="E1281" t="s">
        <v>1594</v>
      </c>
      <c r="F1281" t="s">
        <v>1595</v>
      </c>
      <c r="G1281">
        <v>20161205</v>
      </c>
      <c r="H1281">
        <v>20170113</v>
      </c>
      <c r="I1281" t="s">
        <v>223</v>
      </c>
      <c r="L1281" t="s">
        <v>34</v>
      </c>
      <c r="M1281" t="s">
        <v>34</v>
      </c>
      <c r="N1281" t="s">
        <v>35</v>
      </c>
      <c r="O1281" t="s">
        <v>35</v>
      </c>
      <c r="P1281" t="s">
        <v>35</v>
      </c>
      <c r="Q1281" t="s">
        <v>35</v>
      </c>
      <c r="R1281" t="s">
        <v>35</v>
      </c>
      <c r="S1281" t="s">
        <v>34</v>
      </c>
      <c r="AC1281" t="s">
        <v>35</v>
      </c>
      <c r="AD1281">
        <v>20170124</v>
      </c>
      <c r="AF1281" t="str">
        <f>IFERROR(VLOOKUP(RIGHT(TblFeedFile1[[#This Row],[Leave Type ]],6),LkupPayType[],2,FALSE),"TBD")</f>
        <v>TBD</v>
      </c>
      <c r="AG1281" t="str">
        <f>IFERROR(VLOOKUP(TblFeedFile1[[#This Row],[ Report Number ]],LkupPayrollCycle[],2,FALSE),"TBD")</f>
        <v>Semi-Monthly</v>
      </c>
      <c r="AH1281" t="str">
        <f>IF(TblFeedFile1[[#This Row],[Return to Work Date ]]="","","Y")</f>
        <v/>
      </c>
    </row>
    <row r="1282" spans="1:34" x14ac:dyDescent="0.25">
      <c r="A1282" t="s">
        <v>37</v>
      </c>
      <c r="B1282">
        <v>314301</v>
      </c>
      <c r="C1282">
        <v>28363813</v>
      </c>
      <c r="D1282" s="1" t="s">
        <v>1593</v>
      </c>
      <c r="E1282" t="s">
        <v>1594</v>
      </c>
      <c r="F1282" t="s">
        <v>1595</v>
      </c>
      <c r="G1282">
        <v>20161205</v>
      </c>
      <c r="H1282">
        <v>20170201</v>
      </c>
      <c r="I1282" t="s">
        <v>223</v>
      </c>
      <c r="L1282" t="s">
        <v>34</v>
      </c>
      <c r="M1282" t="s">
        <v>34</v>
      </c>
      <c r="N1282" t="s">
        <v>35</v>
      </c>
      <c r="O1282" t="s">
        <v>35</v>
      </c>
      <c r="P1282" t="s">
        <v>35</v>
      </c>
      <c r="Q1282" t="s">
        <v>35</v>
      </c>
      <c r="R1282" t="s">
        <v>35</v>
      </c>
      <c r="S1282" t="s">
        <v>34</v>
      </c>
      <c r="AC1282" t="s">
        <v>35</v>
      </c>
      <c r="AD1282">
        <v>20170124</v>
      </c>
      <c r="AF1282" t="str">
        <f>IFERROR(VLOOKUP(RIGHT(TblFeedFile1[[#This Row],[Leave Type ]],6),LkupPayType[],2,FALSE),"TBD")</f>
        <v>TBD</v>
      </c>
      <c r="AG1282" t="str">
        <f>IFERROR(VLOOKUP(TblFeedFile1[[#This Row],[ Report Number ]],LkupPayrollCycle[],2,FALSE),"TBD")</f>
        <v>Semi-Monthly</v>
      </c>
      <c r="AH1282" t="str">
        <f>IF(TblFeedFile1[[#This Row],[Return to Work Date ]]="","","Y")</f>
        <v/>
      </c>
    </row>
    <row r="1283" spans="1:34" x14ac:dyDescent="0.25">
      <c r="A1283" t="s">
        <v>29</v>
      </c>
      <c r="B1283">
        <v>314304</v>
      </c>
      <c r="C1283">
        <v>28368789</v>
      </c>
      <c r="D1283" s="1" t="s">
        <v>1596</v>
      </c>
      <c r="E1283" t="s">
        <v>1597</v>
      </c>
      <c r="F1283" t="s">
        <v>1598</v>
      </c>
      <c r="G1283">
        <v>20161101</v>
      </c>
      <c r="H1283">
        <v>20161217</v>
      </c>
      <c r="I1283" t="s">
        <v>36</v>
      </c>
      <c r="L1283" t="s">
        <v>34</v>
      </c>
      <c r="M1283" t="s">
        <v>34</v>
      </c>
      <c r="N1283" t="s">
        <v>35</v>
      </c>
      <c r="O1283" t="s">
        <v>35</v>
      </c>
      <c r="P1283" t="s">
        <v>35</v>
      </c>
      <c r="Q1283" t="s">
        <v>35</v>
      </c>
      <c r="R1283" t="s">
        <v>35</v>
      </c>
      <c r="S1283" t="s">
        <v>34</v>
      </c>
      <c r="T1283">
        <v>20161218</v>
      </c>
      <c r="AC1283" t="s">
        <v>35</v>
      </c>
      <c r="AD1283">
        <v>20170124</v>
      </c>
      <c r="AF1283" t="str">
        <f>IFERROR(VLOOKUP(RIGHT(TblFeedFile1[[#This Row],[Leave Type ]],6),LkupPayType[],2,FALSE),"TBD")</f>
        <v>TBD</v>
      </c>
      <c r="AG1283" t="str">
        <f>IFERROR(VLOOKUP(TblFeedFile1[[#This Row],[ Report Number ]],LkupPayrollCycle[],2,FALSE),"TBD")</f>
        <v>Bi-Weekly</v>
      </c>
      <c r="AH1283" t="str">
        <f>IF(TblFeedFile1[[#This Row],[Return to Work Date ]]="","","Y")</f>
        <v>Y</v>
      </c>
    </row>
    <row r="1284" spans="1:34" x14ac:dyDescent="0.25">
      <c r="A1284" t="s">
        <v>37</v>
      </c>
      <c r="B1284">
        <v>314304</v>
      </c>
      <c r="C1284">
        <v>28368789</v>
      </c>
      <c r="D1284" s="1" t="s">
        <v>1596</v>
      </c>
      <c r="E1284" t="s">
        <v>1597</v>
      </c>
      <c r="F1284" t="s">
        <v>1598</v>
      </c>
      <c r="G1284">
        <v>20161101</v>
      </c>
      <c r="H1284">
        <v>20161101</v>
      </c>
      <c r="I1284" t="s">
        <v>43</v>
      </c>
      <c r="L1284" t="s">
        <v>34</v>
      </c>
      <c r="M1284" t="s">
        <v>34</v>
      </c>
      <c r="N1284" t="s">
        <v>35</v>
      </c>
      <c r="O1284" t="s">
        <v>35</v>
      </c>
      <c r="P1284" t="s">
        <v>35</v>
      </c>
      <c r="Q1284" t="s">
        <v>35</v>
      </c>
      <c r="R1284" t="s">
        <v>35</v>
      </c>
      <c r="S1284" t="s">
        <v>34</v>
      </c>
      <c r="AC1284" t="s">
        <v>35</v>
      </c>
      <c r="AD1284">
        <v>20170124</v>
      </c>
      <c r="AF1284" t="str">
        <f>IFERROR(VLOOKUP(RIGHT(TblFeedFile1[[#This Row],[Leave Type ]],6),LkupPayType[],2,FALSE),"TBD")</f>
        <v>TBD</v>
      </c>
      <c r="AG1284" t="str">
        <f>IFERROR(VLOOKUP(TblFeedFile1[[#This Row],[ Report Number ]],LkupPayrollCycle[],2,FALSE),"TBD")</f>
        <v>Bi-Weekly</v>
      </c>
      <c r="AH1284" t="str">
        <f>IF(TblFeedFile1[[#This Row],[Return to Work Date ]]="","","Y")</f>
        <v/>
      </c>
    </row>
    <row r="1285" spans="1:34" x14ac:dyDescent="0.25">
      <c r="A1285" t="s">
        <v>37</v>
      </c>
      <c r="B1285">
        <v>314310</v>
      </c>
      <c r="C1285">
        <v>28396225</v>
      </c>
      <c r="D1285" s="1" t="s">
        <v>1599</v>
      </c>
      <c r="E1285" t="s">
        <v>230</v>
      </c>
      <c r="F1285" t="s">
        <v>1600</v>
      </c>
      <c r="G1285">
        <v>20170118</v>
      </c>
      <c r="H1285">
        <v>20170418</v>
      </c>
      <c r="I1285" t="s">
        <v>78</v>
      </c>
      <c r="K1285" t="s">
        <v>79</v>
      </c>
      <c r="L1285" t="s">
        <v>34</v>
      </c>
      <c r="M1285" t="s">
        <v>34</v>
      </c>
      <c r="N1285" t="s">
        <v>35</v>
      </c>
      <c r="O1285" t="s">
        <v>35</v>
      </c>
      <c r="P1285" t="s">
        <v>35</v>
      </c>
      <c r="Q1285" t="s">
        <v>35</v>
      </c>
      <c r="R1285" t="s">
        <v>35</v>
      </c>
      <c r="S1285" t="s">
        <v>34</v>
      </c>
      <c r="AD1285">
        <v>20170124</v>
      </c>
      <c r="AF1285" t="str">
        <f>IFERROR(VLOOKUP(RIGHT(TblFeedFile1[[#This Row],[Leave Type ]],6),LkupPayType[],2,FALSE),"TBD")</f>
        <v>TBD</v>
      </c>
      <c r="AG1285" t="str">
        <f>IFERROR(VLOOKUP(TblFeedFile1[[#This Row],[ Report Number ]],LkupPayrollCycle[],2,FALSE),"TBD")</f>
        <v>Bi-Weekly</v>
      </c>
      <c r="AH1285" t="str">
        <f>IF(TblFeedFile1[[#This Row],[Return to Work Date ]]="","","Y")</f>
        <v/>
      </c>
    </row>
    <row r="1286" spans="1:34" x14ac:dyDescent="0.25">
      <c r="A1286" t="s">
        <v>37</v>
      </c>
      <c r="B1286">
        <v>314310</v>
      </c>
      <c r="C1286">
        <v>28396225</v>
      </c>
      <c r="D1286" s="1">
        <v>511701238359</v>
      </c>
      <c r="E1286" t="s">
        <v>230</v>
      </c>
      <c r="F1286" t="s">
        <v>1600</v>
      </c>
      <c r="G1286">
        <v>20170118</v>
      </c>
      <c r="I1286" t="s">
        <v>53</v>
      </c>
      <c r="L1286" t="s">
        <v>34</v>
      </c>
      <c r="M1286" t="s">
        <v>34</v>
      </c>
      <c r="N1286" t="s">
        <v>35</v>
      </c>
      <c r="O1286" t="s">
        <v>35</v>
      </c>
      <c r="P1286" t="s">
        <v>35</v>
      </c>
      <c r="Q1286" t="s">
        <v>35</v>
      </c>
      <c r="R1286" t="s">
        <v>35</v>
      </c>
      <c r="S1286" t="s">
        <v>34</v>
      </c>
      <c r="AD1286">
        <v>20170124</v>
      </c>
      <c r="AF1286" t="str">
        <f>IFERROR(VLOOKUP(RIGHT(TblFeedFile1[[#This Row],[Leave Type ]],6),LkupPayType[],2,FALSE),"TBD")</f>
        <v>TBD</v>
      </c>
      <c r="AG1286" t="str">
        <f>IFERROR(VLOOKUP(TblFeedFile1[[#This Row],[ Report Number ]],LkupPayrollCycle[],2,FALSE),"TBD")</f>
        <v>Bi-Weekly</v>
      </c>
      <c r="AH1286" t="str">
        <f>IF(TblFeedFile1[[#This Row],[Return to Work Date ]]="","","Y")</f>
        <v/>
      </c>
    </row>
    <row r="1287" spans="1:34" x14ac:dyDescent="0.25">
      <c r="A1287" t="s">
        <v>29</v>
      </c>
      <c r="B1287">
        <v>314310</v>
      </c>
      <c r="C1287">
        <v>28405441</v>
      </c>
      <c r="D1287" s="1">
        <v>501701208000</v>
      </c>
      <c r="E1287" t="s">
        <v>941</v>
      </c>
      <c r="F1287" t="s">
        <v>907</v>
      </c>
      <c r="G1287">
        <v>20170119</v>
      </c>
      <c r="I1287" t="s">
        <v>53</v>
      </c>
      <c r="L1287" t="s">
        <v>34</v>
      </c>
      <c r="M1287" t="s">
        <v>34</v>
      </c>
      <c r="N1287" t="s">
        <v>35</v>
      </c>
      <c r="O1287" t="s">
        <v>35</v>
      </c>
      <c r="P1287" t="s">
        <v>35</v>
      </c>
      <c r="Q1287" t="s">
        <v>35</v>
      </c>
      <c r="R1287" t="s">
        <v>35</v>
      </c>
      <c r="S1287" t="s">
        <v>34</v>
      </c>
      <c r="AD1287">
        <v>20170124</v>
      </c>
      <c r="AF1287" t="str">
        <f>IFERROR(VLOOKUP(RIGHT(TblFeedFile1[[#This Row],[Leave Type ]],6),LkupPayType[],2,FALSE),"TBD")</f>
        <v>TBD</v>
      </c>
      <c r="AG1287" t="str">
        <f>IFERROR(VLOOKUP(TblFeedFile1[[#This Row],[ Report Number ]],LkupPayrollCycle[],2,FALSE),"TBD")</f>
        <v>Bi-Weekly</v>
      </c>
      <c r="AH1287" t="str">
        <f>IF(TblFeedFile1[[#This Row],[Return to Work Date ]]="","","Y")</f>
        <v/>
      </c>
    </row>
    <row r="1288" spans="1:34" x14ac:dyDescent="0.25">
      <c r="A1288" t="s">
        <v>37</v>
      </c>
      <c r="B1288">
        <v>314310</v>
      </c>
      <c r="C1288">
        <v>28405441</v>
      </c>
      <c r="D1288" s="1">
        <v>501701208000</v>
      </c>
      <c r="E1288" t="s">
        <v>941</v>
      </c>
      <c r="F1288" t="s">
        <v>907</v>
      </c>
      <c r="G1288">
        <v>20170119</v>
      </c>
      <c r="H1288">
        <v>20170220</v>
      </c>
      <c r="I1288" t="s">
        <v>53</v>
      </c>
      <c r="L1288" t="s">
        <v>34</v>
      </c>
      <c r="M1288" t="s">
        <v>34</v>
      </c>
      <c r="N1288" t="s">
        <v>35</v>
      </c>
      <c r="O1288" t="s">
        <v>35</v>
      </c>
      <c r="P1288" t="s">
        <v>35</v>
      </c>
      <c r="Q1288" t="s">
        <v>35</v>
      </c>
      <c r="R1288" t="s">
        <v>35</v>
      </c>
      <c r="S1288" t="s">
        <v>34</v>
      </c>
      <c r="AD1288">
        <v>20170124</v>
      </c>
      <c r="AF1288" t="str">
        <f>IFERROR(VLOOKUP(RIGHT(TblFeedFile1[[#This Row],[Leave Type ]],6),LkupPayType[],2,FALSE),"TBD")</f>
        <v>TBD</v>
      </c>
      <c r="AG1288" t="str">
        <f>IFERROR(VLOOKUP(TblFeedFile1[[#This Row],[ Report Number ]],LkupPayrollCycle[],2,FALSE),"TBD")</f>
        <v>Bi-Weekly</v>
      </c>
      <c r="AH1288" t="str">
        <f>IF(TblFeedFile1[[#This Row],[Return to Work Date ]]="","","Y")</f>
        <v/>
      </c>
    </row>
    <row r="1289" spans="1:34" x14ac:dyDescent="0.25">
      <c r="A1289" t="s">
        <v>37</v>
      </c>
      <c r="B1289">
        <v>314304</v>
      </c>
      <c r="C1289">
        <v>28414554</v>
      </c>
      <c r="D1289" s="1" t="s">
        <v>1601</v>
      </c>
      <c r="E1289" t="s">
        <v>323</v>
      </c>
      <c r="F1289" t="s">
        <v>230</v>
      </c>
      <c r="G1289">
        <v>20160229</v>
      </c>
      <c r="H1289">
        <v>20160310</v>
      </c>
      <c r="I1289" t="s">
        <v>36</v>
      </c>
      <c r="L1289" t="s">
        <v>34</v>
      </c>
      <c r="M1289" t="s">
        <v>34</v>
      </c>
      <c r="N1289" t="s">
        <v>35</v>
      </c>
      <c r="O1289" t="s">
        <v>35</v>
      </c>
      <c r="P1289" t="s">
        <v>35</v>
      </c>
      <c r="Q1289" t="s">
        <v>35</v>
      </c>
      <c r="R1289" t="s">
        <v>35</v>
      </c>
      <c r="S1289" t="s">
        <v>34</v>
      </c>
      <c r="AD1289">
        <v>20170124</v>
      </c>
      <c r="AF1289" t="str">
        <f>IFERROR(VLOOKUP(RIGHT(TblFeedFile1[[#This Row],[Leave Type ]],6),LkupPayType[],2,FALSE),"TBD")</f>
        <v>TBD</v>
      </c>
      <c r="AG1289" t="str">
        <f>IFERROR(VLOOKUP(TblFeedFile1[[#This Row],[ Report Number ]],LkupPayrollCycle[],2,FALSE),"TBD")</f>
        <v>Bi-Weekly</v>
      </c>
      <c r="AH1289" t="str">
        <f>IF(TblFeedFile1[[#This Row],[Return to Work Date ]]="","","Y")</f>
        <v/>
      </c>
    </row>
    <row r="1290" spans="1:34" x14ac:dyDescent="0.25">
      <c r="A1290" t="s">
        <v>37</v>
      </c>
      <c r="B1290">
        <v>314304</v>
      </c>
      <c r="C1290">
        <v>28435888</v>
      </c>
      <c r="D1290" s="1">
        <v>531701238323</v>
      </c>
      <c r="E1290" t="s">
        <v>619</v>
      </c>
      <c r="F1290" t="s">
        <v>83</v>
      </c>
      <c r="G1290">
        <v>20170124</v>
      </c>
      <c r="I1290" t="s">
        <v>53</v>
      </c>
      <c r="L1290" t="s">
        <v>34</v>
      </c>
      <c r="M1290" t="s">
        <v>34</v>
      </c>
      <c r="N1290" t="s">
        <v>35</v>
      </c>
      <c r="O1290" t="s">
        <v>35</v>
      </c>
      <c r="P1290" t="s">
        <v>35</v>
      </c>
      <c r="Q1290" t="s">
        <v>35</v>
      </c>
      <c r="R1290" t="s">
        <v>35</v>
      </c>
      <c r="S1290" t="s">
        <v>34</v>
      </c>
      <c r="AD1290">
        <v>20170124</v>
      </c>
      <c r="AF1290" t="str">
        <f>IFERROR(VLOOKUP(RIGHT(TblFeedFile1[[#This Row],[Leave Type ]],6),LkupPayType[],2,FALSE),"TBD")</f>
        <v>TBD</v>
      </c>
      <c r="AG1290" t="str">
        <f>IFERROR(VLOOKUP(TblFeedFile1[[#This Row],[ Report Number ]],LkupPayrollCycle[],2,FALSE),"TBD")</f>
        <v>Bi-Weekly</v>
      </c>
      <c r="AH1290" t="str">
        <f>IF(TblFeedFile1[[#This Row],[Return to Work Date ]]="","","Y")</f>
        <v/>
      </c>
    </row>
    <row r="1291" spans="1:34" x14ac:dyDescent="0.25">
      <c r="A1291" t="s">
        <v>37</v>
      </c>
      <c r="B1291">
        <v>314304</v>
      </c>
      <c r="C1291">
        <v>28473448</v>
      </c>
      <c r="D1291" s="1" t="s">
        <v>1602</v>
      </c>
      <c r="E1291" t="s">
        <v>959</v>
      </c>
      <c r="F1291" t="s">
        <v>1603</v>
      </c>
      <c r="G1291">
        <v>20170124</v>
      </c>
      <c r="H1291">
        <v>20170503</v>
      </c>
      <c r="I1291" t="s">
        <v>155</v>
      </c>
      <c r="L1291" t="s">
        <v>34</v>
      </c>
      <c r="M1291" t="s">
        <v>34</v>
      </c>
      <c r="N1291" t="s">
        <v>35</v>
      </c>
      <c r="O1291" t="s">
        <v>35</v>
      </c>
      <c r="P1291" t="s">
        <v>35</v>
      </c>
      <c r="Q1291" t="s">
        <v>35</v>
      </c>
      <c r="R1291" t="s">
        <v>35</v>
      </c>
      <c r="S1291" t="s">
        <v>34</v>
      </c>
      <c r="AD1291">
        <v>20170124</v>
      </c>
      <c r="AF1291" t="str">
        <f>IFERROR(VLOOKUP(RIGHT(TblFeedFile1[[#This Row],[Leave Type ]],6),LkupPayType[],2,FALSE),"TBD")</f>
        <v>TBD</v>
      </c>
      <c r="AG1291" t="str">
        <f>IFERROR(VLOOKUP(TblFeedFile1[[#This Row],[ Report Number ]],LkupPayrollCycle[],2,FALSE),"TBD")</f>
        <v>Bi-Weekly</v>
      </c>
      <c r="AH1291" t="str">
        <f>IF(TblFeedFile1[[#This Row],[Return to Work Date ]]="","","Y")</f>
        <v/>
      </c>
    </row>
    <row r="1292" spans="1:34" x14ac:dyDescent="0.25">
      <c r="A1292" t="s">
        <v>29</v>
      </c>
      <c r="B1292">
        <v>314305</v>
      </c>
      <c r="C1292">
        <v>28477351</v>
      </c>
      <c r="D1292" s="1" t="s">
        <v>1604</v>
      </c>
      <c r="E1292" t="s">
        <v>550</v>
      </c>
      <c r="F1292" t="s">
        <v>1605</v>
      </c>
      <c r="G1292">
        <v>20170109</v>
      </c>
      <c r="H1292">
        <v>20170202</v>
      </c>
      <c r="I1292" t="s">
        <v>36</v>
      </c>
      <c r="L1292" t="s">
        <v>35</v>
      </c>
      <c r="X1292" t="s">
        <v>35</v>
      </c>
      <c r="AD1292">
        <v>20170124</v>
      </c>
      <c r="AF1292" t="str">
        <f>IFERROR(VLOOKUP(RIGHT(TblFeedFile1[[#This Row],[Leave Type ]],6),LkupPayType[],2,FALSE),"TBD")</f>
        <v>TBD</v>
      </c>
      <c r="AG1292" t="str">
        <f>IFERROR(VLOOKUP(TblFeedFile1[[#This Row],[ Report Number ]],LkupPayrollCycle[],2,FALSE),"TBD")</f>
        <v>Bi-Weekly</v>
      </c>
      <c r="AH1292" t="str">
        <f>IF(TblFeedFile1[[#This Row],[Return to Work Date ]]="","","Y")</f>
        <v/>
      </c>
    </row>
    <row r="1293" spans="1:34" x14ac:dyDescent="0.25">
      <c r="A1293" t="s">
        <v>29</v>
      </c>
      <c r="B1293">
        <v>314305</v>
      </c>
      <c r="C1293">
        <v>28477351</v>
      </c>
      <c r="D1293" s="1" t="s">
        <v>1606</v>
      </c>
      <c r="E1293" t="s">
        <v>550</v>
      </c>
      <c r="F1293" t="s">
        <v>1605</v>
      </c>
      <c r="G1293">
        <v>20170102</v>
      </c>
      <c r="H1293">
        <v>20170102</v>
      </c>
      <c r="I1293" t="s">
        <v>33</v>
      </c>
      <c r="L1293" t="s">
        <v>34</v>
      </c>
      <c r="M1293" t="s">
        <v>34</v>
      </c>
      <c r="N1293" t="s">
        <v>35</v>
      </c>
      <c r="O1293" t="s">
        <v>35</v>
      </c>
      <c r="P1293" t="s">
        <v>35</v>
      </c>
      <c r="Q1293" t="s">
        <v>35</v>
      </c>
      <c r="R1293" t="s">
        <v>35</v>
      </c>
      <c r="S1293" t="s">
        <v>34</v>
      </c>
      <c r="AC1293" t="s">
        <v>35</v>
      </c>
      <c r="AD1293">
        <v>20170124</v>
      </c>
      <c r="AF1293" t="str">
        <f>IFERROR(VLOOKUP(RIGHT(TblFeedFile1[[#This Row],[Leave Type ]],6),LkupPayType[],2,FALSE),"TBD")</f>
        <v>TBD</v>
      </c>
      <c r="AG1293" t="str">
        <f>IFERROR(VLOOKUP(TblFeedFile1[[#This Row],[ Report Number ]],LkupPayrollCycle[],2,FALSE),"TBD")</f>
        <v>Bi-Weekly</v>
      </c>
      <c r="AH1293" t="str">
        <f>IF(TblFeedFile1[[#This Row],[Return to Work Date ]]="","","Y")</f>
        <v/>
      </c>
    </row>
    <row r="1294" spans="1:34" x14ac:dyDescent="0.25">
      <c r="A1294" t="s">
        <v>29</v>
      </c>
      <c r="B1294">
        <v>314305</v>
      </c>
      <c r="C1294">
        <v>28477351</v>
      </c>
      <c r="D1294" s="1">
        <v>531701048073</v>
      </c>
      <c r="E1294" t="s">
        <v>550</v>
      </c>
      <c r="F1294" t="s">
        <v>1605</v>
      </c>
      <c r="G1294">
        <v>20170102</v>
      </c>
      <c r="H1294">
        <v>20170202</v>
      </c>
      <c r="I1294" t="s">
        <v>53</v>
      </c>
      <c r="L1294" t="s">
        <v>35</v>
      </c>
      <c r="X1294" t="s">
        <v>35</v>
      </c>
      <c r="AD1294">
        <v>20170124</v>
      </c>
      <c r="AF1294" t="str">
        <f>IFERROR(VLOOKUP(RIGHT(TblFeedFile1[[#This Row],[Leave Type ]],6),LkupPayType[],2,FALSE),"TBD")</f>
        <v>TBD</v>
      </c>
      <c r="AG1294" t="str">
        <f>IFERROR(VLOOKUP(TblFeedFile1[[#This Row],[ Report Number ]],LkupPayrollCycle[],2,FALSE),"TBD")</f>
        <v>Bi-Weekly</v>
      </c>
      <c r="AH1294" t="str">
        <f>IF(TblFeedFile1[[#This Row],[Return to Work Date ]]="","","Y")</f>
        <v/>
      </c>
    </row>
    <row r="1295" spans="1:34" x14ac:dyDescent="0.25">
      <c r="A1295" t="s">
        <v>29</v>
      </c>
      <c r="B1295">
        <v>314305</v>
      </c>
      <c r="C1295">
        <v>28477351</v>
      </c>
      <c r="D1295" s="1" t="s">
        <v>1606</v>
      </c>
      <c r="E1295" t="s">
        <v>550</v>
      </c>
      <c r="F1295" t="s">
        <v>1605</v>
      </c>
      <c r="G1295">
        <v>20161212</v>
      </c>
      <c r="H1295">
        <v>20170101</v>
      </c>
      <c r="I1295" t="s">
        <v>36</v>
      </c>
      <c r="L1295" t="s">
        <v>34</v>
      </c>
      <c r="M1295" t="s">
        <v>34</v>
      </c>
      <c r="N1295" t="s">
        <v>35</v>
      </c>
      <c r="O1295" t="s">
        <v>35</v>
      </c>
      <c r="P1295" t="s">
        <v>35</v>
      </c>
      <c r="Q1295" t="s">
        <v>35</v>
      </c>
      <c r="R1295" t="s">
        <v>35</v>
      </c>
      <c r="S1295" t="s">
        <v>34</v>
      </c>
      <c r="AC1295" t="s">
        <v>35</v>
      </c>
      <c r="AD1295">
        <v>20170124</v>
      </c>
      <c r="AF1295" t="str">
        <f>IFERROR(VLOOKUP(RIGHT(TblFeedFile1[[#This Row],[Leave Type ]],6),LkupPayType[],2,FALSE),"TBD")</f>
        <v>TBD</v>
      </c>
      <c r="AG1295" t="str">
        <f>IFERROR(VLOOKUP(TblFeedFile1[[#This Row],[ Report Number ]],LkupPayrollCycle[],2,FALSE),"TBD")</f>
        <v>Bi-Weekly</v>
      </c>
      <c r="AH1295" t="str">
        <f>IF(TblFeedFile1[[#This Row],[Return to Work Date ]]="","","Y")</f>
        <v/>
      </c>
    </row>
    <row r="1296" spans="1:34" x14ac:dyDescent="0.25">
      <c r="A1296" t="s">
        <v>37</v>
      </c>
      <c r="B1296">
        <v>314305</v>
      </c>
      <c r="C1296">
        <v>28477351</v>
      </c>
      <c r="D1296" s="1" t="s">
        <v>1606</v>
      </c>
      <c r="E1296" t="s">
        <v>550</v>
      </c>
      <c r="F1296" t="s">
        <v>1605</v>
      </c>
      <c r="G1296">
        <v>20161212</v>
      </c>
      <c r="H1296">
        <v>20170112</v>
      </c>
      <c r="I1296" t="s">
        <v>36</v>
      </c>
      <c r="L1296" t="s">
        <v>34</v>
      </c>
      <c r="M1296" t="s">
        <v>34</v>
      </c>
      <c r="N1296" t="s">
        <v>35</v>
      </c>
      <c r="O1296" t="s">
        <v>35</v>
      </c>
      <c r="P1296" t="s">
        <v>35</v>
      </c>
      <c r="Q1296" t="s">
        <v>35</v>
      </c>
      <c r="R1296" t="s">
        <v>35</v>
      </c>
      <c r="S1296" t="s">
        <v>34</v>
      </c>
      <c r="AC1296" t="s">
        <v>35</v>
      </c>
      <c r="AD1296">
        <v>20170124</v>
      </c>
      <c r="AF1296" t="str">
        <f>IFERROR(VLOOKUP(RIGHT(TblFeedFile1[[#This Row],[Leave Type ]],6),LkupPayType[],2,FALSE),"TBD")</f>
        <v>TBD</v>
      </c>
      <c r="AG1296" t="str">
        <f>IFERROR(VLOOKUP(TblFeedFile1[[#This Row],[ Report Number ]],LkupPayrollCycle[],2,FALSE),"TBD")</f>
        <v>Bi-Weekly</v>
      </c>
      <c r="AH1296" t="str">
        <f>IF(TblFeedFile1[[#This Row],[Return to Work Date ]]="","","Y")</f>
        <v/>
      </c>
    </row>
    <row r="1297" spans="1:34" x14ac:dyDescent="0.25">
      <c r="A1297" t="s">
        <v>37</v>
      </c>
      <c r="B1297">
        <v>314305</v>
      </c>
      <c r="C1297">
        <v>28477351</v>
      </c>
      <c r="D1297" s="1">
        <v>531701048073</v>
      </c>
      <c r="E1297" t="s">
        <v>550</v>
      </c>
      <c r="F1297" t="s">
        <v>1605</v>
      </c>
      <c r="G1297">
        <v>20170102</v>
      </c>
      <c r="H1297">
        <v>20170102</v>
      </c>
      <c r="I1297" t="s">
        <v>43</v>
      </c>
      <c r="L1297" t="s">
        <v>35</v>
      </c>
      <c r="AD1297">
        <v>20170124</v>
      </c>
      <c r="AF1297" t="str">
        <f>IFERROR(VLOOKUP(RIGHT(TblFeedFile1[[#This Row],[Leave Type ]],6),LkupPayType[],2,FALSE),"TBD")</f>
        <v>TBD</v>
      </c>
      <c r="AG1297" t="str">
        <f>IFERROR(VLOOKUP(TblFeedFile1[[#This Row],[ Report Number ]],LkupPayrollCycle[],2,FALSE),"TBD")</f>
        <v>Bi-Weekly</v>
      </c>
      <c r="AH1297" t="str">
        <f>IF(TblFeedFile1[[#This Row],[Return to Work Date ]]="","","Y")</f>
        <v/>
      </c>
    </row>
    <row r="1298" spans="1:34" x14ac:dyDescent="0.25">
      <c r="A1298" t="s">
        <v>37</v>
      </c>
      <c r="B1298">
        <v>314305</v>
      </c>
      <c r="C1298">
        <v>28477351</v>
      </c>
      <c r="D1298" s="1" t="s">
        <v>1606</v>
      </c>
      <c r="E1298" t="s">
        <v>550</v>
      </c>
      <c r="F1298" t="s">
        <v>1605</v>
      </c>
      <c r="G1298">
        <v>20170113</v>
      </c>
      <c r="H1298">
        <v>20170113</v>
      </c>
      <c r="I1298" t="s">
        <v>33</v>
      </c>
      <c r="L1298" t="s">
        <v>34</v>
      </c>
      <c r="M1298" t="s">
        <v>34</v>
      </c>
      <c r="N1298" t="s">
        <v>35</v>
      </c>
      <c r="O1298" t="s">
        <v>35</v>
      </c>
      <c r="P1298" t="s">
        <v>35</v>
      </c>
      <c r="Q1298" t="s">
        <v>35</v>
      </c>
      <c r="R1298" t="s">
        <v>35</v>
      </c>
      <c r="S1298" t="s">
        <v>34</v>
      </c>
      <c r="AC1298" t="s">
        <v>35</v>
      </c>
      <c r="AD1298">
        <v>20170124</v>
      </c>
      <c r="AF1298" t="str">
        <f>IFERROR(VLOOKUP(RIGHT(TblFeedFile1[[#This Row],[Leave Type ]],6),LkupPayType[],2,FALSE),"TBD")</f>
        <v>TBD</v>
      </c>
      <c r="AG1298" t="str">
        <f>IFERROR(VLOOKUP(TblFeedFile1[[#This Row],[ Report Number ]],LkupPayrollCycle[],2,FALSE),"TBD")</f>
        <v>Bi-Weekly</v>
      </c>
      <c r="AH1298" t="str">
        <f>IF(TblFeedFile1[[#This Row],[Return to Work Date ]]="","","Y")</f>
        <v/>
      </c>
    </row>
    <row r="1299" spans="1:34" x14ac:dyDescent="0.25">
      <c r="A1299" t="s">
        <v>37</v>
      </c>
      <c r="B1299">
        <v>314304</v>
      </c>
      <c r="C1299">
        <v>28479902</v>
      </c>
      <c r="D1299" s="1" t="s">
        <v>1607</v>
      </c>
      <c r="E1299" t="s">
        <v>208</v>
      </c>
      <c r="F1299" t="s">
        <v>1608</v>
      </c>
      <c r="G1299">
        <v>20170121</v>
      </c>
      <c r="H1299">
        <v>20170208</v>
      </c>
      <c r="I1299" t="s">
        <v>78</v>
      </c>
      <c r="K1299" t="s">
        <v>79</v>
      </c>
      <c r="L1299" t="s">
        <v>34</v>
      </c>
      <c r="M1299" t="s">
        <v>34</v>
      </c>
      <c r="N1299" t="s">
        <v>35</v>
      </c>
      <c r="O1299" t="s">
        <v>35</v>
      </c>
      <c r="P1299" t="s">
        <v>35</v>
      </c>
      <c r="Q1299" t="s">
        <v>35</v>
      </c>
      <c r="R1299" t="s">
        <v>35</v>
      </c>
      <c r="S1299" t="s">
        <v>34</v>
      </c>
      <c r="AD1299">
        <v>20170124</v>
      </c>
      <c r="AF1299" t="str">
        <f>IFERROR(VLOOKUP(RIGHT(TblFeedFile1[[#This Row],[Leave Type ]],6),LkupPayType[],2,FALSE),"TBD")</f>
        <v>TBD</v>
      </c>
      <c r="AG1299" t="str">
        <f>IFERROR(VLOOKUP(TblFeedFile1[[#This Row],[ Report Number ]],LkupPayrollCycle[],2,FALSE),"TBD")</f>
        <v>Bi-Weekly</v>
      </c>
      <c r="AH1299" t="str">
        <f>IF(TblFeedFile1[[#This Row],[Return to Work Date ]]="","","Y")</f>
        <v/>
      </c>
    </row>
    <row r="1300" spans="1:34" x14ac:dyDescent="0.25">
      <c r="A1300" t="s">
        <v>37</v>
      </c>
      <c r="B1300">
        <v>314304</v>
      </c>
      <c r="C1300">
        <v>28479902</v>
      </c>
      <c r="D1300" s="1" t="s">
        <v>1607</v>
      </c>
      <c r="E1300" t="s">
        <v>208</v>
      </c>
      <c r="F1300" t="s">
        <v>1608</v>
      </c>
      <c r="G1300">
        <v>20170122</v>
      </c>
      <c r="H1300">
        <v>20170122</v>
      </c>
      <c r="I1300" t="s">
        <v>33</v>
      </c>
      <c r="L1300" t="s">
        <v>34</v>
      </c>
      <c r="M1300" t="s">
        <v>34</v>
      </c>
      <c r="N1300" t="s">
        <v>35</v>
      </c>
      <c r="O1300" t="s">
        <v>35</v>
      </c>
      <c r="P1300" t="s">
        <v>35</v>
      </c>
      <c r="Q1300" t="s">
        <v>35</v>
      </c>
      <c r="R1300" t="s">
        <v>35</v>
      </c>
      <c r="S1300" t="s">
        <v>34</v>
      </c>
      <c r="AD1300">
        <v>20170124</v>
      </c>
      <c r="AF1300" t="str">
        <f>IFERROR(VLOOKUP(RIGHT(TblFeedFile1[[#This Row],[Leave Type ]],6),LkupPayType[],2,FALSE),"TBD")</f>
        <v>TBD</v>
      </c>
      <c r="AG1300" t="str">
        <f>IFERROR(VLOOKUP(TblFeedFile1[[#This Row],[ Report Number ]],LkupPayrollCycle[],2,FALSE),"TBD")</f>
        <v>Bi-Weekly</v>
      </c>
      <c r="AH1300" t="str">
        <f>IF(TblFeedFile1[[#This Row],[Return to Work Date ]]="","","Y")</f>
        <v/>
      </c>
    </row>
    <row r="1301" spans="1:34" x14ac:dyDescent="0.25">
      <c r="A1301" t="s">
        <v>37</v>
      </c>
      <c r="B1301">
        <v>314304</v>
      </c>
      <c r="C1301">
        <v>28479902</v>
      </c>
      <c r="D1301" s="1">
        <v>571701178187</v>
      </c>
      <c r="E1301" t="s">
        <v>208</v>
      </c>
      <c r="F1301" t="s">
        <v>1608</v>
      </c>
      <c r="G1301">
        <v>20170123</v>
      </c>
      <c r="H1301">
        <v>20170208</v>
      </c>
      <c r="I1301" t="s">
        <v>53</v>
      </c>
      <c r="L1301" t="s">
        <v>34</v>
      </c>
      <c r="M1301" t="s">
        <v>34</v>
      </c>
      <c r="N1301" t="s">
        <v>35</v>
      </c>
      <c r="O1301" t="s">
        <v>35</v>
      </c>
      <c r="P1301" t="s">
        <v>35</v>
      </c>
      <c r="Q1301" t="s">
        <v>35</v>
      </c>
      <c r="R1301" t="s">
        <v>35</v>
      </c>
      <c r="S1301" t="s">
        <v>34</v>
      </c>
      <c r="AD1301">
        <v>20170124</v>
      </c>
      <c r="AF1301" t="str">
        <f>IFERROR(VLOOKUP(RIGHT(TblFeedFile1[[#This Row],[Leave Type ]],6),LkupPayType[],2,FALSE),"TBD")</f>
        <v>TBD</v>
      </c>
      <c r="AG1301" t="str">
        <f>IFERROR(VLOOKUP(TblFeedFile1[[#This Row],[ Report Number ]],LkupPayrollCycle[],2,FALSE),"TBD")</f>
        <v>Bi-Weekly</v>
      </c>
      <c r="AH1301" t="str">
        <f>IF(TblFeedFile1[[#This Row],[Return to Work Date ]]="","","Y")</f>
        <v/>
      </c>
    </row>
    <row r="1302" spans="1:34" x14ac:dyDescent="0.25">
      <c r="A1302" t="s">
        <v>29</v>
      </c>
      <c r="B1302">
        <v>314304</v>
      </c>
      <c r="C1302">
        <v>28511276</v>
      </c>
      <c r="D1302" s="1">
        <v>521701188542</v>
      </c>
      <c r="E1302" t="s">
        <v>1609</v>
      </c>
      <c r="F1302" t="s">
        <v>1610</v>
      </c>
      <c r="G1302">
        <v>20170117</v>
      </c>
      <c r="H1302">
        <v>20170202</v>
      </c>
      <c r="I1302" t="s">
        <v>53</v>
      </c>
      <c r="L1302" t="s">
        <v>34</v>
      </c>
      <c r="M1302" t="s">
        <v>34</v>
      </c>
      <c r="N1302" t="s">
        <v>35</v>
      </c>
      <c r="O1302" t="s">
        <v>35</v>
      </c>
      <c r="P1302" t="s">
        <v>35</v>
      </c>
      <c r="Q1302" t="s">
        <v>35</v>
      </c>
      <c r="R1302" t="s">
        <v>35</v>
      </c>
      <c r="S1302" t="s">
        <v>34</v>
      </c>
      <c r="AD1302">
        <v>20170124</v>
      </c>
      <c r="AF1302" t="str">
        <f>IFERROR(VLOOKUP(RIGHT(TblFeedFile1[[#This Row],[Leave Type ]],6),LkupPayType[],2,FALSE),"TBD")</f>
        <v>TBD</v>
      </c>
      <c r="AG1302" t="str">
        <f>IFERROR(VLOOKUP(TblFeedFile1[[#This Row],[ Report Number ]],LkupPayrollCycle[],2,FALSE),"TBD")</f>
        <v>Bi-Weekly</v>
      </c>
      <c r="AH1302" t="str">
        <f>IF(TblFeedFile1[[#This Row],[Return to Work Date ]]="","","Y")</f>
        <v/>
      </c>
    </row>
    <row r="1303" spans="1:34" x14ac:dyDescent="0.25">
      <c r="A1303" t="s">
        <v>37</v>
      </c>
      <c r="B1303">
        <v>314304</v>
      </c>
      <c r="C1303">
        <v>28511276</v>
      </c>
      <c r="D1303" s="1">
        <v>521701188542</v>
      </c>
      <c r="E1303" t="s">
        <v>1609</v>
      </c>
      <c r="F1303" t="s">
        <v>1610</v>
      </c>
      <c r="G1303">
        <v>20170117</v>
      </c>
      <c r="H1303">
        <v>20170124</v>
      </c>
      <c r="I1303" t="s">
        <v>53</v>
      </c>
      <c r="L1303" t="s">
        <v>34</v>
      </c>
      <c r="M1303" t="s">
        <v>34</v>
      </c>
      <c r="N1303" t="s">
        <v>35</v>
      </c>
      <c r="O1303" t="s">
        <v>35</v>
      </c>
      <c r="P1303" t="s">
        <v>35</v>
      </c>
      <c r="Q1303" t="s">
        <v>35</v>
      </c>
      <c r="R1303" t="s">
        <v>35</v>
      </c>
      <c r="S1303" t="s">
        <v>34</v>
      </c>
      <c r="AD1303">
        <v>20170124</v>
      </c>
      <c r="AF1303" t="str">
        <f>IFERROR(VLOOKUP(RIGHT(TblFeedFile1[[#This Row],[Leave Type ]],6),LkupPayType[],2,FALSE),"TBD")</f>
        <v>TBD</v>
      </c>
      <c r="AG1303" t="str">
        <f>IFERROR(VLOOKUP(TblFeedFile1[[#This Row],[ Report Number ]],LkupPayrollCycle[],2,FALSE),"TBD")</f>
        <v>Bi-Weekly</v>
      </c>
      <c r="AH1303" t="str">
        <f>IF(TblFeedFile1[[#This Row],[Return to Work Date ]]="","","Y")</f>
        <v/>
      </c>
    </row>
    <row r="1304" spans="1:34" x14ac:dyDescent="0.25">
      <c r="A1304" t="s">
        <v>37</v>
      </c>
      <c r="B1304">
        <v>314304</v>
      </c>
      <c r="C1304">
        <v>28511276</v>
      </c>
      <c r="D1304" s="1">
        <v>521701188542</v>
      </c>
      <c r="E1304" t="s">
        <v>1609</v>
      </c>
      <c r="F1304" t="s">
        <v>1610</v>
      </c>
      <c r="G1304">
        <v>20170124</v>
      </c>
      <c r="H1304">
        <v>20170124</v>
      </c>
      <c r="I1304" t="s">
        <v>40</v>
      </c>
      <c r="L1304" t="s">
        <v>34</v>
      </c>
      <c r="M1304" t="s">
        <v>34</v>
      </c>
      <c r="N1304" t="s">
        <v>35</v>
      </c>
      <c r="O1304" t="s">
        <v>35</v>
      </c>
      <c r="P1304" t="s">
        <v>35</v>
      </c>
      <c r="Q1304" t="s">
        <v>35</v>
      </c>
      <c r="R1304" t="s">
        <v>35</v>
      </c>
      <c r="S1304" t="s">
        <v>34</v>
      </c>
      <c r="AD1304">
        <v>20170124</v>
      </c>
      <c r="AF1304" t="str">
        <f>IFERROR(VLOOKUP(RIGHT(TblFeedFile1[[#This Row],[Leave Type ]],6),LkupPayType[],2,FALSE),"TBD")</f>
        <v>TBD</v>
      </c>
      <c r="AG1304" t="str">
        <f>IFERROR(VLOOKUP(TblFeedFile1[[#This Row],[ Report Number ]],LkupPayrollCycle[],2,FALSE),"TBD")</f>
        <v>Bi-Weekly</v>
      </c>
      <c r="AH1304" t="str">
        <f>IF(TblFeedFile1[[#This Row],[Return to Work Date ]]="","","Y")</f>
        <v/>
      </c>
    </row>
    <row r="1305" spans="1:34" x14ac:dyDescent="0.25">
      <c r="A1305" t="s">
        <v>29</v>
      </c>
      <c r="B1305">
        <v>314304</v>
      </c>
      <c r="C1305">
        <v>28536180</v>
      </c>
      <c r="D1305" s="1" t="s">
        <v>1611</v>
      </c>
      <c r="E1305" t="s">
        <v>1612</v>
      </c>
      <c r="F1305" t="s">
        <v>1613</v>
      </c>
      <c r="G1305">
        <v>20170107</v>
      </c>
      <c r="H1305">
        <v>20170107</v>
      </c>
      <c r="I1305" t="s">
        <v>33</v>
      </c>
      <c r="L1305" t="s">
        <v>34</v>
      </c>
      <c r="M1305" t="s">
        <v>34</v>
      </c>
      <c r="N1305" t="s">
        <v>35</v>
      </c>
      <c r="O1305" t="s">
        <v>35</v>
      </c>
      <c r="P1305" t="s">
        <v>35</v>
      </c>
      <c r="Q1305" t="s">
        <v>35</v>
      </c>
      <c r="R1305" t="s">
        <v>35</v>
      </c>
      <c r="S1305" t="s">
        <v>34</v>
      </c>
      <c r="AC1305" t="s">
        <v>35</v>
      </c>
      <c r="AD1305">
        <v>20170124</v>
      </c>
      <c r="AF1305" t="str">
        <f>IFERROR(VLOOKUP(RIGHT(TblFeedFile1[[#This Row],[Leave Type ]],6),LkupPayType[],2,FALSE),"TBD")</f>
        <v>TBD</v>
      </c>
      <c r="AG1305" t="str">
        <f>IFERROR(VLOOKUP(TblFeedFile1[[#This Row],[ Report Number ]],LkupPayrollCycle[],2,FALSE),"TBD")</f>
        <v>Bi-Weekly</v>
      </c>
      <c r="AH1305" t="str">
        <f>IF(TblFeedFile1[[#This Row],[Return to Work Date ]]="","","Y")</f>
        <v/>
      </c>
    </row>
    <row r="1306" spans="1:34" x14ac:dyDescent="0.25">
      <c r="A1306" t="s">
        <v>29</v>
      </c>
      <c r="B1306">
        <v>314304</v>
      </c>
      <c r="C1306">
        <v>28536180</v>
      </c>
      <c r="D1306" s="1" t="s">
        <v>1611</v>
      </c>
      <c r="E1306" t="s">
        <v>1612</v>
      </c>
      <c r="F1306" t="s">
        <v>1613</v>
      </c>
      <c r="G1306">
        <v>20161122</v>
      </c>
      <c r="H1306">
        <v>20170106</v>
      </c>
      <c r="I1306" t="s">
        <v>185</v>
      </c>
      <c r="L1306" t="s">
        <v>34</v>
      </c>
      <c r="M1306" t="s">
        <v>34</v>
      </c>
      <c r="N1306" t="s">
        <v>35</v>
      </c>
      <c r="O1306" t="s">
        <v>35</v>
      </c>
      <c r="P1306" t="s">
        <v>35</v>
      </c>
      <c r="Q1306" t="s">
        <v>35</v>
      </c>
      <c r="R1306" t="s">
        <v>35</v>
      </c>
      <c r="S1306" t="s">
        <v>34</v>
      </c>
      <c r="AC1306" t="s">
        <v>35</v>
      </c>
      <c r="AD1306">
        <v>20170124</v>
      </c>
      <c r="AF1306" t="str">
        <f>IFERROR(VLOOKUP(RIGHT(TblFeedFile1[[#This Row],[Leave Type ]],6),LkupPayType[],2,FALSE),"TBD")</f>
        <v>TBD</v>
      </c>
      <c r="AG1306" t="str">
        <f>IFERROR(VLOOKUP(TblFeedFile1[[#This Row],[ Report Number ]],LkupPayrollCycle[],2,FALSE),"TBD")</f>
        <v>Bi-Weekly</v>
      </c>
      <c r="AH1306" t="str">
        <f>IF(TblFeedFile1[[#This Row],[Return to Work Date ]]="","","Y")</f>
        <v/>
      </c>
    </row>
    <row r="1307" spans="1:34" x14ac:dyDescent="0.25">
      <c r="A1307" t="s">
        <v>37</v>
      </c>
      <c r="B1307">
        <v>314304</v>
      </c>
      <c r="C1307">
        <v>28536180</v>
      </c>
      <c r="D1307" s="1" t="s">
        <v>1611</v>
      </c>
      <c r="E1307" t="s">
        <v>1612</v>
      </c>
      <c r="F1307" t="s">
        <v>1613</v>
      </c>
      <c r="G1307">
        <v>20161122</v>
      </c>
      <c r="H1307">
        <v>20170108</v>
      </c>
      <c r="I1307" t="s">
        <v>185</v>
      </c>
      <c r="L1307" t="s">
        <v>34</v>
      </c>
      <c r="M1307" t="s">
        <v>34</v>
      </c>
      <c r="N1307" t="s">
        <v>35</v>
      </c>
      <c r="O1307" t="s">
        <v>35</v>
      </c>
      <c r="P1307" t="s">
        <v>35</v>
      </c>
      <c r="Q1307" t="s">
        <v>35</v>
      </c>
      <c r="R1307" t="s">
        <v>35</v>
      </c>
      <c r="S1307" t="s">
        <v>34</v>
      </c>
      <c r="T1307">
        <v>20170109</v>
      </c>
      <c r="AC1307" t="s">
        <v>35</v>
      </c>
      <c r="AD1307">
        <v>20170124</v>
      </c>
      <c r="AF1307" t="str">
        <f>IFERROR(VLOOKUP(RIGHT(TblFeedFile1[[#This Row],[Leave Type ]],6),LkupPayType[],2,FALSE),"TBD")</f>
        <v>TBD</v>
      </c>
      <c r="AG1307" t="str">
        <f>IFERROR(VLOOKUP(TblFeedFile1[[#This Row],[ Report Number ]],LkupPayrollCycle[],2,FALSE),"TBD")</f>
        <v>Bi-Weekly</v>
      </c>
      <c r="AH1307" t="str">
        <f>IF(TblFeedFile1[[#This Row],[Return to Work Date ]]="","","Y")</f>
        <v>Y</v>
      </c>
    </row>
    <row r="1308" spans="1:34" x14ac:dyDescent="0.25">
      <c r="A1308" t="s">
        <v>37</v>
      </c>
      <c r="B1308">
        <v>314304</v>
      </c>
      <c r="C1308">
        <v>28574855</v>
      </c>
      <c r="D1308" s="1" t="s">
        <v>1614</v>
      </c>
      <c r="E1308" t="s">
        <v>1615</v>
      </c>
      <c r="F1308" t="s">
        <v>1616</v>
      </c>
      <c r="G1308">
        <v>20170123</v>
      </c>
      <c r="H1308">
        <v>20170123</v>
      </c>
      <c r="I1308" t="s">
        <v>33</v>
      </c>
      <c r="L1308" t="s">
        <v>34</v>
      </c>
      <c r="M1308" t="s">
        <v>34</v>
      </c>
      <c r="N1308" t="s">
        <v>35</v>
      </c>
      <c r="O1308" t="s">
        <v>35</v>
      </c>
      <c r="P1308" t="s">
        <v>35</v>
      </c>
      <c r="Q1308" t="s">
        <v>35</v>
      </c>
      <c r="R1308" t="s">
        <v>35</v>
      </c>
      <c r="S1308" t="s">
        <v>34</v>
      </c>
      <c r="AD1308">
        <v>20170124</v>
      </c>
      <c r="AF1308" t="str">
        <f>IFERROR(VLOOKUP(RIGHT(TblFeedFile1[[#This Row],[Leave Type ]],6),LkupPayType[],2,FALSE),"TBD")</f>
        <v>TBD</v>
      </c>
      <c r="AG1308" t="str">
        <f>IFERROR(VLOOKUP(TblFeedFile1[[#This Row],[ Report Number ]],LkupPayrollCycle[],2,FALSE),"TBD")</f>
        <v>Bi-Weekly</v>
      </c>
      <c r="AH1308" t="str">
        <f>IF(TblFeedFile1[[#This Row],[Return to Work Date ]]="","","Y")</f>
        <v/>
      </c>
    </row>
    <row r="1309" spans="1:34" x14ac:dyDescent="0.25">
      <c r="A1309" t="s">
        <v>29</v>
      </c>
      <c r="B1309">
        <v>314304</v>
      </c>
      <c r="C1309">
        <v>28577947</v>
      </c>
      <c r="D1309" s="1" t="s">
        <v>1617</v>
      </c>
      <c r="E1309" t="s">
        <v>1618</v>
      </c>
      <c r="F1309" t="s">
        <v>808</v>
      </c>
      <c r="G1309">
        <v>20170110</v>
      </c>
      <c r="H1309">
        <v>20170110</v>
      </c>
      <c r="I1309" t="s">
        <v>33</v>
      </c>
      <c r="L1309" t="s">
        <v>34</v>
      </c>
      <c r="M1309" t="s">
        <v>35</v>
      </c>
      <c r="N1309" t="s">
        <v>35</v>
      </c>
      <c r="O1309" t="s">
        <v>35</v>
      </c>
      <c r="P1309" t="s">
        <v>35</v>
      </c>
      <c r="Q1309" t="s">
        <v>35</v>
      </c>
      <c r="R1309" t="s">
        <v>35</v>
      </c>
      <c r="S1309" t="s">
        <v>34</v>
      </c>
      <c r="AD1309">
        <v>20170124</v>
      </c>
      <c r="AF1309" t="str">
        <f>IFERROR(VLOOKUP(RIGHT(TblFeedFile1[[#This Row],[Leave Type ]],6),LkupPayType[],2,FALSE),"TBD")</f>
        <v>TBD</v>
      </c>
      <c r="AG1309" t="str">
        <f>IFERROR(VLOOKUP(TblFeedFile1[[#This Row],[ Report Number ]],LkupPayrollCycle[],2,FALSE),"TBD")</f>
        <v>Bi-Weekly</v>
      </c>
      <c r="AH1309" t="str">
        <f>IF(TblFeedFile1[[#This Row],[Return to Work Date ]]="","","Y")</f>
        <v/>
      </c>
    </row>
    <row r="1310" spans="1:34" x14ac:dyDescent="0.25">
      <c r="A1310" t="s">
        <v>37</v>
      </c>
      <c r="B1310">
        <v>314304</v>
      </c>
      <c r="C1310">
        <v>28577947</v>
      </c>
      <c r="D1310" s="1" t="s">
        <v>1617</v>
      </c>
      <c r="E1310" t="s">
        <v>1618</v>
      </c>
      <c r="F1310" t="s">
        <v>808</v>
      </c>
      <c r="G1310">
        <v>20170110</v>
      </c>
      <c r="H1310">
        <v>20170110</v>
      </c>
      <c r="I1310" t="s">
        <v>33</v>
      </c>
      <c r="L1310" t="s">
        <v>34</v>
      </c>
      <c r="M1310" t="s">
        <v>34</v>
      </c>
      <c r="N1310" t="s">
        <v>35</v>
      </c>
      <c r="O1310" t="s">
        <v>35</v>
      </c>
      <c r="P1310" t="s">
        <v>35</v>
      </c>
      <c r="Q1310" t="s">
        <v>35</v>
      </c>
      <c r="R1310" t="s">
        <v>35</v>
      </c>
      <c r="S1310" t="s">
        <v>34</v>
      </c>
      <c r="AD1310">
        <v>20170124</v>
      </c>
      <c r="AF1310" t="str">
        <f>IFERROR(VLOOKUP(RIGHT(TblFeedFile1[[#This Row],[Leave Type ]],6),LkupPayType[],2,FALSE),"TBD")</f>
        <v>TBD</v>
      </c>
      <c r="AG1310" t="str">
        <f>IFERROR(VLOOKUP(TblFeedFile1[[#This Row],[ Report Number ]],LkupPayrollCycle[],2,FALSE),"TBD")</f>
        <v>Bi-Weekly</v>
      </c>
      <c r="AH1310" t="str">
        <f>IF(TblFeedFile1[[#This Row],[Return to Work Date ]]="","","Y")</f>
        <v/>
      </c>
    </row>
    <row r="1311" spans="1:34" x14ac:dyDescent="0.25">
      <c r="A1311" t="s">
        <v>29</v>
      </c>
      <c r="B1311">
        <v>314304</v>
      </c>
      <c r="C1311">
        <v>28582227</v>
      </c>
      <c r="D1311" s="1">
        <v>541701208844</v>
      </c>
      <c r="E1311" t="s">
        <v>1619</v>
      </c>
      <c r="F1311" t="s">
        <v>1620</v>
      </c>
      <c r="G1311">
        <v>20170120</v>
      </c>
      <c r="I1311" t="s">
        <v>53</v>
      </c>
      <c r="L1311" t="s">
        <v>34</v>
      </c>
      <c r="M1311" t="s">
        <v>34</v>
      </c>
      <c r="N1311" t="s">
        <v>35</v>
      </c>
      <c r="O1311" t="s">
        <v>35</v>
      </c>
      <c r="P1311" t="s">
        <v>35</v>
      </c>
      <c r="Q1311" t="s">
        <v>35</v>
      </c>
      <c r="R1311" t="s">
        <v>35</v>
      </c>
      <c r="S1311" t="s">
        <v>34</v>
      </c>
      <c r="AD1311">
        <v>20170124</v>
      </c>
      <c r="AF1311" t="str">
        <f>IFERROR(VLOOKUP(RIGHT(TblFeedFile1[[#This Row],[Leave Type ]],6),LkupPayType[],2,FALSE),"TBD")</f>
        <v>TBD</v>
      </c>
      <c r="AG1311" t="str">
        <f>IFERROR(VLOOKUP(TblFeedFile1[[#This Row],[ Report Number ]],LkupPayrollCycle[],2,FALSE),"TBD")</f>
        <v>Bi-Weekly</v>
      </c>
      <c r="AH1311" t="str">
        <f>IF(TblFeedFile1[[#This Row],[Return to Work Date ]]="","","Y")</f>
        <v/>
      </c>
    </row>
    <row r="1312" spans="1:34" x14ac:dyDescent="0.25">
      <c r="A1312" t="s">
        <v>37</v>
      </c>
      <c r="B1312">
        <v>314304</v>
      </c>
      <c r="C1312">
        <v>28582227</v>
      </c>
      <c r="D1312" s="1">
        <v>541701208844</v>
      </c>
      <c r="E1312" t="s">
        <v>1619</v>
      </c>
      <c r="F1312" t="s">
        <v>1620</v>
      </c>
      <c r="G1312">
        <v>20170120</v>
      </c>
      <c r="H1312">
        <v>20170228</v>
      </c>
      <c r="I1312" t="s">
        <v>53</v>
      </c>
      <c r="L1312" t="s">
        <v>34</v>
      </c>
      <c r="M1312" t="s">
        <v>34</v>
      </c>
      <c r="N1312" t="s">
        <v>35</v>
      </c>
      <c r="O1312" t="s">
        <v>35</v>
      </c>
      <c r="P1312" t="s">
        <v>35</v>
      </c>
      <c r="Q1312" t="s">
        <v>35</v>
      </c>
      <c r="R1312" t="s">
        <v>35</v>
      </c>
      <c r="S1312" t="s">
        <v>34</v>
      </c>
      <c r="AD1312">
        <v>20170124</v>
      </c>
      <c r="AF1312" t="str">
        <f>IFERROR(VLOOKUP(RIGHT(TblFeedFile1[[#This Row],[Leave Type ]],6),LkupPayType[],2,FALSE),"TBD")</f>
        <v>TBD</v>
      </c>
      <c r="AG1312" t="str">
        <f>IFERROR(VLOOKUP(TblFeedFile1[[#This Row],[ Report Number ]],LkupPayrollCycle[],2,FALSE),"TBD")</f>
        <v>Bi-Weekly</v>
      </c>
      <c r="AH1312" t="str">
        <f>IF(TblFeedFile1[[#This Row],[Return to Work Date ]]="","","Y")</f>
        <v/>
      </c>
    </row>
    <row r="1313" spans="1:34" x14ac:dyDescent="0.25">
      <c r="A1313" t="s">
        <v>29</v>
      </c>
      <c r="B1313">
        <v>314301</v>
      </c>
      <c r="C1313">
        <v>28586188</v>
      </c>
      <c r="D1313" s="1" t="s">
        <v>1621</v>
      </c>
      <c r="E1313" t="s">
        <v>1252</v>
      </c>
      <c r="F1313" t="s">
        <v>1622</v>
      </c>
      <c r="G1313">
        <v>20170109</v>
      </c>
      <c r="H1313">
        <v>20170123</v>
      </c>
      <c r="I1313" t="s">
        <v>36</v>
      </c>
      <c r="L1313" t="s">
        <v>34</v>
      </c>
      <c r="M1313" t="s">
        <v>34</v>
      </c>
      <c r="N1313" t="s">
        <v>35</v>
      </c>
      <c r="O1313" t="s">
        <v>35</v>
      </c>
      <c r="P1313" t="s">
        <v>35</v>
      </c>
      <c r="Q1313" t="s">
        <v>35</v>
      </c>
      <c r="R1313" t="s">
        <v>35</v>
      </c>
      <c r="S1313" t="s">
        <v>34</v>
      </c>
      <c r="AD1313">
        <v>20170124</v>
      </c>
      <c r="AF1313" t="str">
        <f>IFERROR(VLOOKUP(RIGHT(TblFeedFile1[[#This Row],[Leave Type ]],6),LkupPayType[],2,FALSE),"TBD")</f>
        <v>TBD</v>
      </c>
      <c r="AG1313" t="str">
        <f>IFERROR(VLOOKUP(TblFeedFile1[[#This Row],[ Report Number ]],LkupPayrollCycle[],2,FALSE),"TBD")</f>
        <v>Semi-Monthly</v>
      </c>
      <c r="AH1313" t="str">
        <f>IF(TblFeedFile1[[#This Row],[Return to Work Date ]]="","","Y")</f>
        <v/>
      </c>
    </row>
    <row r="1314" spans="1:34" x14ac:dyDescent="0.25">
      <c r="A1314" t="s">
        <v>29</v>
      </c>
      <c r="B1314">
        <v>314301</v>
      </c>
      <c r="C1314">
        <v>28586188</v>
      </c>
      <c r="D1314" s="1">
        <v>531701128633</v>
      </c>
      <c r="E1314" t="s">
        <v>1252</v>
      </c>
      <c r="F1314" t="s">
        <v>1622</v>
      </c>
      <c r="G1314">
        <v>20170107</v>
      </c>
      <c r="I1314" t="s">
        <v>53</v>
      </c>
      <c r="L1314" t="s">
        <v>34</v>
      </c>
      <c r="M1314" t="s">
        <v>34</v>
      </c>
      <c r="N1314" t="s">
        <v>35</v>
      </c>
      <c r="O1314" t="s">
        <v>35</v>
      </c>
      <c r="P1314" t="s">
        <v>35</v>
      </c>
      <c r="Q1314" t="s">
        <v>35</v>
      </c>
      <c r="R1314" t="s">
        <v>35</v>
      </c>
      <c r="S1314" t="s">
        <v>34</v>
      </c>
      <c r="AD1314">
        <v>20170124</v>
      </c>
      <c r="AF1314" t="str">
        <f>IFERROR(VLOOKUP(RIGHT(TblFeedFile1[[#This Row],[Leave Type ]],6),LkupPayType[],2,FALSE),"TBD")</f>
        <v>TBD</v>
      </c>
      <c r="AG1314" t="str">
        <f>IFERROR(VLOOKUP(TblFeedFile1[[#This Row],[ Report Number ]],LkupPayrollCycle[],2,FALSE),"TBD")</f>
        <v>Semi-Monthly</v>
      </c>
      <c r="AH1314" t="str">
        <f>IF(TblFeedFile1[[#This Row],[Return to Work Date ]]="","","Y")</f>
        <v/>
      </c>
    </row>
    <row r="1315" spans="1:34" x14ac:dyDescent="0.25">
      <c r="A1315" t="s">
        <v>37</v>
      </c>
      <c r="B1315">
        <v>314301</v>
      </c>
      <c r="C1315">
        <v>28586188</v>
      </c>
      <c r="D1315" s="1">
        <v>531701128633</v>
      </c>
      <c r="E1315" t="s">
        <v>1252</v>
      </c>
      <c r="F1315" t="s">
        <v>1622</v>
      </c>
      <c r="G1315">
        <v>20170109</v>
      </c>
      <c r="H1315">
        <v>20170125</v>
      </c>
      <c r="I1315" t="s">
        <v>53</v>
      </c>
      <c r="L1315" t="s">
        <v>34</v>
      </c>
      <c r="M1315" t="s">
        <v>34</v>
      </c>
      <c r="N1315" t="s">
        <v>35</v>
      </c>
      <c r="O1315" t="s">
        <v>35</v>
      </c>
      <c r="P1315" t="s">
        <v>35</v>
      </c>
      <c r="Q1315" t="s">
        <v>35</v>
      </c>
      <c r="R1315" t="s">
        <v>35</v>
      </c>
      <c r="S1315" t="s">
        <v>34</v>
      </c>
      <c r="AD1315">
        <v>20170124</v>
      </c>
      <c r="AF1315" t="str">
        <f>IFERROR(VLOOKUP(RIGHT(TblFeedFile1[[#This Row],[Leave Type ]],6),LkupPayType[],2,FALSE),"TBD")</f>
        <v>TBD</v>
      </c>
      <c r="AG1315" t="str">
        <f>IFERROR(VLOOKUP(TblFeedFile1[[#This Row],[ Report Number ]],LkupPayrollCycle[],2,FALSE),"TBD")</f>
        <v>Semi-Monthly</v>
      </c>
      <c r="AH1315" t="str">
        <f>IF(TblFeedFile1[[#This Row],[Return to Work Date ]]="","","Y")</f>
        <v/>
      </c>
    </row>
    <row r="1316" spans="1:34" x14ac:dyDescent="0.25">
      <c r="A1316" t="s">
        <v>37</v>
      </c>
      <c r="B1316">
        <v>314301</v>
      </c>
      <c r="C1316">
        <v>28586188</v>
      </c>
      <c r="D1316" s="1">
        <v>531701128633</v>
      </c>
      <c r="E1316" t="s">
        <v>1252</v>
      </c>
      <c r="F1316" t="s">
        <v>1622</v>
      </c>
      <c r="G1316">
        <v>20170116</v>
      </c>
      <c r="H1316">
        <v>20170125</v>
      </c>
      <c r="I1316" t="s">
        <v>40</v>
      </c>
      <c r="L1316" t="s">
        <v>34</v>
      </c>
      <c r="M1316" t="s">
        <v>34</v>
      </c>
      <c r="N1316" t="s">
        <v>35</v>
      </c>
      <c r="O1316" t="s">
        <v>35</v>
      </c>
      <c r="P1316" t="s">
        <v>35</v>
      </c>
      <c r="Q1316" t="s">
        <v>35</v>
      </c>
      <c r="R1316" t="s">
        <v>35</v>
      </c>
      <c r="S1316" t="s">
        <v>34</v>
      </c>
      <c r="AD1316">
        <v>20170124</v>
      </c>
      <c r="AF1316" t="str">
        <f>IFERROR(VLOOKUP(RIGHT(TblFeedFile1[[#This Row],[Leave Type ]],6),LkupPayType[],2,FALSE),"TBD")</f>
        <v>TBD</v>
      </c>
      <c r="AG1316" t="str">
        <f>IFERROR(VLOOKUP(TblFeedFile1[[#This Row],[ Report Number ]],LkupPayrollCycle[],2,FALSE),"TBD")</f>
        <v>Semi-Monthly</v>
      </c>
      <c r="AH1316" t="str">
        <f>IF(TblFeedFile1[[#This Row],[Return to Work Date ]]="","","Y")</f>
        <v/>
      </c>
    </row>
    <row r="1317" spans="1:34" x14ac:dyDescent="0.25">
      <c r="A1317" t="s">
        <v>37</v>
      </c>
      <c r="B1317">
        <v>314301</v>
      </c>
      <c r="C1317">
        <v>28586188</v>
      </c>
      <c r="D1317" s="1" t="s">
        <v>1621</v>
      </c>
      <c r="E1317" t="s">
        <v>1252</v>
      </c>
      <c r="F1317" t="s">
        <v>1622</v>
      </c>
      <c r="G1317">
        <v>20170124</v>
      </c>
      <c r="H1317">
        <v>20170124</v>
      </c>
      <c r="I1317" t="s">
        <v>33</v>
      </c>
      <c r="L1317" t="s">
        <v>34</v>
      </c>
      <c r="M1317" t="s">
        <v>34</v>
      </c>
      <c r="N1317" t="s">
        <v>35</v>
      </c>
      <c r="O1317" t="s">
        <v>35</v>
      </c>
      <c r="P1317" t="s">
        <v>35</v>
      </c>
      <c r="Q1317" t="s">
        <v>35</v>
      </c>
      <c r="R1317" t="s">
        <v>35</v>
      </c>
      <c r="S1317" t="s">
        <v>34</v>
      </c>
      <c r="AD1317">
        <v>20170124</v>
      </c>
      <c r="AF1317" t="str">
        <f>IFERROR(VLOOKUP(RIGHT(TblFeedFile1[[#This Row],[Leave Type ]],6),LkupPayType[],2,FALSE),"TBD")</f>
        <v>TBD</v>
      </c>
      <c r="AG1317" t="str">
        <f>IFERROR(VLOOKUP(TblFeedFile1[[#This Row],[ Report Number ]],LkupPayrollCycle[],2,FALSE),"TBD")</f>
        <v>Semi-Monthly</v>
      </c>
      <c r="AH1317" t="str">
        <f>IF(TblFeedFile1[[#This Row],[Return to Work Date ]]="","","Y")</f>
        <v/>
      </c>
    </row>
    <row r="1318" spans="1:34" x14ac:dyDescent="0.25">
      <c r="A1318" t="s">
        <v>37</v>
      </c>
      <c r="B1318">
        <v>314304</v>
      </c>
      <c r="C1318">
        <v>28589719</v>
      </c>
      <c r="D1318" s="1">
        <v>501612198168</v>
      </c>
      <c r="E1318" t="s">
        <v>171</v>
      </c>
      <c r="F1318" t="s">
        <v>1623</v>
      </c>
      <c r="G1318">
        <v>20170123</v>
      </c>
      <c r="H1318">
        <v>20170224</v>
      </c>
      <c r="I1318" t="s">
        <v>40</v>
      </c>
      <c r="L1318" t="s">
        <v>34</v>
      </c>
      <c r="M1318" t="s">
        <v>34</v>
      </c>
      <c r="N1318" t="s">
        <v>35</v>
      </c>
      <c r="O1318" t="s">
        <v>35</v>
      </c>
      <c r="P1318" t="s">
        <v>35</v>
      </c>
      <c r="Q1318" t="s">
        <v>35</v>
      </c>
      <c r="R1318" t="s">
        <v>35</v>
      </c>
      <c r="S1318" t="s">
        <v>34</v>
      </c>
      <c r="AD1318">
        <v>20170124</v>
      </c>
      <c r="AF1318" t="str">
        <f>IFERROR(VLOOKUP(RIGHT(TblFeedFile1[[#This Row],[Leave Type ]],6),LkupPayType[],2,FALSE),"TBD")</f>
        <v>TBD</v>
      </c>
      <c r="AG1318" t="str">
        <f>IFERROR(VLOOKUP(TblFeedFile1[[#This Row],[ Report Number ]],LkupPayrollCycle[],2,FALSE),"TBD")</f>
        <v>Bi-Weekly</v>
      </c>
      <c r="AH1318" t="str">
        <f>IF(TblFeedFile1[[#This Row],[Return to Work Date ]]="","","Y")</f>
        <v/>
      </c>
    </row>
    <row r="1319" spans="1:34" x14ac:dyDescent="0.25">
      <c r="A1319" t="s">
        <v>29</v>
      </c>
      <c r="B1319">
        <v>314301</v>
      </c>
      <c r="C1319">
        <v>28617597</v>
      </c>
      <c r="D1319" s="1" t="s">
        <v>1624</v>
      </c>
      <c r="E1319" t="s">
        <v>948</v>
      </c>
      <c r="F1319" t="s">
        <v>1625</v>
      </c>
      <c r="G1319">
        <v>20170113</v>
      </c>
      <c r="H1319">
        <v>20170113</v>
      </c>
      <c r="I1319" t="s">
        <v>33</v>
      </c>
      <c r="L1319" t="s">
        <v>34</v>
      </c>
      <c r="M1319" t="s">
        <v>34</v>
      </c>
      <c r="N1319" t="s">
        <v>35</v>
      </c>
      <c r="O1319" t="s">
        <v>35</v>
      </c>
      <c r="P1319" t="s">
        <v>35</v>
      </c>
      <c r="Q1319" t="s">
        <v>35</v>
      </c>
      <c r="R1319" t="s">
        <v>35</v>
      </c>
      <c r="S1319" t="s">
        <v>34</v>
      </c>
      <c r="AC1319" t="s">
        <v>35</v>
      </c>
      <c r="AD1319">
        <v>20170124</v>
      </c>
      <c r="AF1319" t="str">
        <f>IFERROR(VLOOKUP(RIGHT(TblFeedFile1[[#This Row],[Leave Type ]],6),LkupPayType[],2,FALSE),"TBD")</f>
        <v>TBD</v>
      </c>
      <c r="AG1319" t="str">
        <f>IFERROR(VLOOKUP(TblFeedFile1[[#This Row],[ Report Number ]],LkupPayrollCycle[],2,FALSE),"TBD")</f>
        <v>Semi-Monthly</v>
      </c>
      <c r="AH1319" t="str">
        <f>IF(TblFeedFile1[[#This Row],[Return to Work Date ]]="","","Y")</f>
        <v/>
      </c>
    </row>
    <row r="1320" spans="1:34" x14ac:dyDescent="0.25">
      <c r="A1320" t="s">
        <v>37</v>
      </c>
      <c r="B1320">
        <v>314301</v>
      </c>
      <c r="C1320">
        <v>28617597</v>
      </c>
      <c r="D1320" s="1" t="s">
        <v>1624</v>
      </c>
      <c r="E1320" t="s">
        <v>948</v>
      </c>
      <c r="F1320" t="s">
        <v>1625</v>
      </c>
      <c r="G1320">
        <v>20160923</v>
      </c>
      <c r="H1320">
        <v>20170112</v>
      </c>
      <c r="I1320" t="s">
        <v>185</v>
      </c>
      <c r="L1320" t="s">
        <v>34</v>
      </c>
      <c r="M1320" t="s">
        <v>34</v>
      </c>
      <c r="N1320" t="s">
        <v>35</v>
      </c>
      <c r="O1320" t="s">
        <v>35</v>
      </c>
      <c r="P1320" t="s">
        <v>35</v>
      </c>
      <c r="Q1320" t="s">
        <v>35</v>
      </c>
      <c r="R1320" t="s">
        <v>35</v>
      </c>
      <c r="S1320" t="s">
        <v>34</v>
      </c>
      <c r="T1320">
        <v>20170113</v>
      </c>
      <c r="AC1320" t="s">
        <v>35</v>
      </c>
      <c r="AD1320">
        <v>20170124</v>
      </c>
      <c r="AF1320" t="str">
        <f>IFERROR(VLOOKUP(RIGHT(TblFeedFile1[[#This Row],[Leave Type ]],6),LkupPayType[],2,FALSE),"TBD")</f>
        <v>TBD</v>
      </c>
      <c r="AG1320" t="str">
        <f>IFERROR(VLOOKUP(TblFeedFile1[[#This Row],[ Report Number ]],LkupPayrollCycle[],2,FALSE),"TBD")</f>
        <v>Semi-Monthly</v>
      </c>
      <c r="AH1320" t="str">
        <f>IF(TblFeedFile1[[#This Row],[Return to Work Date ]]="","","Y")</f>
        <v>Y</v>
      </c>
    </row>
    <row r="1321" spans="1:34" x14ac:dyDescent="0.25">
      <c r="A1321" t="s">
        <v>29</v>
      </c>
      <c r="B1321">
        <v>314304</v>
      </c>
      <c r="C1321">
        <v>28621435</v>
      </c>
      <c r="D1321" s="1">
        <v>501701178288</v>
      </c>
      <c r="E1321" t="s">
        <v>348</v>
      </c>
      <c r="F1321" t="s">
        <v>1626</v>
      </c>
      <c r="G1321">
        <v>20170117</v>
      </c>
      <c r="H1321">
        <v>20170131</v>
      </c>
      <c r="I1321" t="s">
        <v>53</v>
      </c>
      <c r="L1321" t="s">
        <v>34</v>
      </c>
      <c r="M1321" t="s">
        <v>34</v>
      </c>
      <c r="N1321" t="s">
        <v>35</v>
      </c>
      <c r="O1321" t="s">
        <v>35</v>
      </c>
      <c r="P1321" t="s">
        <v>35</v>
      </c>
      <c r="Q1321" t="s">
        <v>35</v>
      </c>
      <c r="R1321" t="s">
        <v>35</v>
      </c>
      <c r="S1321" t="s">
        <v>34</v>
      </c>
      <c r="AD1321">
        <v>20170124</v>
      </c>
      <c r="AF1321" t="str">
        <f>IFERROR(VLOOKUP(RIGHT(TblFeedFile1[[#This Row],[Leave Type ]],6),LkupPayType[],2,FALSE),"TBD")</f>
        <v>TBD</v>
      </c>
      <c r="AG1321" t="str">
        <f>IFERROR(VLOOKUP(TblFeedFile1[[#This Row],[ Report Number ]],LkupPayrollCycle[],2,FALSE),"TBD")</f>
        <v>Bi-Weekly</v>
      </c>
      <c r="AH1321" t="str">
        <f>IF(TblFeedFile1[[#This Row],[Return to Work Date ]]="","","Y")</f>
        <v/>
      </c>
    </row>
    <row r="1322" spans="1:34" x14ac:dyDescent="0.25">
      <c r="A1322" t="s">
        <v>37</v>
      </c>
      <c r="B1322">
        <v>314304</v>
      </c>
      <c r="C1322">
        <v>28621435</v>
      </c>
      <c r="D1322" s="1">
        <v>501701178288</v>
      </c>
      <c r="E1322" t="s">
        <v>348</v>
      </c>
      <c r="F1322" t="s">
        <v>1626</v>
      </c>
      <c r="G1322">
        <v>20170117</v>
      </c>
      <c r="H1322">
        <v>20170202</v>
      </c>
      <c r="I1322" t="s">
        <v>53</v>
      </c>
      <c r="L1322" t="s">
        <v>34</v>
      </c>
      <c r="M1322" t="s">
        <v>34</v>
      </c>
      <c r="N1322" t="s">
        <v>35</v>
      </c>
      <c r="O1322" t="s">
        <v>35</v>
      </c>
      <c r="P1322" t="s">
        <v>35</v>
      </c>
      <c r="Q1322" t="s">
        <v>35</v>
      </c>
      <c r="R1322" t="s">
        <v>35</v>
      </c>
      <c r="S1322" t="s">
        <v>34</v>
      </c>
      <c r="AD1322">
        <v>20170124</v>
      </c>
      <c r="AF1322" t="str">
        <f>IFERROR(VLOOKUP(RIGHT(TblFeedFile1[[#This Row],[Leave Type ]],6),LkupPayType[],2,FALSE),"TBD")</f>
        <v>TBD</v>
      </c>
      <c r="AG1322" t="str">
        <f>IFERROR(VLOOKUP(TblFeedFile1[[#This Row],[ Report Number ]],LkupPayrollCycle[],2,FALSE),"TBD")</f>
        <v>Bi-Weekly</v>
      </c>
      <c r="AH1322" t="str">
        <f>IF(TblFeedFile1[[#This Row],[Return to Work Date ]]="","","Y")</f>
        <v/>
      </c>
    </row>
    <row r="1323" spans="1:34" x14ac:dyDescent="0.25">
      <c r="A1323" t="s">
        <v>37</v>
      </c>
      <c r="B1323">
        <v>314304</v>
      </c>
      <c r="C1323">
        <v>28621435</v>
      </c>
      <c r="D1323" s="1">
        <v>501701178288</v>
      </c>
      <c r="E1323" t="s">
        <v>348</v>
      </c>
      <c r="F1323" t="s">
        <v>1626</v>
      </c>
      <c r="G1323">
        <v>20170124</v>
      </c>
      <c r="H1323">
        <v>20170202</v>
      </c>
      <c r="I1323" t="s">
        <v>40</v>
      </c>
      <c r="L1323" t="s">
        <v>34</v>
      </c>
      <c r="M1323" t="s">
        <v>34</v>
      </c>
      <c r="N1323" t="s">
        <v>35</v>
      </c>
      <c r="O1323" t="s">
        <v>35</v>
      </c>
      <c r="P1323" t="s">
        <v>35</v>
      </c>
      <c r="Q1323" t="s">
        <v>35</v>
      </c>
      <c r="R1323" t="s">
        <v>35</v>
      </c>
      <c r="S1323" t="s">
        <v>34</v>
      </c>
      <c r="AD1323">
        <v>20170124</v>
      </c>
      <c r="AF1323" t="str">
        <f>IFERROR(VLOOKUP(RIGHT(TblFeedFile1[[#This Row],[Leave Type ]],6),LkupPayType[],2,FALSE),"TBD")</f>
        <v>TBD</v>
      </c>
      <c r="AG1323" t="str">
        <f>IFERROR(VLOOKUP(TblFeedFile1[[#This Row],[ Report Number ]],LkupPayrollCycle[],2,FALSE),"TBD")</f>
        <v>Bi-Weekly</v>
      </c>
      <c r="AH1323" t="str">
        <f>IF(TblFeedFile1[[#This Row],[Return to Work Date ]]="","","Y")</f>
        <v/>
      </c>
    </row>
    <row r="1324" spans="1:34" x14ac:dyDescent="0.25">
      <c r="A1324" t="s">
        <v>29</v>
      </c>
      <c r="B1324">
        <v>314304</v>
      </c>
      <c r="C1324">
        <v>28631891</v>
      </c>
      <c r="D1324" s="1" t="s">
        <v>1627</v>
      </c>
      <c r="E1324" t="s">
        <v>1628</v>
      </c>
      <c r="F1324" t="s">
        <v>1585</v>
      </c>
      <c r="G1324">
        <v>20170114</v>
      </c>
      <c r="H1324">
        <v>20170114</v>
      </c>
      <c r="I1324" t="s">
        <v>33</v>
      </c>
      <c r="L1324" t="s">
        <v>34</v>
      </c>
      <c r="M1324" t="s">
        <v>34</v>
      </c>
      <c r="N1324" t="s">
        <v>35</v>
      </c>
      <c r="O1324" t="s">
        <v>35</v>
      </c>
      <c r="P1324" t="s">
        <v>35</v>
      </c>
      <c r="Q1324" t="s">
        <v>35</v>
      </c>
      <c r="R1324" t="s">
        <v>35</v>
      </c>
      <c r="S1324" t="s">
        <v>34</v>
      </c>
      <c r="AC1324" t="s">
        <v>35</v>
      </c>
      <c r="AD1324">
        <v>20170124</v>
      </c>
      <c r="AF1324" t="str">
        <f>IFERROR(VLOOKUP(RIGHT(TblFeedFile1[[#This Row],[Leave Type ]],6),LkupPayType[],2,FALSE),"TBD")</f>
        <v>TBD</v>
      </c>
      <c r="AG1324" t="str">
        <f>IFERROR(VLOOKUP(TblFeedFile1[[#This Row],[ Report Number ]],LkupPayrollCycle[],2,FALSE),"TBD")</f>
        <v>Bi-Weekly</v>
      </c>
      <c r="AH1324" t="str">
        <f>IF(TblFeedFile1[[#This Row],[Return to Work Date ]]="","","Y")</f>
        <v/>
      </c>
    </row>
    <row r="1325" spans="1:34" x14ac:dyDescent="0.25">
      <c r="A1325" t="s">
        <v>29</v>
      </c>
      <c r="B1325">
        <v>314304</v>
      </c>
      <c r="C1325">
        <v>28631891</v>
      </c>
      <c r="D1325" s="1" t="s">
        <v>1627</v>
      </c>
      <c r="E1325" t="s">
        <v>1628</v>
      </c>
      <c r="F1325" t="s">
        <v>1585</v>
      </c>
      <c r="G1325">
        <v>20161114</v>
      </c>
      <c r="H1325">
        <v>20170113</v>
      </c>
      <c r="I1325" t="s">
        <v>36</v>
      </c>
      <c r="L1325" t="s">
        <v>34</v>
      </c>
      <c r="M1325" t="s">
        <v>34</v>
      </c>
      <c r="N1325" t="s">
        <v>35</v>
      </c>
      <c r="O1325" t="s">
        <v>35</v>
      </c>
      <c r="P1325" t="s">
        <v>35</v>
      </c>
      <c r="Q1325" t="s">
        <v>35</v>
      </c>
      <c r="R1325" t="s">
        <v>35</v>
      </c>
      <c r="S1325" t="s">
        <v>34</v>
      </c>
      <c r="AC1325" t="s">
        <v>35</v>
      </c>
      <c r="AD1325">
        <v>20170124</v>
      </c>
      <c r="AF1325" t="str">
        <f>IFERROR(VLOOKUP(RIGHT(TblFeedFile1[[#This Row],[Leave Type ]],6),LkupPayType[],2,FALSE),"TBD")</f>
        <v>TBD</v>
      </c>
      <c r="AG1325" t="str">
        <f>IFERROR(VLOOKUP(TblFeedFile1[[#This Row],[ Report Number ]],LkupPayrollCycle[],2,FALSE),"TBD")</f>
        <v>Bi-Weekly</v>
      </c>
      <c r="AH1325" t="str">
        <f>IF(TblFeedFile1[[#This Row],[Return to Work Date ]]="","","Y")</f>
        <v/>
      </c>
    </row>
    <row r="1326" spans="1:34" x14ac:dyDescent="0.25">
      <c r="A1326" t="s">
        <v>37</v>
      </c>
      <c r="B1326">
        <v>314304</v>
      </c>
      <c r="C1326">
        <v>28631891</v>
      </c>
      <c r="D1326" s="1" t="s">
        <v>1627</v>
      </c>
      <c r="E1326" t="s">
        <v>1628</v>
      </c>
      <c r="F1326" t="s">
        <v>1585</v>
      </c>
      <c r="G1326">
        <v>20161114</v>
      </c>
      <c r="H1326">
        <v>20170125</v>
      </c>
      <c r="I1326" t="s">
        <v>36</v>
      </c>
      <c r="L1326" t="s">
        <v>34</v>
      </c>
      <c r="M1326" t="s">
        <v>34</v>
      </c>
      <c r="N1326" t="s">
        <v>35</v>
      </c>
      <c r="O1326" t="s">
        <v>35</v>
      </c>
      <c r="P1326" t="s">
        <v>35</v>
      </c>
      <c r="Q1326" t="s">
        <v>35</v>
      </c>
      <c r="R1326" t="s">
        <v>35</v>
      </c>
      <c r="S1326" t="s">
        <v>34</v>
      </c>
      <c r="AC1326" t="s">
        <v>35</v>
      </c>
      <c r="AD1326">
        <v>20170124</v>
      </c>
      <c r="AF1326" t="str">
        <f>IFERROR(VLOOKUP(RIGHT(TblFeedFile1[[#This Row],[Leave Type ]],6),LkupPayType[],2,FALSE),"TBD")</f>
        <v>TBD</v>
      </c>
      <c r="AG1326" t="str">
        <f>IFERROR(VLOOKUP(TblFeedFile1[[#This Row],[ Report Number ]],LkupPayrollCycle[],2,FALSE),"TBD")</f>
        <v>Bi-Weekly</v>
      </c>
      <c r="AH1326" t="str">
        <f>IF(TblFeedFile1[[#This Row],[Return to Work Date ]]="","","Y")</f>
        <v/>
      </c>
    </row>
    <row r="1327" spans="1:34" x14ac:dyDescent="0.25">
      <c r="A1327" t="s">
        <v>29</v>
      </c>
      <c r="B1327">
        <v>314304</v>
      </c>
      <c r="C1327">
        <v>28658310</v>
      </c>
      <c r="D1327" s="1" t="s">
        <v>1629</v>
      </c>
      <c r="E1327" t="s">
        <v>1630</v>
      </c>
      <c r="F1327" t="s">
        <v>1631</v>
      </c>
      <c r="G1327">
        <v>20170109</v>
      </c>
      <c r="H1327">
        <v>20170309</v>
      </c>
      <c r="I1327" t="s">
        <v>36</v>
      </c>
      <c r="L1327" t="s">
        <v>34</v>
      </c>
      <c r="M1327" t="s">
        <v>34</v>
      </c>
      <c r="N1327" t="s">
        <v>35</v>
      </c>
      <c r="O1327" t="s">
        <v>35</v>
      </c>
      <c r="P1327" t="s">
        <v>35</v>
      </c>
      <c r="Q1327" t="s">
        <v>35</v>
      </c>
      <c r="R1327" t="s">
        <v>35</v>
      </c>
      <c r="S1327" t="s">
        <v>34</v>
      </c>
      <c r="AD1327">
        <v>20170124</v>
      </c>
      <c r="AF1327" t="str">
        <f>IFERROR(VLOOKUP(RIGHT(TblFeedFile1[[#This Row],[Leave Type ]],6),LkupPayType[],2,FALSE),"TBD")</f>
        <v>TBD</v>
      </c>
      <c r="AG1327" t="str">
        <f>IFERROR(VLOOKUP(TblFeedFile1[[#This Row],[ Report Number ]],LkupPayrollCycle[],2,FALSE),"TBD")</f>
        <v>Bi-Weekly</v>
      </c>
      <c r="AH1327" t="str">
        <f>IF(TblFeedFile1[[#This Row],[Return to Work Date ]]="","","Y")</f>
        <v/>
      </c>
    </row>
    <row r="1328" spans="1:34" x14ac:dyDescent="0.25">
      <c r="A1328" t="s">
        <v>37</v>
      </c>
      <c r="B1328">
        <v>314304</v>
      </c>
      <c r="C1328">
        <v>28658310</v>
      </c>
      <c r="D1328" s="1" t="s">
        <v>1629</v>
      </c>
      <c r="E1328" t="s">
        <v>1630</v>
      </c>
      <c r="F1328" t="s">
        <v>1631</v>
      </c>
      <c r="G1328">
        <v>20170109</v>
      </c>
      <c r="H1328">
        <v>20170309</v>
      </c>
      <c r="I1328" t="s">
        <v>78</v>
      </c>
      <c r="K1328" t="s">
        <v>79</v>
      </c>
      <c r="L1328" t="s">
        <v>34</v>
      </c>
      <c r="M1328" t="s">
        <v>34</v>
      </c>
      <c r="N1328" t="s">
        <v>35</v>
      </c>
      <c r="O1328" t="s">
        <v>35</v>
      </c>
      <c r="P1328" t="s">
        <v>35</v>
      </c>
      <c r="Q1328" t="s">
        <v>35</v>
      </c>
      <c r="R1328" t="s">
        <v>35</v>
      </c>
      <c r="S1328" t="s">
        <v>34</v>
      </c>
      <c r="AD1328">
        <v>20170124</v>
      </c>
      <c r="AF1328" t="str">
        <f>IFERROR(VLOOKUP(RIGHT(TblFeedFile1[[#This Row],[Leave Type ]],6),LkupPayType[],2,FALSE),"TBD")</f>
        <v>TBD</v>
      </c>
      <c r="AG1328" t="str">
        <f>IFERROR(VLOOKUP(TblFeedFile1[[#This Row],[ Report Number ]],LkupPayrollCycle[],2,FALSE),"TBD")</f>
        <v>Bi-Weekly</v>
      </c>
      <c r="AH1328" t="str">
        <f>IF(TblFeedFile1[[#This Row],[Return to Work Date ]]="","","Y")</f>
        <v/>
      </c>
    </row>
    <row r="1329" spans="1:34" x14ac:dyDescent="0.25">
      <c r="A1329" t="s">
        <v>37</v>
      </c>
      <c r="B1329">
        <v>314301</v>
      </c>
      <c r="C1329">
        <v>28658845</v>
      </c>
      <c r="D1329" s="1">
        <v>501701208028</v>
      </c>
      <c r="E1329" t="s">
        <v>1494</v>
      </c>
      <c r="F1329" t="s">
        <v>440</v>
      </c>
      <c r="G1329">
        <v>20170117</v>
      </c>
      <c r="H1329">
        <v>20170228</v>
      </c>
      <c r="I1329" t="s">
        <v>53</v>
      </c>
      <c r="L1329" t="s">
        <v>34</v>
      </c>
      <c r="M1329" t="s">
        <v>34</v>
      </c>
      <c r="N1329" t="s">
        <v>35</v>
      </c>
      <c r="O1329" t="s">
        <v>35</v>
      </c>
      <c r="P1329" t="s">
        <v>35</v>
      </c>
      <c r="Q1329" t="s">
        <v>35</v>
      </c>
      <c r="R1329" t="s">
        <v>35</v>
      </c>
      <c r="S1329" t="s">
        <v>34</v>
      </c>
      <c r="AD1329">
        <v>20170124</v>
      </c>
      <c r="AF1329" t="str">
        <f>IFERROR(VLOOKUP(RIGHT(TblFeedFile1[[#This Row],[Leave Type ]],6),LkupPayType[],2,FALSE),"TBD")</f>
        <v>TBD</v>
      </c>
      <c r="AG1329" t="str">
        <f>IFERROR(VLOOKUP(TblFeedFile1[[#This Row],[ Report Number ]],LkupPayrollCycle[],2,FALSE),"TBD")</f>
        <v>Semi-Monthly</v>
      </c>
      <c r="AH1329" t="str">
        <f>IF(TblFeedFile1[[#This Row],[Return to Work Date ]]="","","Y")</f>
        <v/>
      </c>
    </row>
    <row r="1330" spans="1:34" x14ac:dyDescent="0.25">
      <c r="A1330" t="s">
        <v>37</v>
      </c>
      <c r="B1330">
        <v>314301</v>
      </c>
      <c r="C1330">
        <v>28658845</v>
      </c>
      <c r="D1330" s="1">
        <v>501701208028</v>
      </c>
      <c r="E1330" t="s">
        <v>1494</v>
      </c>
      <c r="F1330" t="s">
        <v>440</v>
      </c>
      <c r="G1330">
        <v>20170124</v>
      </c>
      <c r="H1330">
        <v>20170228</v>
      </c>
      <c r="I1330" t="s">
        <v>40</v>
      </c>
      <c r="L1330" t="s">
        <v>34</v>
      </c>
      <c r="M1330" t="s">
        <v>34</v>
      </c>
      <c r="N1330" t="s">
        <v>35</v>
      </c>
      <c r="O1330" t="s">
        <v>35</v>
      </c>
      <c r="P1330" t="s">
        <v>35</v>
      </c>
      <c r="Q1330" t="s">
        <v>35</v>
      </c>
      <c r="R1330" t="s">
        <v>35</v>
      </c>
      <c r="S1330" t="s">
        <v>34</v>
      </c>
      <c r="AD1330">
        <v>20170124</v>
      </c>
      <c r="AF1330" t="str">
        <f>IFERROR(VLOOKUP(RIGHT(TblFeedFile1[[#This Row],[Leave Type ]],6),LkupPayType[],2,FALSE),"TBD")</f>
        <v>TBD</v>
      </c>
      <c r="AG1330" t="str">
        <f>IFERROR(VLOOKUP(TblFeedFile1[[#This Row],[ Report Number ]],LkupPayrollCycle[],2,FALSE),"TBD")</f>
        <v>Semi-Monthly</v>
      </c>
      <c r="AH1330" t="str">
        <f>IF(TblFeedFile1[[#This Row],[Return to Work Date ]]="","","Y")</f>
        <v/>
      </c>
    </row>
    <row r="1331" spans="1:34" x14ac:dyDescent="0.25">
      <c r="A1331" t="s">
        <v>37</v>
      </c>
      <c r="B1331">
        <v>314305</v>
      </c>
      <c r="C1331">
        <v>28671805</v>
      </c>
      <c r="D1331" s="1">
        <v>541701238344</v>
      </c>
      <c r="E1331" t="s">
        <v>1632</v>
      </c>
      <c r="F1331" t="s">
        <v>720</v>
      </c>
      <c r="G1331">
        <v>20170113</v>
      </c>
      <c r="I1331" t="s">
        <v>53</v>
      </c>
      <c r="L1331" t="s">
        <v>34</v>
      </c>
      <c r="M1331" t="s">
        <v>34</v>
      </c>
      <c r="N1331" t="s">
        <v>35</v>
      </c>
      <c r="O1331" t="s">
        <v>35</v>
      </c>
      <c r="P1331" t="s">
        <v>35</v>
      </c>
      <c r="Q1331" t="s">
        <v>35</v>
      </c>
      <c r="R1331" t="s">
        <v>35</v>
      </c>
      <c r="S1331" t="s">
        <v>34</v>
      </c>
      <c r="AD1331">
        <v>20170124</v>
      </c>
      <c r="AF1331" t="str">
        <f>IFERROR(VLOOKUP(RIGHT(TblFeedFile1[[#This Row],[Leave Type ]],6),LkupPayType[],2,FALSE),"TBD")</f>
        <v>TBD</v>
      </c>
      <c r="AG1331" t="str">
        <f>IFERROR(VLOOKUP(TblFeedFile1[[#This Row],[ Report Number ]],LkupPayrollCycle[],2,FALSE),"TBD")</f>
        <v>Bi-Weekly</v>
      </c>
      <c r="AH1331" t="str">
        <f>IF(TblFeedFile1[[#This Row],[Return to Work Date ]]="","","Y")</f>
        <v/>
      </c>
    </row>
    <row r="1332" spans="1:34" x14ac:dyDescent="0.25">
      <c r="A1332" t="s">
        <v>37</v>
      </c>
      <c r="B1332">
        <v>314304</v>
      </c>
      <c r="C1332">
        <v>28679782</v>
      </c>
      <c r="D1332" s="1">
        <v>541612158784</v>
      </c>
      <c r="E1332" t="s">
        <v>1633</v>
      </c>
      <c r="F1332" t="s">
        <v>1634</v>
      </c>
      <c r="G1332">
        <v>20170123</v>
      </c>
      <c r="H1332">
        <v>20170707</v>
      </c>
      <c r="I1332" t="s">
        <v>53</v>
      </c>
      <c r="L1332" t="s">
        <v>34</v>
      </c>
      <c r="M1332" t="s">
        <v>34</v>
      </c>
      <c r="N1332" t="s">
        <v>35</v>
      </c>
      <c r="O1332" t="s">
        <v>35</v>
      </c>
      <c r="P1332" t="s">
        <v>35</v>
      </c>
      <c r="Q1332" t="s">
        <v>35</v>
      </c>
      <c r="R1332" t="s">
        <v>35</v>
      </c>
      <c r="S1332" t="s">
        <v>34</v>
      </c>
      <c r="AD1332">
        <v>20170124</v>
      </c>
      <c r="AF1332" t="str">
        <f>IFERROR(VLOOKUP(RIGHT(TblFeedFile1[[#This Row],[Leave Type ]],6),LkupPayType[],2,FALSE),"TBD")</f>
        <v>TBD</v>
      </c>
      <c r="AG1332" t="str">
        <f>IFERROR(VLOOKUP(TblFeedFile1[[#This Row],[ Report Number ]],LkupPayrollCycle[],2,FALSE),"TBD")</f>
        <v>Bi-Weekly</v>
      </c>
      <c r="AH1332" t="str">
        <f>IF(TblFeedFile1[[#This Row],[Return to Work Date ]]="","","Y")</f>
        <v/>
      </c>
    </row>
    <row r="1333" spans="1:34" x14ac:dyDescent="0.25">
      <c r="A1333" t="s">
        <v>29</v>
      </c>
      <c r="B1333">
        <v>314304</v>
      </c>
      <c r="C1333">
        <v>28683196</v>
      </c>
      <c r="D1333" s="1" t="s">
        <v>1635</v>
      </c>
      <c r="E1333" t="s">
        <v>1112</v>
      </c>
      <c r="F1333" t="s">
        <v>1636</v>
      </c>
      <c r="G1333">
        <v>20161220</v>
      </c>
      <c r="H1333">
        <v>20161220</v>
      </c>
      <c r="I1333" t="s">
        <v>33</v>
      </c>
      <c r="L1333" t="s">
        <v>34</v>
      </c>
      <c r="M1333" t="s">
        <v>34</v>
      </c>
      <c r="N1333" t="s">
        <v>35</v>
      </c>
      <c r="O1333" t="s">
        <v>35</v>
      </c>
      <c r="P1333" t="s">
        <v>35</v>
      </c>
      <c r="Q1333" t="s">
        <v>35</v>
      </c>
      <c r="R1333" t="s">
        <v>35</v>
      </c>
      <c r="S1333" t="s">
        <v>34</v>
      </c>
      <c r="AC1333" t="s">
        <v>35</v>
      </c>
      <c r="AD1333">
        <v>20170124</v>
      </c>
      <c r="AF1333" t="str">
        <f>IFERROR(VLOOKUP(RIGHT(TblFeedFile1[[#This Row],[Leave Type ]],6),LkupPayType[],2,FALSE),"TBD")</f>
        <v>TBD</v>
      </c>
      <c r="AG1333" t="str">
        <f>IFERROR(VLOOKUP(TblFeedFile1[[#This Row],[ Report Number ]],LkupPayrollCycle[],2,FALSE),"TBD")</f>
        <v>Bi-Weekly</v>
      </c>
      <c r="AH1333" t="str">
        <f>IF(TblFeedFile1[[#This Row],[Return to Work Date ]]="","","Y")</f>
        <v/>
      </c>
    </row>
    <row r="1334" spans="1:34" x14ac:dyDescent="0.25">
      <c r="A1334" t="s">
        <v>29</v>
      </c>
      <c r="B1334">
        <v>314304</v>
      </c>
      <c r="C1334">
        <v>28683196</v>
      </c>
      <c r="D1334" s="1" t="s">
        <v>1635</v>
      </c>
      <c r="E1334" t="s">
        <v>1112</v>
      </c>
      <c r="F1334" t="s">
        <v>1636</v>
      </c>
      <c r="G1334">
        <v>20161017</v>
      </c>
      <c r="H1334">
        <v>20161219</v>
      </c>
      <c r="I1334" t="s">
        <v>36</v>
      </c>
      <c r="L1334" t="s">
        <v>34</v>
      </c>
      <c r="M1334" t="s">
        <v>34</v>
      </c>
      <c r="N1334" t="s">
        <v>35</v>
      </c>
      <c r="O1334" t="s">
        <v>35</v>
      </c>
      <c r="P1334" t="s">
        <v>35</v>
      </c>
      <c r="Q1334" t="s">
        <v>35</v>
      </c>
      <c r="R1334" t="s">
        <v>35</v>
      </c>
      <c r="S1334" t="s">
        <v>34</v>
      </c>
      <c r="AC1334" t="s">
        <v>35</v>
      </c>
      <c r="AD1334">
        <v>20170124</v>
      </c>
      <c r="AF1334" t="str">
        <f>IFERROR(VLOOKUP(RIGHT(TblFeedFile1[[#This Row],[Leave Type ]],6),LkupPayType[],2,FALSE),"TBD")</f>
        <v>TBD</v>
      </c>
      <c r="AG1334" t="str">
        <f>IFERROR(VLOOKUP(TblFeedFile1[[#This Row],[ Report Number ]],LkupPayrollCycle[],2,FALSE),"TBD")</f>
        <v>Bi-Weekly</v>
      </c>
      <c r="AH1334" t="str">
        <f>IF(TblFeedFile1[[#This Row],[Return to Work Date ]]="","","Y")</f>
        <v/>
      </c>
    </row>
    <row r="1335" spans="1:34" x14ac:dyDescent="0.25">
      <c r="A1335" t="s">
        <v>37</v>
      </c>
      <c r="B1335">
        <v>314304</v>
      </c>
      <c r="C1335">
        <v>28683196</v>
      </c>
      <c r="D1335" s="1" t="s">
        <v>1635</v>
      </c>
      <c r="E1335" t="s">
        <v>1112</v>
      </c>
      <c r="F1335" t="s">
        <v>1636</v>
      </c>
      <c r="G1335">
        <v>20161017</v>
      </c>
      <c r="H1335">
        <v>20161222</v>
      </c>
      <c r="I1335" t="s">
        <v>36</v>
      </c>
      <c r="L1335" t="s">
        <v>34</v>
      </c>
      <c r="M1335" t="s">
        <v>34</v>
      </c>
      <c r="N1335" t="s">
        <v>35</v>
      </c>
      <c r="O1335" t="s">
        <v>35</v>
      </c>
      <c r="P1335" t="s">
        <v>35</v>
      </c>
      <c r="Q1335" t="s">
        <v>35</v>
      </c>
      <c r="R1335" t="s">
        <v>35</v>
      </c>
      <c r="S1335" t="s">
        <v>34</v>
      </c>
      <c r="AC1335" t="s">
        <v>35</v>
      </c>
      <c r="AD1335">
        <v>20170124</v>
      </c>
      <c r="AF1335" t="str">
        <f>IFERROR(VLOOKUP(RIGHT(TblFeedFile1[[#This Row],[Leave Type ]],6),LkupPayType[],2,FALSE),"TBD")</f>
        <v>TBD</v>
      </c>
      <c r="AG1335" t="str">
        <f>IFERROR(VLOOKUP(TblFeedFile1[[#This Row],[ Report Number ]],LkupPayrollCycle[],2,FALSE),"TBD")</f>
        <v>Bi-Weekly</v>
      </c>
      <c r="AH1335" t="str">
        <f>IF(TblFeedFile1[[#This Row],[Return to Work Date ]]="","","Y")</f>
        <v/>
      </c>
    </row>
    <row r="1336" spans="1:34" x14ac:dyDescent="0.25">
      <c r="A1336" t="s">
        <v>37</v>
      </c>
      <c r="B1336">
        <v>314304</v>
      </c>
      <c r="C1336">
        <v>28683196</v>
      </c>
      <c r="D1336" s="1" t="s">
        <v>1635</v>
      </c>
      <c r="E1336" t="s">
        <v>1112</v>
      </c>
      <c r="F1336" t="s">
        <v>1636</v>
      </c>
      <c r="G1336">
        <v>20161223</v>
      </c>
      <c r="H1336">
        <v>20161223</v>
      </c>
      <c r="I1336" t="s">
        <v>33</v>
      </c>
      <c r="L1336" t="s">
        <v>34</v>
      </c>
      <c r="M1336" t="s">
        <v>34</v>
      </c>
      <c r="N1336" t="s">
        <v>35</v>
      </c>
      <c r="O1336" t="s">
        <v>35</v>
      </c>
      <c r="P1336" t="s">
        <v>35</v>
      </c>
      <c r="Q1336" t="s">
        <v>35</v>
      </c>
      <c r="R1336" t="s">
        <v>35</v>
      </c>
      <c r="S1336" t="s">
        <v>34</v>
      </c>
      <c r="AC1336" t="s">
        <v>35</v>
      </c>
      <c r="AD1336">
        <v>20170124</v>
      </c>
      <c r="AF1336" t="str">
        <f>IFERROR(VLOOKUP(RIGHT(TblFeedFile1[[#This Row],[Leave Type ]],6),LkupPayType[],2,FALSE),"TBD")</f>
        <v>TBD</v>
      </c>
      <c r="AG1336" t="str">
        <f>IFERROR(VLOOKUP(TblFeedFile1[[#This Row],[ Report Number ]],LkupPayrollCycle[],2,FALSE),"TBD")</f>
        <v>Bi-Weekly</v>
      </c>
      <c r="AH1336" t="str">
        <f>IF(TblFeedFile1[[#This Row],[Return to Work Date ]]="","","Y")</f>
        <v/>
      </c>
    </row>
    <row r="1337" spans="1:34" x14ac:dyDescent="0.25">
      <c r="A1337" t="s">
        <v>37</v>
      </c>
      <c r="B1337">
        <v>314304</v>
      </c>
      <c r="C1337">
        <v>28699892</v>
      </c>
      <c r="D1337" s="1">
        <v>551701238295</v>
      </c>
      <c r="E1337" t="s">
        <v>1637</v>
      </c>
      <c r="F1337" t="s">
        <v>1638</v>
      </c>
      <c r="G1337">
        <v>20170110</v>
      </c>
      <c r="I1337" t="s">
        <v>53</v>
      </c>
      <c r="L1337" t="s">
        <v>34</v>
      </c>
      <c r="M1337" t="s">
        <v>34</v>
      </c>
      <c r="N1337" t="s">
        <v>35</v>
      </c>
      <c r="O1337" t="s">
        <v>35</v>
      </c>
      <c r="P1337" t="s">
        <v>35</v>
      </c>
      <c r="Q1337" t="s">
        <v>35</v>
      </c>
      <c r="R1337" t="s">
        <v>35</v>
      </c>
      <c r="S1337" t="s">
        <v>34</v>
      </c>
      <c r="AD1337">
        <v>20170124</v>
      </c>
      <c r="AF1337" t="str">
        <f>IFERROR(VLOOKUP(RIGHT(TblFeedFile1[[#This Row],[Leave Type ]],6),LkupPayType[],2,FALSE),"TBD")</f>
        <v>TBD</v>
      </c>
      <c r="AG1337" t="str">
        <f>IFERROR(VLOOKUP(TblFeedFile1[[#This Row],[ Report Number ]],LkupPayrollCycle[],2,FALSE),"TBD")</f>
        <v>Bi-Weekly</v>
      </c>
      <c r="AH1337" t="str">
        <f>IF(TblFeedFile1[[#This Row],[Return to Work Date ]]="","","Y")</f>
        <v/>
      </c>
    </row>
    <row r="1338" spans="1:34" x14ac:dyDescent="0.25">
      <c r="A1338" t="s">
        <v>37</v>
      </c>
      <c r="B1338">
        <v>314304</v>
      </c>
      <c r="C1338">
        <v>28699892</v>
      </c>
      <c r="D1338" s="1" t="s">
        <v>1639</v>
      </c>
      <c r="E1338" t="s">
        <v>1637</v>
      </c>
      <c r="F1338" t="s">
        <v>1638</v>
      </c>
      <c r="G1338">
        <v>20170124</v>
      </c>
      <c r="H1338">
        <v>20170327</v>
      </c>
      <c r="I1338" t="s">
        <v>78</v>
      </c>
      <c r="K1338" t="s">
        <v>79</v>
      </c>
      <c r="L1338" t="s">
        <v>34</v>
      </c>
      <c r="M1338" t="s">
        <v>34</v>
      </c>
      <c r="N1338" t="s">
        <v>35</v>
      </c>
      <c r="O1338" t="s">
        <v>35</v>
      </c>
      <c r="P1338" t="s">
        <v>35</v>
      </c>
      <c r="Q1338" t="s">
        <v>35</v>
      </c>
      <c r="R1338" t="s">
        <v>35</v>
      </c>
      <c r="S1338" t="s">
        <v>34</v>
      </c>
      <c r="AD1338">
        <v>20170124</v>
      </c>
      <c r="AF1338" t="str">
        <f>IFERROR(VLOOKUP(RIGHT(TblFeedFile1[[#This Row],[Leave Type ]],6),LkupPayType[],2,FALSE),"TBD")</f>
        <v>TBD</v>
      </c>
      <c r="AG1338" t="str">
        <f>IFERROR(VLOOKUP(TblFeedFile1[[#This Row],[ Report Number ]],LkupPayrollCycle[],2,FALSE),"TBD")</f>
        <v>Bi-Weekly</v>
      </c>
      <c r="AH1338" t="str">
        <f>IF(TblFeedFile1[[#This Row],[Return to Work Date ]]="","","Y")</f>
        <v/>
      </c>
    </row>
    <row r="1339" spans="1:34" x14ac:dyDescent="0.25">
      <c r="A1339" t="s">
        <v>29</v>
      </c>
      <c r="B1339">
        <v>314305</v>
      </c>
      <c r="C1339">
        <v>28717316</v>
      </c>
      <c r="D1339" s="1" t="s">
        <v>1640</v>
      </c>
      <c r="E1339" t="s">
        <v>1641</v>
      </c>
      <c r="F1339" t="s">
        <v>1642</v>
      </c>
      <c r="G1339">
        <v>20170111</v>
      </c>
      <c r="H1339">
        <v>20170111</v>
      </c>
      <c r="I1339" t="s">
        <v>33</v>
      </c>
      <c r="L1339" t="s">
        <v>34</v>
      </c>
      <c r="M1339" t="s">
        <v>34</v>
      </c>
      <c r="N1339" t="s">
        <v>35</v>
      </c>
      <c r="O1339" t="s">
        <v>35</v>
      </c>
      <c r="P1339" t="s">
        <v>35</v>
      </c>
      <c r="Q1339" t="s">
        <v>35</v>
      </c>
      <c r="R1339" t="s">
        <v>35</v>
      </c>
      <c r="S1339" t="s">
        <v>34</v>
      </c>
      <c r="AC1339" t="s">
        <v>35</v>
      </c>
      <c r="AD1339">
        <v>20170124</v>
      </c>
      <c r="AF1339" t="str">
        <f>IFERROR(VLOOKUP(RIGHT(TblFeedFile1[[#This Row],[Leave Type ]],6),LkupPayType[],2,FALSE),"TBD")</f>
        <v>TBD</v>
      </c>
      <c r="AG1339" t="str">
        <f>IFERROR(VLOOKUP(TblFeedFile1[[#This Row],[ Report Number ]],LkupPayrollCycle[],2,FALSE),"TBD")</f>
        <v>Bi-Weekly</v>
      </c>
      <c r="AH1339" t="str">
        <f>IF(TblFeedFile1[[#This Row],[Return to Work Date ]]="","","Y")</f>
        <v/>
      </c>
    </row>
    <row r="1340" spans="1:34" x14ac:dyDescent="0.25">
      <c r="A1340" t="s">
        <v>29</v>
      </c>
      <c r="B1340">
        <v>314305</v>
      </c>
      <c r="C1340">
        <v>28717316</v>
      </c>
      <c r="D1340" s="1" t="s">
        <v>1640</v>
      </c>
      <c r="E1340" t="s">
        <v>1641</v>
      </c>
      <c r="F1340" t="s">
        <v>1642</v>
      </c>
      <c r="G1340">
        <v>20161221</v>
      </c>
      <c r="H1340">
        <v>20170110</v>
      </c>
      <c r="I1340" t="s">
        <v>78</v>
      </c>
      <c r="K1340" t="s">
        <v>79</v>
      </c>
      <c r="L1340" t="s">
        <v>34</v>
      </c>
      <c r="M1340" t="s">
        <v>34</v>
      </c>
      <c r="N1340" t="s">
        <v>35</v>
      </c>
      <c r="O1340" t="s">
        <v>35</v>
      </c>
      <c r="P1340" t="s">
        <v>35</v>
      </c>
      <c r="Q1340" t="s">
        <v>35</v>
      </c>
      <c r="R1340" t="s">
        <v>35</v>
      </c>
      <c r="S1340" t="s">
        <v>34</v>
      </c>
      <c r="AC1340" t="s">
        <v>35</v>
      </c>
      <c r="AD1340">
        <v>20170124</v>
      </c>
      <c r="AF1340" t="str">
        <f>IFERROR(VLOOKUP(RIGHT(TblFeedFile1[[#This Row],[Leave Type ]],6),LkupPayType[],2,FALSE),"TBD")</f>
        <v>TBD</v>
      </c>
      <c r="AG1340" t="str">
        <f>IFERROR(VLOOKUP(TblFeedFile1[[#This Row],[ Report Number ]],LkupPayrollCycle[],2,FALSE),"TBD")</f>
        <v>Bi-Weekly</v>
      </c>
      <c r="AH1340" t="str">
        <f>IF(TblFeedFile1[[#This Row],[Return to Work Date ]]="","","Y")</f>
        <v/>
      </c>
    </row>
    <row r="1341" spans="1:34" x14ac:dyDescent="0.25">
      <c r="A1341" t="s">
        <v>37</v>
      </c>
      <c r="B1341">
        <v>314305</v>
      </c>
      <c r="C1341">
        <v>28717316</v>
      </c>
      <c r="D1341" s="1" t="s">
        <v>1640</v>
      </c>
      <c r="E1341" t="s">
        <v>1641</v>
      </c>
      <c r="F1341" t="s">
        <v>1642</v>
      </c>
      <c r="G1341">
        <v>20161221</v>
      </c>
      <c r="H1341">
        <v>20170110</v>
      </c>
      <c r="I1341" t="s">
        <v>36</v>
      </c>
      <c r="L1341" t="s">
        <v>34</v>
      </c>
      <c r="M1341" t="s">
        <v>34</v>
      </c>
      <c r="N1341" t="s">
        <v>35</v>
      </c>
      <c r="O1341" t="s">
        <v>35</v>
      </c>
      <c r="P1341" t="s">
        <v>35</v>
      </c>
      <c r="Q1341" t="s">
        <v>35</v>
      </c>
      <c r="R1341" t="s">
        <v>35</v>
      </c>
      <c r="S1341" t="s">
        <v>34</v>
      </c>
      <c r="T1341">
        <v>20170112</v>
      </c>
      <c r="AC1341" t="s">
        <v>35</v>
      </c>
      <c r="AD1341">
        <v>20170124</v>
      </c>
      <c r="AF1341" t="str">
        <f>IFERROR(VLOOKUP(RIGHT(TblFeedFile1[[#This Row],[Leave Type ]],6),LkupPayType[],2,FALSE),"TBD")</f>
        <v>TBD</v>
      </c>
      <c r="AG1341" t="str">
        <f>IFERROR(VLOOKUP(TblFeedFile1[[#This Row],[ Report Number ]],LkupPayrollCycle[],2,FALSE),"TBD")</f>
        <v>Bi-Weekly</v>
      </c>
      <c r="AH1341" t="str">
        <f>IF(TblFeedFile1[[#This Row],[Return to Work Date ]]="","","Y")</f>
        <v>Y</v>
      </c>
    </row>
    <row r="1342" spans="1:34" x14ac:dyDescent="0.25">
      <c r="A1342" t="s">
        <v>37</v>
      </c>
      <c r="B1342">
        <v>314304</v>
      </c>
      <c r="C1342">
        <v>28718588</v>
      </c>
      <c r="D1342" s="1">
        <v>501701238370</v>
      </c>
      <c r="E1342" t="s">
        <v>169</v>
      </c>
      <c r="F1342" t="s">
        <v>526</v>
      </c>
      <c r="G1342">
        <v>20170118</v>
      </c>
      <c r="I1342" t="s">
        <v>53</v>
      </c>
      <c r="L1342" t="s">
        <v>34</v>
      </c>
      <c r="M1342" t="s">
        <v>34</v>
      </c>
      <c r="N1342" t="s">
        <v>35</v>
      </c>
      <c r="O1342" t="s">
        <v>35</v>
      </c>
      <c r="P1342" t="s">
        <v>35</v>
      </c>
      <c r="Q1342" t="s">
        <v>35</v>
      </c>
      <c r="R1342" t="s">
        <v>35</v>
      </c>
      <c r="S1342" t="s">
        <v>34</v>
      </c>
      <c r="AD1342">
        <v>20170124</v>
      </c>
      <c r="AF1342" t="str">
        <f>IFERROR(VLOOKUP(RIGHT(TblFeedFile1[[#This Row],[Leave Type ]],6),LkupPayType[],2,FALSE),"TBD")</f>
        <v>TBD</v>
      </c>
      <c r="AG1342" t="str">
        <f>IFERROR(VLOOKUP(TblFeedFile1[[#This Row],[ Report Number ]],LkupPayrollCycle[],2,FALSE),"TBD")</f>
        <v>Bi-Weekly</v>
      </c>
      <c r="AH1342" t="str">
        <f>IF(TblFeedFile1[[#This Row],[Return to Work Date ]]="","","Y")</f>
        <v/>
      </c>
    </row>
    <row r="1343" spans="1:34" x14ac:dyDescent="0.25">
      <c r="A1343" t="s">
        <v>37</v>
      </c>
      <c r="B1343">
        <v>314304</v>
      </c>
      <c r="C1343">
        <v>28718588</v>
      </c>
      <c r="D1343" s="1" t="s">
        <v>1643</v>
      </c>
      <c r="E1343" t="s">
        <v>169</v>
      </c>
      <c r="F1343" t="s">
        <v>526</v>
      </c>
      <c r="G1343">
        <v>20170124</v>
      </c>
      <c r="H1343">
        <v>20170224</v>
      </c>
      <c r="I1343" t="s">
        <v>78</v>
      </c>
      <c r="K1343" t="s">
        <v>79</v>
      </c>
      <c r="L1343" t="s">
        <v>34</v>
      </c>
      <c r="M1343" t="s">
        <v>34</v>
      </c>
      <c r="N1343" t="s">
        <v>35</v>
      </c>
      <c r="O1343" t="s">
        <v>35</v>
      </c>
      <c r="P1343" t="s">
        <v>35</v>
      </c>
      <c r="Q1343" t="s">
        <v>35</v>
      </c>
      <c r="R1343" t="s">
        <v>35</v>
      </c>
      <c r="S1343" t="s">
        <v>34</v>
      </c>
      <c r="AD1343">
        <v>20170124</v>
      </c>
      <c r="AF1343" t="str">
        <f>IFERROR(VLOOKUP(RIGHT(TblFeedFile1[[#This Row],[Leave Type ]],6),LkupPayType[],2,FALSE),"TBD")</f>
        <v>TBD</v>
      </c>
      <c r="AG1343" t="str">
        <f>IFERROR(VLOOKUP(TblFeedFile1[[#This Row],[ Report Number ]],LkupPayrollCycle[],2,FALSE),"TBD")</f>
        <v>Bi-Weekly</v>
      </c>
      <c r="AH1343" t="str">
        <f>IF(TblFeedFile1[[#This Row],[Return to Work Date ]]="","","Y")</f>
        <v/>
      </c>
    </row>
    <row r="1344" spans="1:34" x14ac:dyDescent="0.25">
      <c r="A1344" t="s">
        <v>37</v>
      </c>
      <c r="B1344">
        <v>314305</v>
      </c>
      <c r="C1344">
        <v>28725813</v>
      </c>
      <c r="D1344" s="1" t="s">
        <v>1644</v>
      </c>
      <c r="E1344" t="s">
        <v>1645</v>
      </c>
      <c r="F1344" t="s">
        <v>1646</v>
      </c>
      <c r="G1344">
        <v>20170124</v>
      </c>
      <c r="H1344">
        <v>20170124</v>
      </c>
      <c r="I1344" t="s">
        <v>33</v>
      </c>
      <c r="L1344" t="s">
        <v>34</v>
      </c>
      <c r="M1344" t="s">
        <v>34</v>
      </c>
      <c r="N1344" t="s">
        <v>35</v>
      </c>
      <c r="O1344" t="s">
        <v>35</v>
      </c>
      <c r="P1344" t="s">
        <v>35</v>
      </c>
      <c r="Q1344" t="s">
        <v>35</v>
      </c>
      <c r="R1344" t="s">
        <v>35</v>
      </c>
      <c r="S1344" t="s">
        <v>34</v>
      </c>
      <c r="AC1344" t="s">
        <v>35</v>
      </c>
      <c r="AD1344">
        <v>20170124</v>
      </c>
      <c r="AF1344" t="str">
        <f>IFERROR(VLOOKUP(RIGHT(TblFeedFile1[[#This Row],[Leave Type ]],6),LkupPayType[],2,FALSE),"TBD")</f>
        <v>TBD</v>
      </c>
      <c r="AG1344" t="str">
        <f>IFERROR(VLOOKUP(TblFeedFile1[[#This Row],[ Report Number ]],LkupPayrollCycle[],2,FALSE),"TBD")</f>
        <v>Bi-Weekly</v>
      </c>
      <c r="AH1344" t="str">
        <f>IF(TblFeedFile1[[#This Row],[Return to Work Date ]]="","","Y")</f>
        <v/>
      </c>
    </row>
    <row r="1345" spans="1:34" x14ac:dyDescent="0.25">
      <c r="A1345" t="s">
        <v>37</v>
      </c>
      <c r="B1345">
        <v>314304</v>
      </c>
      <c r="C1345">
        <v>28736250</v>
      </c>
      <c r="D1345" s="1">
        <v>501701248428</v>
      </c>
      <c r="E1345" t="s">
        <v>95</v>
      </c>
      <c r="F1345" t="s">
        <v>1177</v>
      </c>
      <c r="G1345">
        <v>20170121</v>
      </c>
      <c r="I1345" t="s">
        <v>53</v>
      </c>
      <c r="L1345" t="s">
        <v>34</v>
      </c>
      <c r="M1345" t="s">
        <v>34</v>
      </c>
      <c r="N1345" t="s">
        <v>35</v>
      </c>
      <c r="O1345" t="s">
        <v>35</v>
      </c>
      <c r="P1345" t="s">
        <v>35</v>
      </c>
      <c r="Q1345" t="s">
        <v>35</v>
      </c>
      <c r="R1345" t="s">
        <v>35</v>
      </c>
      <c r="S1345" t="s">
        <v>34</v>
      </c>
      <c r="AD1345">
        <v>20170124</v>
      </c>
      <c r="AF1345" t="str">
        <f>IFERROR(VLOOKUP(RIGHT(TblFeedFile1[[#This Row],[Leave Type ]],6),LkupPayType[],2,FALSE),"TBD")</f>
        <v>TBD</v>
      </c>
      <c r="AG1345" t="str">
        <f>IFERROR(VLOOKUP(TblFeedFile1[[#This Row],[ Report Number ]],LkupPayrollCycle[],2,FALSE),"TBD")</f>
        <v>Bi-Weekly</v>
      </c>
      <c r="AH1345" t="str">
        <f>IF(TblFeedFile1[[#This Row],[Return to Work Date ]]="","","Y")</f>
        <v/>
      </c>
    </row>
    <row r="1346" spans="1:34" x14ac:dyDescent="0.25">
      <c r="A1346" t="s">
        <v>37</v>
      </c>
      <c r="B1346">
        <v>314304</v>
      </c>
      <c r="C1346">
        <v>28736250</v>
      </c>
      <c r="D1346" s="1" t="s">
        <v>1647</v>
      </c>
      <c r="E1346" t="s">
        <v>95</v>
      </c>
      <c r="F1346" t="s">
        <v>1177</v>
      </c>
      <c r="G1346">
        <v>20170123</v>
      </c>
      <c r="H1346">
        <v>20170224</v>
      </c>
      <c r="I1346" t="s">
        <v>78</v>
      </c>
      <c r="K1346" t="s">
        <v>79</v>
      </c>
      <c r="L1346" t="s">
        <v>34</v>
      </c>
      <c r="M1346" t="s">
        <v>34</v>
      </c>
      <c r="N1346" t="s">
        <v>35</v>
      </c>
      <c r="O1346" t="s">
        <v>35</v>
      </c>
      <c r="P1346" t="s">
        <v>35</v>
      </c>
      <c r="Q1346" t="s">
        <v>35</v>
      </c>
      <c r="R1346" t="s">
        <v>35</v>
      </c>
      <c r="S1346" t="s">
        <v>34</v>
      </c>
      <c r="AD1346">
        <v>20170124</v>
      </c>
      <c r="AF1346" t="str">
        <f>IFERROR(VLOOKUP(RIGHT(TblFeedFile1[[#This Row],[Leave Type ]],6),LkupPayType[],2,FALSE),"TBD")</f>
        <v>TBD</v>
      </c>
      <c r="AG1346" t="str">
        <f>IFERROR(VLOOKUP(TblFeedFile1[[#This Row],[ Report Number ]],LkupPayrollCycle[],2,FALSE),"TBD")</f>
        <v>Bi-Weekly</v>
      </c>
      <c r="AH1346" t="str">
        <f>IF(TblFeedFile1[[#This Row],[Return to Work Date ]]="","","Y")</f>
        <v/>
      </c>
    </row>
    <row r="1347" spans="1:34" x14ac:dyDescent="0.25">
      <c r="A1347" t="s">
        <v>37</v>
      </c>
      <c r="B1347">
        <v>314304</v>
      </c>
      <c r="C1347">
        <v>28744115</v>
      </c>
      <c r="D1347" s="1" t="s">
        <v>1648</v>
      </c>
      <c r="E1347" t="s">
        <v>1649</v>
      </c>
      <c r="F1347" t="s">
        <v>416</v>
      </c>
      <c r="G1347">
        <v>20170121</v>
      </c>
      <c r="H1347">
        <v>20170121</v>
      </c>
      <c r="I1347" t="s">
        <v>33</v>
      </c>
      <c r="L1347" t="s">
        <v>34</v>
      </c>
      <c r="M1347" t="s">
        <v>34</v>
      </c>
      <c r="N1347" t="s">
        <v>35</v>
      </c>
      <c r="O1347" t="s">
        <v>35</v>
      </c>
      <c r="P1347" t="s">
        <v>35</v>
      </c>
      <c r="Q1347" t="s">
        <v>35</v>
      </c>
      <c r="R1347" t="s">
        <v>35</v>
      </c>
      <c r="S1347" t="s">
        <v>34</v>
      </c>
      <c r="AC1347" t="s">
        <v>35</v>
      </c>
      <c r="AD1347">
        <v>20170124</v>
      </c>
      <c r="AF1347" t="str">
        <f>IFERROR(VLOOKUP(RIGHT(TblFeedFile1[[#This Row],[Leave Type ]],6),LkupPayType[],2,FALSE),"TBD")</f>
        <v>TBD</v>
      </c>
      <c r="AG1347" t="str">
        <f>IFERROR(VLOOKUP(TblFeedFile1[[#This Row],[ Report Number ]],LkupPayrollCycle[],2,FALSE),"TBD")</f>
        <v>Bi-Weekly</v>
      </c>
      <c r="AH1347" t="str">
        <f>IF(TblFeedFile1[[#This Row],[Return to Work Date ]]="","","Y")</f>
        <v/>
      </c>
    </row>
    <row r="1348" spans="1:34" x14ac:dyDescent="0.25">
      <c r="A1348" t="s">
        <v>29</v>
      </c>
      <c r="B1348">
        <v>314301</v>
      </c>
      <c r="C1348">
        <v>28763991</v>
      </c>
      <c r="D1348" s="1" t="s">
        <v>1650</v>
      </c>
      <c r="E1348" t="s">
        <v>1140</v>
      </c>
      <c r="F1348" t="s">
        <v>1651</v>
      </c>
      <c r="G1348">
        <v>20140729</v>
      </c>
      <c r="H1348">
        <v>20170209</v>
      </c>
      <c r="I1348" t="s">
        <v>36</v>
      </c>
      <c r="L1348" t="s">
        <v>34</v>
      </c>
      <c r="M1348" t="s">
        <v>34</v>
      </c>
      <c r="N1348" t="s">
        <v>35</v>
      </c>
      <c r="O1348" t="s">
        <v>35</v>
      </c>
      <c r="P1348" t="s">
        <v>35</v>
      </c>
      <c r="Q1348" t="s">
        <v>35</v>
      </c>
      <c r="R1348" t="s">
        <v>35</v>
      </c>
      <c r="S1348" t="s">
        <v>34</v>
      </c>
      <c r="AC1348" t="s">
        <v>35</v>
      </c>
      <c r="AD1348">
        <v>20170124</v>
      </c>
      <c r="AF1348" t="str">
        <f>IFERROR(VLOOKUP(RIGHT(TblFeedFile1[[#This Row],[Leave Type ]],6),LkupPayType[],2,FALSE),"TBD")</f>
        <v>TBD</v>
      </c>
      <c r="AG1348" t="str">
        <f>IFERROR(VLOOKUP(TblFeedFile1[[#This Row],[ Report Number ]],LkupPayrollCycle[],2,FALSE),"TBD")</f>
        <v>Semi-Monthly</v>
      </c>
      <c r="AH1348" t="str">
        <f>IF(TblFeedFile1[[#This Row],[Return to Work Date ]]="","","Y")</f>
        <v/>
      </c>
    </row>
    <row r="1349" spans="1:34" x14ac:dyDescent="0.25">
      <c r="A1349" t="s">
        <v>37</v>
      </c>
      <c r="B1349">
        <v>314301</v>
      </c>
      <c r="C1349">
        <v>28763991</v>
      </c>
      <c r="D1349" s="1" t="s">
        <v>1650</v>
      </c>
      <c r="E1349" t="s">
        <v>1140</v>
      </c>
      <c r="F1349" t="s">
        <v>1651</v>
      </c>
      <c r="G1349">
        <v>20140729</v>
      </c>
      <c r="H1349">
        <v>20160728</v>
      </c>
      <c r="I1349" t="s">
        <v>36</v>
      </c>
      <c r="L1349" t="s">
        <v>34</v>
      </c>
      <c r="M1349" t="s">
        <v>34</v>
      </c>
      <c r="N1349" t="s">
        <v>35</v>
      </c>
      <c r="O1349" t="s">
        <v>35</v>
      </c>
      <c r="P1349" t="s">
        <v>35</v>
      </c>
      <c r="Q1349" t="s">
        <v>35</v>
      </c>
      <c r="R1349" t="s">
        <v>35</v>
      </c>
      <c r="S1349" t="s">
        <v>34</v>
      </c>
      <c r="AC1349" t="s">
        <v>35</v>
      </c>
      <c r="AD1349">
        <v>20170124</v>
      </c>
      <c r="AF1349" t="str">
        <f>IFERROR(VLOOKUP(RIGHT(TblFeedFile1[[#This Row],[Leave Type ]],6),LkupPayType[],2,FALSE),"TBD")</f>
        <v>TBD</v>
      </c>
      <c r="AG1349" t="str">
        <f>IFERROR(VLOOKUP(TblFeedFile1[[#This Row],[ Report Number ]],LkupPayrollCycle[],2,FALSE),"TBD")</f>
        <v>Semi-Monthly</v>
      </c>
      <c r="AH1349" t="str">
        <f>IF(TblFeedFile1[[#This Row],[Return to Work Date ]]="","","Y")</f>
        <v/>
      </c>
    </row>
    <row r="1350" spans="1:34" x14ac:dyDescent="0.25">
      <c r="A1350" t="s">
        <v>37</v>
      </c>
      <c r="B1350">
        <v>314301</v>
      </c>
      <c r="C1350">
        <v>28763991</v>
      </c>
      <c r="D1350" s="1" t="s">
        <v>1650</v>
      </c>
      <c r="E1350" t="s">
        <v>1140</v>
      </c>
      <c r="F1350" t="s">
        <v>1651</v>
      </c>
      <c r="G1350">
        <v>20160729</v>
      </c>
      <c r="H1350">
        <v>20160729</v>
      </c>
      <c r="I1350" t="s">
        <v>33</v>
      </c>
      <c r="L1350" t="s">
        <v>34</v>
      </c>
      <c r="M1350" t="s">
        <v>34</v>
      </c>
      <c r="N1350" t="s">
        <v>35</v>
      </c>
      <c r="O1350" t="s">
        <v>35</v>
      </c>
      <c r="P1350" t="s">
        <v>35</v>
      </c>
      <c r="Q1350" t="s">
        <v>35</v>
      </c>
      <c r="R1350" t="s">
        <v>35</v>
      </c>
      <c r="S1350" t="s">
        <v>34</v>
      </c>
      <c r="AC1350" t="s">
        <v>35</v>
      </c>
      <c r="AD1350">
        <v>20170124</v>
      </c>
      <c r="AF1350" t="str">
        <f>IFERROR(VLOOKUP(RIGHT(TblFeedFile1[[#This Row],[Leave Type ]],6),LkupPayType[],2,FALSE),"TBD")</f>
        <v>TBD</v>
      </c>
      <c r="AG1350" t="str">
        <f>IFERROR(VLOOKUP(TblFeedFile1[[#This Row],[ Report Number ]],LkupPayrollCycle[],2,FALSE),"TBD")</f>
        <v>Semi-Monthly</v>
      </c>
      <c r="AH1350" t="str">
        <f>IF(TblFeedFile1[[#This Row],[Return to Work Date ]]="","","Y")</f>
        <v/>
      </c>
    </row>
    <row r="1351" spans="1:34" x14ac:dyDescent="0.25">
      <c r="A1351" t="s">
        <v>37</v>
      </c>
      <c r="B1351">
        <v>314304</v>
      </c>
      <c r="C1351">
        <v>28781060</v>
      </c>
      <c r="D1351" s="1">
        <v>501701218060</v>
      </c>
      <c r="E1351" t="s">
        <v>1652</v>
      </c>
      <c r="F1351" t="s">
        <v>1653</v>
      </c>
      <c r="G1351">
        <v>20170123</v>
      </c>
      <c r="H1351">
        <v>20170323</v>
      </c>
      <c r="I1351" t="s">
        <v>53</v>
      </c>
      <c r="L1351" t="s">
        <v>34</v>
      </c>
      <c r="M1351" t="s">
        <v>34</v>
      </c>
      <c r="N1351" t="s">
        <v>35</v>
      </c>
      <c r="O1351" t="s">
        <v>35</v>
      </c>
      <c r="P1351" t="s">
        <v>35</v>
      </c>
      <c r="Q1351" t="s">
        <v>35</v>
      </c>
      <c r="R1351" t="s">
        <v>35</v>
      </c>
      <c r="S1351" t="s">
        <v>34</v>
      </c>
      <c r="AD1351">
        <v>20170124</v>
      </c>
      <c r="AF1351" t="str">
        <f>IFERROR(VLOOKUP(RIGHT(TblFeedFile1[[#This Row],[Leave Type ]],6),LkupPayType[],2,FALSE),"TBD")</f>
        <v>TBD</v>
      </c>
      <c r="AG1351" t="str">
        <f>IFERROR(VLOOKUP(TblFeedFile1[[#This Row],[ Report Number ]],LkupPayrollCycle[],2,FALSE),"TBD")</f>
        <v>Bi-Weekly</v>
      </c>
      <c r="AH1351" t="str">
        <f>IF(TblFeedFile1[[#This Row],[Return to Work Date ]]="","","Y")</f>
        <v/>
      </c>
    </row>
    <row r="1352" spans="1:34" x14ac:dyDescent="0.25">
      <c r="A1352" t="s">
        <v>29</v>
      </c>
      <c r="B1352">
        <v>314304</v>
      </c>
      <c r="C1352">
        <v>28785151</v>
      </c>
      <c r="D1352" s="1" t="s">
        <v>1654</v>
      </c>
      <c r="E1352" t="s">
        <v>1655</v>
      </c>
      <c r="F1352" t="s">
        <v>178</v>
      </c>
      <c r="G1352">
        <v>20170105</v>
      </c>
      <c r="H1352">
        <v>20170105</v>
      </c>
      <c r="I1352" t="s">
        <v>33</v>
      </c>
      <c r="L1352" t="s">
        <v>34</v>
      </c>
      <c r="M1352" t="s">
        <v>34</v>
      </c>
      <c r="N1352" t="s">
        <v>35</v>
      </c>
      <c r="O1352" t="s">
        <v>35</v>
      </c>
      <c r="P1352" t="s">
        <v>35</v>
      </c>
      <c r="Q1352" t="s">
        <v>35</v>
      </c>
      <c r="R1352" t="s">
        <v>35</v>
      </c>
      <c r="S1352" t="s">
        <v>34</v>
      </c>
      <c r="AC1352" t="s">
        <v>35</v>
      </c>
      <c r="AD1352">
        <v>20170124</v>
      </c>
      <c r="AF1352" t="str">
        <f>IFERROR(VLOOKUP(RIGHT(TblFeedFile1[[#This Row],[Leave Type ]],6),LkupPayType[],2,FALSE),"TBD")</f>
        <v>TBD</v>
      </c>
      <c r="AG1352" t="str">
        <f>IFERROR(VLOOKUP(TblFeedFile1[[#This Row],[ Report Number ]],LkupPayrollCycle[],2,FALSE),"TBD")</f>
        <v>Bi-Weekly</v>
      </c>
      <c r="AH1352" t="str">
        <f>IF(TblFeedFile1[[#This Row],[Return to Work Date ]]="","","Y")</f>
        <v/>
      </c>
    </row>
    <row r="1353" spans="1:34" x14ac:dyDescent="0.25">
      <c r="A1353" t="s">
        <v>29</v>
      </c>
      <c r="B1353">
        <v>314304</v>
      </c>
      <c r="C1353">
        <v>28785151</v>
      </c>
      <c r="D1353" s="1" t="s">
        <v>1654</v>
      </c>
      <c r="E1353" t="s">
        <v>1655</v>
      </c>
      <c r="F1353" t="s">
        <v>178</v>
      </c>
      <c r="G1353">
        <v>20160522</v>
      </c>
      <c r="H1353">
        <v>20170104</v>
      </c>
      <c r="I1353" t="s">
        <v>36</v>
      </c>
      <c r="L1353" t="s">
        <v>34</v>
      </c>
      <c r="M1353" t="s">
        <v>34</v>
      </c>
      <c r="N1353" t="s">
        <v>35</v>
      </c>
      <c r="O1353" t="s">
        <v>35</v>
      </c>
      <c r="P1353" t="s">
        <v>35</v>
      </c>
      <c r="Q1353" t="s">
        <v>35</v>
      </c>
      <c r="R1353" t="s">
        <v>35</v>
      </c>
      <c r="S1353" t="s">
        <v>34</v>
      </c>
      <c r="AC1353" t="s">
        <v>35</v>
      </c>
      <c r="AD1353">
        <v>20170124</v>
      </c>
      <c r="AF1353" t="str">
        <f>IFERROR(VLOOKUP(RIGHT(TblFeedFile1[[#This Row],[Leave Type ]],6),LkupPayType[],2,FALSE),"TBD")</f>
        <v>TBD</v>
      </c>
      <c r="AG1353" t="str">
        <f>IFERROR(VLOOKUP(TblFeedFile1[[#This Row],[ Report Number ]],LkupPayrollCycle[],2,FALSE),"TBD")</f>
        <v>Bi-Weekly</v>
      </c>
      <c r="AH1353" t="str">
        <f>IF(TblFeedFile1[[#This Row],[Return to Work Date ]]="","","Y")</f>
        <v/>
      </c>
    </row>
    <row r="1354" spans="1:34" x14ac:dyDescent="0.25">
      <c r="A1354" t="s">
        <v>37</v>
      </c>
      <c r="B1354">
        <v>314304</v>
      </c>
      <c r="C1354">
        <v>28785151</v>
      </c>
      <c r="D1354" s="1" t="s">
        <v>1654</v>
      </c>
      <c r="E1354" t="s">
        <v>1655</v>
      </c>
      <c r="F1354" t="s">
        <v>178</v>
      </c>
      <c r="G1354">
        <v>20160522</v>
      </c>
      <c r="H1354">
        <v>20170312</v>
      </c>
      <c r="I1354" t="s">
        <v>36</v>
      </c>
      <c r="L1354" t="s">
        <v>34</v>
      </c>
      <c r="M1354" t="s">
        <v>34</v>
      </c>
      <c r="N1354" t="s">
        <v>35</v>
      </c>
      <c r="O1354" t="s">
        <v>35</v>
      </c>
      <c r="P1354" t="s">
        <v>35</v>
      </c>
      <c r="Q1354" t="s">
        <v>35</v>
      </c>
      <c r="R1354" t="s">
        <v>35</v>
      </c>
      <c r="S1354" t="s">
        <v>34</v>
      </c>
      <c r="AC1354" t="s">
        <v>35</v>
      </c>
      <c r="AD1354">
        <v>20170124</v>
      </c>
      <c r="AF1354" t="str">
        <f>IFERROR(VLOOKUP(RIGHT(TblFeedFile1[[#This Row],[Leave Type ]],6),LkupPayType[],2,FALSE),"TBD")</f>
        <v>TBD</v>
      </c>
      <c r="AG1354" t="str">
        <f>IFERROR(VLOOKUP(TblFeedFile1[[#This Row],[ Report Number ]],LkupPayrollCycle[],2,FALSE),"TBD")</f>
        <v>Bi-Weekly</v>
      </c>
      <c r="AH1354" t="str">
        <f>IF(TblFeedFile1[[#This Row],[Return to Work Date ]]="","","Y")</f>
        <v/>
      </c>
    </row>
    <row r="1355" spans="1:34" x14ac:dyDescent="0.25">
      <c r="A1355" t="s">
        <v>29</v>
      </c>
      <c r="B1355">
        <v>314304</v>
      </c>
      <c r="C1355">
        <v>28811061</v>
      </c>
      <c r="D1355" s="1">
        <v>571701208987</v>
      </c>
      <c r="E1355" t="s">
        <v>44</v>
      </c>
      <c r="F1355" t="s">
        <v>1656</v>
      </c>
      <c r="G1355">
        <v>20170113</v>
      </c>
      <c r="I1355" t="s">
        <v>53</v>
      </c>
      <c r="L1355" t="s">
        <v>34</v>
      </c>
      <c r="M1355" t="s">
        <v>34</v>
      </c>
      <c r="N1355" t="s">
        <v>35</v>
      </c>
      <c r="O1355" t="s">
        <v>35</v>
      </c>
      <c r="P1355" t="s">
        <v>35</v>
      </c>
      <c r="Q1355" t="s">
        <v>35</v>
      </c>
      <c r="R1355" t="s">
        <v>35</v>
      </c>
      <c r="S1355" t="s">
        <v>34</v>
      </c>
      <c r="AD1355">
        <v>20170124</v>
      </c>
      <c r="AF1355" t="str">
        <f>IFERROR(VLOOKUP(RIGHT(TblFeedFile1[[#This Row],[Leave Type ]],6),LkupPayType[],2,FALSE),"TBD")</f>
        <v>TBD</v>
      </c>
      <c r="AG1355" t="str">
        <f>IFERROR(VLOOKUP(TblFeedFile1[[#This Row],[ Report Number ]],LkupPayrollCycle[],2,FALSE),"TBD")</f>
        <v>Bi-Weekly</v>
      </c>
      <c r="AH1355" t="str">
        <f>IF(TblFeedFile1[[#This Row],[Return to Work Date ]]="","","Y")</f>
        <v/>
      </c>
    </row>
    <row r="1356" spans="1:34" x14ac:dyDescent="0.25">
      <c r="A1356" t="s">
        <v>37</v>
      </c>
      <c r="B1356">
        <v>314304</v>
      </c>
      <c r="C1356">
        <v>28811061</v>
      </c>
      <c r="D1356" s="1">
        <v>571701208987</v>
      </c>
      <c r="E1356" t="s">
        <v>44</v>
      </c>
      <c r="F1356" t="s">
        <v>1656</v>
      </c>
      <c r="G1356">
        <v>20170113</v>
      </c>
      <c r="H1356">
        <v>20170212</v>
      </c>
      <c r="I1356" t="s">
        <v>53</v>
      </c>
      <c r="L1356" t="s">
        <v>34</v>
      </c>
      <c r="M1356" t="s">
        <v>34</v>
      </c>
      <c r="N1356" t="s">
        <v>35</v>
      </c>
      <c r="O1356" t="s">
        <v>35</v>
      </c>
      <c r="P1356" t="s">
        <v>35</v>
      </c>
      <c r="Q1356" t="s">
        <v>35</v>
      </c>
      <c r="R1356" t="s">
        <v>35</v>
      </c>
      <c r="S1356" t="s">
        <v>34</v>
      </c>
      <c r="AD1356">
        <v>20170124</v>
      </c>
      <c r="AF1356" t="str">
        <f>IFERROR(VLOOKUP(RIGHT(TblFeedFile1[[#This Row],[Leave Type ]],6),LkupPayType[],2,FALSE),"TBD")</f>
        <v>TBD</v>
      </c>
      <c r="AG1356" t="str">
        <f>IFERROR(VLOOKUP(TblFeedFile1[[#This Row],[ Report Number ]],LkupPayrollCycle[],2,FALSE),"TBD")</f>
        <v>Bi-Weekly</v>
      </c>
      <c r="AH1356" t="str">
        <f>IF(TblFeedFile1[[#This Row],[Return to Work Date ]]="","","Y")</f>
        <v/>
      </c>
    </row>
    <row r="1357" spans="1:34" x14ac:dyDescent="0.25">
      <c r="A1357" t="s">
        <v>37</v>
      </c>
      <c r="B1357">
        <v>314304</v>
      </c>
      <c r="C1357">
        <v>28811061</v>
      </c>
      <c r="D1357" s="1">
        <v>571701208987</v>
      </c>
      <c r="E1357" t="s">
        <v>44</v>
      </c>
      <c r="F1357" t="s">
        <v>1656</v>
      </c>
      <c r="G1357">
        <v>20170120</v>
      </c>
      <c r="H1357">
        <v>20170212</v>
      </c>
      <c r="I1357" t="s">
        <v>40</v>
      </c>
      <c r="L1357" t="s">
        <v>34</v>
      </c>
      <c r="M1357" t="s">
        <v>34</v>
      </c>
      <c r="N1357" t="s">
        <v>35</v>
      </c>
      <c r="O1357" t="s">
        <v>35</v>
      </c>
      <c r="P1357" t="s">
        <v>35</v>
      </c>
      <c r="Q1357" t="s">
        <v>35</v>
      </c>
      <c r="R1357" t="s">
        <v>35</v>
      </c>
      <c r="S1357" t="s">
        <v>34</v>
      </c>
      <c r="AD1357">
        <v>20170124</v>
      </c>
      <c r="AF1357" t="str">
        <f>IFERROR(VLOOKUP(RIGHT(TblFeedFile1[[#This Row],[Leave Type ]],6),LkupPayType[],2,FALSE),"TBD")</f>
        <v>TBD</v>
      </c>
      <c r="AG1357" t="str">
        <f>IFERROR(VLOOKUP(TblFeedFile1[[#This Row],[ Report Number ]],LkupPayrollCycle[],2,FALSE),"TBD")</f>
        <v>Bi-Weekly</v>
      </c>
      <c r="AH1357" t="str">
        <f>IF(TblFeedFile1[[#This Row],[Return to Work Date ]]="","","Y")</f>
        <v/>
      </c>
    </row>
    <row r="1358" spans="1:34" x14ac:dyDescent="0.25">
      <c r="A1358" t="s">
        <v>37</v>
      </c>
      <c r="B1358">
        <v>314301</v>
      </c>
      <c r="C1358">
        <v>28814992</v>
      </c>
      <c r="D1358" s="1" t="s">
        <v>1657</v>
      </c>
      <c r="E1358" t="s">
        <v>227</v>
      </c>
      <c r="F1358" t="s">
        <v>1658</v>
      </c>
      <c r="G1358">
        <v>20170127</v>
      </c>
      <c r="H1358">
        <v>20170202</v>
      </c>
      <c r="I1358" t="s">
        <v>78</v>
      </c>
      <c r="K1358" t="s">
        <v>79</v>
      </c>
      <c r="L1358" t="s">
        <v>34</v>
      </c>
      <c r="M1358" t="s">
        <v>34</v>
      </c>
      <c r="N1358" t="s">
        <v>35</v>
      </c>
      <c r="O1358" t="s">
        <v>35</v>
      </c>
      <c r="P1358" t="s">
        <v>35</v>
      </c>
      <c r="Q1358" t="s">
        <v>35</v>
      </c>
      <c r="R1358" t="s">
        <v>35</v>
      </c>
      <c r="S1358" t="s">
        <v>34</v>
      </c>
      <c r="AD1358">
        <v>20170124</v>
      </c>
      <c r="AF1358" t="str">
        <f>IFERROR(VLOOKUP(RIGHT(TblFeedFile1[[#This Row],[Leave Type ]],6),LkupPayType[],2,FALSE),"TBD")</f>
        <v>TBD</v>
      </c>
      <c r="AG1358" t="str">
        <f>IFERROR(VLOOKUP(TblFeedFile1[[#This Row],[ Report Number ]],LkupPayrollCycle[],2,FALSE),"TBD")</f>
        <v>Semi-Monthly</v>
      </c>
      <c r="AH1358" t="str">
        <f>IF(TblFeedFile1[[#This Row],[Return to Work Date ]]="","","Y")</f>
        <v/>
      </c>
    </row>
    <row r="1359" spans="1:34" x14ac:dyDescent="0.25">
      <c r="A1359" t="s">
        <v>37</v>
      </c>
      <c r="B1359">
        <v>314304</v>
      </c>
      <c r="C1359">
        <v>28858240</v>
      </c>
      <c r="D1359" s="1">
        <v>551612298345</v>
      </c>
      <c r="E1359" t="s">
        <v>1659</v>
      </c>
      <c r="F1359" t="s">
        <v>1660</v>
      </c>
      <c r="G1359">
        <v>20170123</v>
      </c>
      <c r="H1359">
        <v>20170306</v>
      </c>
      <c r="I1359" t="s">
        <v>53</v>
      </c>
      <c r="L1359" t="s">
        <v>34</v>
      </c>
      <c r="M1359" t="s">
        <v>34</v>
      </c>
      <c r="N1359" t="s">
        <v>35</v>
      </c>
      <c r="O1359" t="s">
        <v>35</v>
      </c>
      <c r="P1359" t="s">
        <v>35</v>
      </c>
      <c r="Q1359" t="s">
        <v>35</v>
      </c>
      <c r="R1359" t="s">
        <v>35</v>
      </c>
      <c r="S1359" t="s">
        <v>34</v>
      </c>
      <c r="AD1359">
        <v>20170124</v>
      </c>
      <c r="AF1359" t="str">
        <f>IFERROR(VLOOKUP(RIGHT(TblFeedFile1[[#This Row],[Leave Type ]],6),LkupPayType[],2,FALSE),"TBD")</f>
        <v>TBD</v>
      </c>
      <c r="AG1359" t="str">
        <f>IFERROR(VLOOKUP(TblFeedFile1[[#This Row],[ Report Number ]],LkupPayrollCycle[],2,FALSE),"TBD")</f>
        <v>Bi-Weekly</v>
      </c>
      <c r="AH1359" t="str">
        <f>IF(TblFeedFile1[[#This Row],[Return to Work Date ]]="","","Y")</f>
        <v/>
      </c>
    </row>
    <row r="1360" spans="1:34" x14ac:dyDescent="0.25">
      <c r="A1360" t="s">
        <v>37</v>
      </c>
      <c r="B1360">
        <v>314304</v>
      </c>
      <c r="C1360">
        <v>28879666</v>
      </c>
      <c r="D1360" s="1" t="s">
        <v>1661</v>
      </c>
      <c r="E1360" t="s">
        <v>544</v>
      </c>
      <c r="F1360" t="s">
        <v>1662</v>
      </c>
      <c r="G1360">
        <v>20170123</v>
      </c>
      <c r="H1360">
        <v>20170203</v>
      </c>
      <c r="I1360" t="s">
        <v>223</v>
      </c>
      <c r="L1360" t="s">
        <v>34</v>
      </c>
      <c r="M1360" t="s">
        <v>34</v>
      </c>
      <c r="N1360" t="s">
        <v>35</v>
      </c>
      <c r="O1360" t="s">
        <v>35</v>
      </c>
      <c r="P1360" t="s">
        <v>35</v>
      </c>
      <c r="Q1360" t="s">
        <v>35</v>
      </c>
      <c r="R1360" t="s">
        <v>35</v>
      </c>
      <c r="S1360" t="s">
        <v>34</v>
      </c>
      <c r="AD1360">
        <v>20170124</v>
      </c>
      <c r="AF1360" t="str">
        <f>IFERROR(VLOOKUP(RIGHT(TblFeedFile1[[#This Row],[Leave Type ]],6),LkupPayType[],2,FALSE),"TBD")</f>
        <v>TBD</v>
      </c>
      <c r="AG1360" t="str">
        <f>IFERROR(VLOOKUP(TblFeedFile1[[#This Row],[ Report Number ]],LkupPayrollCycle[],2,FALSE),"TBD")</f>
        <v>Bi-Weekly</v>
      </c>
      <c r="AH1360" t="str">
        <f>IF(TblFeedFile1[[#This Row],[Return to Work Date ]]="","","Y")</f>
        <v/>
      </c>
    </row>
    <row r="1361" spans="1:34" x14ac:dyDescent="0.25">
      <c r="A1361" t="s">
        <v>29</v>
      </c>
      <c r="B1361">
        <v>314304</v>
      </c>
      <c r="C1361">
        <v>28890090</v>
      </c>
      <c r="D1361" s="1">
        <v>511701068591</v>
      </c>
      <c r="E1361" t="s">
        <v>1663</v>
      </c>
      <c r="F1361" t="s">
        <v>1664</v>
      </c>
      <c r="G1361">
        <v>20170110</v>
      </c>
      <c r="H1361">
        <v>20170119</v>
      </c>
      <c r="I1361" t="s">
        <v>40</v>
      </c>
      <c r="L1361" t="s">
        <v>34</v>
      </c>
      <c r="M1361" t="s">
        <v>34</v>
      </c>
      <c r="N1361" t="s">
        <v>35</v>
      </c>
      <c r="O1361" t="s">
        <v>35</v>
      </c>
      <c r="P1361" t="s">
        <v>35</v>
      </c>
      <c r="Q1361" t="s">
        <v>35</v>
      </c>
      <c r="R1361" t="s">
        <v>35</v>
      </c>
      <c r="S1361" t="s">
        <v>34</v>
      </c>
      <c r="AD1361">
        <v>20170124</v>
      </c>
      <c r="AF1361" t="str">
        <f>IFERROR(VLOOKUP(RIGHT(TblFeedFile1[[#This Row],[Leave Type ]],6),LkupPayType[],2,FALSE),"TBD")</f>
        <v>TBD</v>
      </c>
      <c r="AG1361" t="str">
        <f>IFERROR(VLOOKUP(TblFeedFile1[[#This Row],[ Report Number ]],LkupPayrollCycle[],2,FALSE),"TBD")</f>
        <v>Bi-Weekly</v>
      </c>
      <c r="AH1361" t="str">
        <f>IF(TblFeedFile1[[#This Row],[Return to Work Date ]]="","","Y")</f>
        <v/>
      </c>
    </row>
    <row r="1362" spans="1:34" x14ac:dyDescent="0.25">
      <c r="A1362" t="s">
        <v>37</v>
      </c>
      <c r="B1362">
        <v>314304</v>
      </c>
      <c r="C1362">
        <v>28890090</v>
      </c>
      <c r="D1362" s="1">
        <v>511701068591</v>
      </c>
      <c r="E1362" t="s">
        <v>1663</v>
      </c>
      <c r="F1362" t="s">
        <v>1664</v>
      </c>
      <c r="G1362">
        <v>20170110</v>
      </c>
      <c r="H1362">
        <v>20170113</v>
      </c>
      <c r="I1362" t="s">
        <v>40</v>
      </c>
      <c r="L1362" t="s">
        <v>34</v>
      </c>
      <c r="M1362" t="s">
        <v>34</v>
      </c>
      <c r="N1362" t="s">
        <v>35</v>
      </c>
      <c r="O1362" t="s">
        <v>35</v>
      </c>
      <c r="P1362" t="s">
        <v>35</v>
      </c>
      <c r="Q1362" t="s">
        <v>35</v>
      </c>
      <c r="R1362" t="s">
        <v>35</v>
      </c>
      <c r="S1362" t="s">
        <v>34</v>
      </c>
      <c r="T1362">
        <v>20170117</v>
      </c>
      <c r="AD1362">
        <v>20170124</v>
      </c>
      <c r="AF1362" t="str">
        <f>IFERROR(VLOOKUP(RIGHT(TblFeedFile1[[#This Row],[Leave Type ]],6),LkupPayType[],2,FALSE),"TBD")</f>
        <v>TBD</v>
      </c>
      <c r="AG1362" t="str">
        <f>IFERROR(VLOOKUP(TblFeedFile1[[#This Row],[ Report Number ]],LkupPayrollCycle[],2,FALSE),"TBD")</f>
        <v>Bi-Weekly</v>
      </c>
      <c r="AH1362" t="str">
        <f>IF(TblFeedFile1[[#This Row],[Return to Work Date ]]="","","Y")</f>
        <v>Y</v>
      </c>
    </row>
    <row r="1363" spans="1:34" x14ac:dyDescent="0.25">
      <c r="A1363" t="s">
        <v>37</v>
      </c>
      <c r="B1363">
        <v>314304</v>
      </c>
      <c r="C1363">
        <v>28891284</v>
      </c>
      <c r="D1363" s="1">
        <v>321701208553</v>
      </c>
      <c r="E1363" t="s">
        <v>1665</v>
      </c>
      <c r="F1363" t="s">
        <v>1666</v>
      </c>
      <c r="G1363">
        <v>20170102</v>
      </c>
      <c r="H1363">
        <v>20170102</v>
      </c>
      <c r="I1363" t="s">
        <v>53</v>
      </c>
      <c r="AD1363">
        <v>20170124</v>
      </c>
      <c r="AF1363" t="str">
        <f>IFERROR(VLOOKUP(RIGHT(TblFeedFile1[[#This Row],[Leave Type ]],6),LkupPayType[],2,FALSE),"TBD")</f>
        <v>TBD</v>
      </c>
      <c r="AG1363" t="str">
        <f>IFERROR(VLOOKUP(TblFeedFile1[[#This Row],[ Report Number ]],LkupPayrollCycle[],2,FALSE),"TBD")</f>
        <v>Bi-Weekly</v>
      </c>
      <c r="AH1363" t="str">
        <f>IF(TblFeedFile1[[#This Row],[Return to Work Date ]]="","","Y")</f>
        <v/>
      </c>
    </row>
    <row r="1364" spans="1:34" x14ac:dyDescent="0.25">
      <c r="A1364" t="s">
        <v>37</v>
      </c>
      <c r="B1364">
        <v>314301</v>
      </c>
      <c r="C1364">
        <v>28897089</v>
      </c>
      <c r="D1364" s="1" t="s">
        <v>1667</v>
      </c>
      <c r="E1364" t="s">
        <v>1668</v>
      </c>
      <c r="F1364" t="s">
        <v>1669</v>
      </c>
      <c r="G1364">
        <v>20161216</v>
      </c>
      <c r="H1364">
        <v>20161216</v>
      </c>
      <c r="I1364" t="s">
        <v>33</v>
      </c>
      <c r="L1364" t="s">
        <v>34</v>
      </c>
      <c r="M1364" t="s">
        <v>34</v>
      </c>
      <c r="N1364" t="s">
        <v>35</v>
      </c>
      <c r="O1364" t="s">
        <v>35</v>
      </c>
      <c r="P1364" t="s">
        <v>35</v>
      </c>
      <c r="Q1364" t="s">
        <v>35</v>
      </c>
      <c r="R1364" t="s">
        <v>35</v>
      </c>
      <c r="S1364" t="s">
        <v>34</v>
      </c>
      <c r="AC1364" t="s">
        <v>35</v>
      </c>
      <c r="AD1364">
        <v>20170124</v>
      </c>
      <c r="AF1364" t="str">
        <f>IFERROR(VLOOKUP(RIGHT(TblFeedFile1[[#This Row],[Leave Type ]],6),LkupPayType[],2,FALSE),"TBD")</f>
        <v>TBD</v>
      </c>
      <c r="AG1364" t="str">
        <f>IFERROR(VLOOKUP(TblFeedFile1[[#This Row],[ Report Number ]],LkupPayrollCycle[],2,FALSE),"TBD")</f>
        <v>Semi-Monthly</v>
      </c>
      <c r="AH1364" t="str">
        <f>IF(TblFeedFile1[[#This Row],[Return to Work Date ]]="","","Y")</f>
        <v/>
      </c>
    </row>
    <row r="1365" spans="1:34" x14ac:dyDescent="0.25">
      <c r="A1365" t="s">
        <v>37</v>
      </c>
      <c r="B1365">
        <v>314305</v>
      </c>
      <c r="C1365">
        <v>28910916</v>
      </c>
      <c r="D1365" s="1" t="s">
        <v>1670</v>
      </c>
      <c r="E1365" t="s">
        <v>1671</v>
      </c>
      <c r="F1365" t="s">
        <v>1672</v>
      </c>
      <c r="G1365">
        <v>20170109</v>
      </c>
      <c r="H1365">
        <v>20170203</v>
      </c>
      <c r="I1365" t="s">
        <v>156</v>
      </c>
      <c r="L1365" t="s">
        <v>34</v>
      </c>
      <c r="M1365" t="s">
        <v>34</v>
      </c>
      <c r="N1365" t="s">
        <v>35</v>
      </c>
      <c r="O1365" t="s">
        <v>35</v>
      </c>
      <c r="P1365" t="s">
        <v>35</v>
      </c>
      <c r="Q1365" t="s">
        <v>35</v>
      </c>
      <c r="R1365" t="s">
        <v>35</v>
      </c>
      <c r="S1365" t="s">
        <v>34</v>
      </c>
      <c r="AD1365">
        <v>20170124</v>
      </c>
      <c r="AF1365" t="str">
        <f>IFERROR(VLOOKUP(RIGHT(TblFeedFile1[[#This Row],[Leave Type ]],6),LkupPayType[],2,FALSE),"TBD")</f>
        <v>TBD</v>
      </c>
      <c r="AG1365" t="str">
        <f>IFERROR(VLOOKUP(TblFeedFile1[[#This Row],[ Report Number ]],LkupPayrollCycle[],2,FALSE),"TBD")</f>
        <v>Bi-Weekly</v>
      </c>
      <c r="AH1365" t="str">
        <f>IF(TblFeedFile1[[#This Row],[Return to Work Date ]]="","","Y")</f>
        <v/>
      </c>
    </row>
    <row r="1366" spans="1:34" x14ac:dyDescent="0.25">
      <c r="A1366" t="s">
        <v>37</v>
      </c>
      <c r="B1366">
        <v>314301</v>
      </c>
      <c r="C1366">
        <v>28929068</v>
      </c>
      <c r="D1366" s="1" t="s">
        <v>1673</v>
      </c>
      <c r="E1366" t="s">
        <v>1674</v>
      </c>
      <c r="F1366" t="s">
        <v>1675</v>
      </c>
      <c r="G1366">
        <v>20170121</v>
      </c>
      <c r="H1366">
        <v>20170512</v>
      </c>
      <c r="I1366" t="s">
        <v>78</v>
      </c>
      <c r="K1366" t="s">
        <v>79</v>
      </c>
      <c r="L1366" t="s">
        <v>34</v>
      </c>
      <c r="M1366" t="s">
        <v>34</v>
      </c>
      <c r="N1366" t="s">
        <v>35</v>
      </c>
      <c r="O1366" t="s">
        <v>35</v>
      </c>
      <c r="P1366" t="s">
        <v>35</v>
      </c>
      <c r="Q1366" t="s">
        <v>35</v>
      </c>
      <c r="R1366" t="s">
        <v>35</v>
      </c>
      <c r="S1366" t="s">
        <v>34</v>
      </c>
      <c r="AD1366">
        <v>20170124</v>
      </c>
      <c r="AF1366" t="str">
        <f>IFERROR(VLOOKUP(RIGHT(TblFeedFile1[[#This Row],[Leave Type ]],6),LkupPayType[],2,FALSE),"TBD")</f>
        <v>TBD</v>
      </c>
      <c r="AG1366" t="str">
        <f>IFERROR(VLOOKUP(TblFeedFile1[[#This Row],[ Report Number ]],LkupPayrollCycle[],2,FALSE),"TBD")</f>
        <v>Semi-Monthly</v>
      </c>
      <c r="AH1366" t="str">
        <f>IF(TblFeedFile1[[#This Row],[Return to Work Date ]]="","","Y")</f>
        <v/>
      </c>
    </row>
    <row r="1367" spans="1:34" x14ac:dyDescent="0.25">
      <c r="A1367" t="s">
        <v>37</v>
      </c>
      <c r="B1367">
        <v>314301</v>
      </c>
      <c r="C1367">
        <v>28929068</v>
      </c>
      <c r="D1367" s="1">
        <v>501701238318</v>
      </c>
      <c r="E1367" t="s">
        <v>1674</v>
      </c>
      <c r="F1367" t="s">
        <v>1675</v>
      </c>
      <c r="G1367">
        <v>20170130</v>
      </c>
      <c r="H1367">
        <v>20170512</v>
      </c>
      <c r="I1367" t="s">
        <v>459</v>
      </c>
      <c r="L1367" t="s">
        <v>34</v>
      </c>
      <c r="M1367" t="s">
        <v>34</v>
      </c>
      <c r="N1367" t="s">
        <v>35</v>
      </c>
      <c r="O1367" t="s">
        <v>35</v>
      </c>
      <c r="P1367" t="s">
        <v>35</v>
      </c>
      <c r="Q1367" t="s">
        <v>35</v>
      </c>
      <c r="R1367" t="s">
        <v>35</v>
      </c>
      <c r="S1367" t="s">
        <v>34</v>
      </c>
      <c r="AD1367">
        <v>20170124</v>
      </c>
      <c r="AF1367" t="str">
        <f>IFERROR(VLOOKUP(RIGHT(TblFeedFile1[[#This Row],[Leave Type ]],6),LkupPayType[],2,FALSE),"TBD")</f>
        <v>TBD</v>
      </c>
      <c r="AG1367" t="str">
        <f>IFERROR(VLOOKUP(TblFeedFile1[[#This Row],[ Report Number ]],LkupPayrollCycle[],2,FALSE),"TBD")</f>
        <v>Semi-Monthly</v>
      </c>
      <c r="AH1367" t="str">
        <f>IF(TblFeedFile1[[#This Row],[Return to Work Date ]]="","","Y")</f>
        <v/>
      </c>
    </row>
    <row r="1368" spans="1:34" x14ac:dyDescent="0.25">
      <c r="A1368" t="s">
        <v>37</v>
      </c>
      <c r="B1368">
        <v>314304</v>
      </c>
      <c r="C1368">
        <v>28931689</v>
      </c>
      <c r="D1368" s="1">
        <v>501701178120</v>
      </c>
      <c r="E1368" t="s">
        <v>1676</v>
      </c>
      <c r="F1368" t="s">
        <v>1677</v>
      </c>
      <c r="G1368">
        <v>20170121</v>
      </c>
      <c r="H1368">
        <v>20170204</v>
      </c>
      <c r="I1368" t="s">
        <v>40</v>
      </c>
      <c r="L1368" t="s">
        <v>34</v>
      </c>
      <c r="M1368" t="s">
        <v>34</v>
      </c>
      <c r="N1368" t="s">
        <v>35</v>
      </c>
      <c r="O1368" t="s">
        <v>35</v>
      </c>
      <c r="P1368" t="s">
        <v>35</v>
      </c>
      <c r="Q1368" t="s">
        <v>35</v>
      </c>
      <c r="R1368" t="s">
        <v>35</v>
      </c>
      <c r="S1368" t="s">
        <v>34</v>
      </c>
      <c r="AD1368">
        <v>20170124</v>
      </c>
      <c r="AF1368" t="str">
        <f>IFERROR(VLOOKUP(RIGHT(TblFeedFile1[[#This Row],[Leave Type ]],6),LkupPayType[],2,FALSE),"TBD")</f>
        <v>TBD</v>
      </c>
      <c r="AG1368" t="str">
        <f>IFERROR(VLOOKUP(TblFeedFile1[[#This Row],[ Report Number ]],LkupPayrollCycle[],2,FALSE),"TBD")</f>
        <v>Bi-Weekly</v>
      </c>
      <c r="AH1368" t="str">
        <f>IF(TblFeedFile1[[#This Row],[Return to Work Date ]]="","","Y")</f>
        <v/>
      </c>
    </row>
    <row r="1369" spans="1:34" x14ac:dyDescent="0.25">
      <c r="A1369" t="s">
        <v>29</v>
      </c>
      <c r="B1369">
        <v>314301</v>
      </c>
      <c r="C1369">
        <v>28940554</v>
      </c>
      <c r="D1369" s="1" t="s">
        <v>1678</v>
      </c>
      <c r="E1369" t="s">
        <v>470</v>
      </c>
      <c r="F1369" t="s">
        <v>1679</v>
      </c>
      <c r="G1369">
        <v>20170123</v>
      </c>
      <c r="H1369">
        <v>20170205</v>
      </c>
      <c r="I1369" t="s">
        <v>78</v>
      </c>
      <c r="K1369" t="s">
        <v>219</v>
      </c>
      <c r="L1369" t="s">
        <v>34</v>
      </c>
      <c r="M1369" t="s">
        <v>34</v>
      </c>
      <c r="N1369" t="s">
        <v>35</v>
      </c>
      <c r="O1369" t="s">
        <v>35</v>
      </c>
      <c r="P1369" t="s">
        <v>35</v>
      </c>
      <c r="Q1369" t="s">
        <v>35</v>
      </c>
      <c r="R1369" t="s">
        <v>35</v>
      </c>
      <c r="S1369" t="s">
        <v>34</v>
      </c>
      <c r="AD1369">
        <v>20170124</v>
      </c>
      <c r="AF1369" t="str">
        <f>IFERROR(VLOOKUP(RIGHT(TblFeedFile1[[#This Row],[Leave Type ]],6),LkupPayType[],2,FALSE),"TBD")</f>
        <v>TBD</v>
      </c>
      <c r="AG1369" t="str">
        <f>IFERROR(VLOOKUP(TblFeedFile1[[#This Row],[ Report Number ]],LkupPayrollCycle[],2,FALSE),"TBD")</f>
        <v>Semi-Monthly</v>
      </c>
      <c r="AH1369" t="str">
        <f>IF(TblFeedFile1[[#This Row],[Return to Work Date ]]="","","Y")</f>
        <v/>
      </c>
    </row>
    <row r="1370" spans="1:34" x14ac:dyDescent="0.25">
      <c r="A1370" t="s">
        <v>37</v>
      </c>
      <c r="B1370">
        <v>314301</v>
      </c>
      <c r="C1370">
        <v>28940554</v>
      </c>
      <c r="D1370" s="1" t="s">
        <v>1678</v>
      </c>
      <c r="E1370" t="s">
        <v>470</v>
      </c>
      <c r="F1370" t="s">
        <v>1679</v>
      </c>
      <c r="G1370">
        <v>20170127</v>
      </c>
      <c r="H1370">
        <v>20170210</v>
      </c>
      <c r="I1370" t="s">
        <v>78</v>
      </c>
      <c r="K1370" t="s">
        <v>219</v>
      </c>
      <c r="L1370" t="s">
        <v>34</v>
      </c>
      <c r="M1370" t="s">
        <v>34</v>
      </c>
      <c r="N1370" t="s">
        <v>35</v>
      </c>
      <c r="O1370" t="s">
        <v>35</v>
      </c>
      <c r="P1370" t="s">
        <v>35</v>
      </c>
      <c r="Q1370" t="s">
        <v>35</v>
      </c>
      <c r="R1370" t="s">
        <v>35</v>
      </c>
      <c r="S1370" t="s">
        <v>34</v>
      </c>
      <c r="AD1370">
        <v>20170124</v>
      </c>
      <c r="AF1370" t="str">
        <f>IFERROR(VLOOKUP(RIGHT(TblFeedFile1[[#This Row],[Leave Type ]],6),LkupPayType[],2,FALSE),"TBD")</f>
        <v>TBD</v>
      </c>
      <c r="AG1370" t="str">
        <f>IFERROR(VLOOKUP(TblFeedFile1[[#This Row],[ Report Number ]],LkupPayrollCycle[],2,FALSE),"TBD")</f>
        <v>Semi-Monthly</v>
      </c>
      <c r="AH1370" t="str">
        <f>IF(TblFeedFile1[[#This Row],[Return to Work Date ]]="","","Y")</f>
        <v/>
      </c>
    </row>
    <row r="1371" spans="1:34" x14ac:dyDescent="0.25">
      <c r="A1371" t="s">
        <v>29</v>
      </c>
      <c r="B1371">
        <v>314304</v>
      </c>
      <c r="C1371">
        <v>28965402</v>
      </c>
      <c r="D1371" s="1" t="s">
        <v>1680</v>
      </c>
      <c r="E1371" t="s">
        <v>1681</v>
      </c>
      <c r="F1371" t="s">
        <v>672</v>
      </c>
      <c r="G1371">
        <v>20161119</v>
      </c>
      <c r="H1371">
        <v>20161119</v>
      </c>
      <c r="I1371" t="s">
        <v>43</v>
      </c>
      <c r="L1371" t="s">
        <v>34</v>
      </c>
      <c r="M1371" t="s">
        <v>34</v>
      </c>
      <c r="N1371" t="s">
        <v>35</v>
      </c>
      <c r="O1371" t="s">
        <v>35</v>
      </c>
      <c r="P1371" t="s">
        <v>35</v>
      </c>
      <c r="Q1371" t="s">
        <v>35</v>
      </c>
      <c r="R1371" t="s">
        <v>35</v>
      </c>
      <c r="S1371" t="s">
        <v>34</v>
      </c>
      <c r="AC1371" t="s">
        <v>35</v>
      </c>
      <c r="AD1371">
        <v>20170124</v>
      </c>
      <c r="AF1371" t="str">
        <f>IFERROR(VLOOKUP(RIGHT(TblFeedFile1[[#This Row],[Leave Type ]],6),LkupPayType[],2,FALSE),"TBD")</f>
        <v>TBD</v>
      </c>
      <c r="AG1371" t="str">
        <f>IFERROR(VLOOKUP(TblFeedFile1[[#This Row],[ Report Number ]],LkupPayrollCycle[],2,FALSE),"TBD")</f>
        <v>Bi-Weekly</v>
      </c>
      <c r="AH1371" t="str">
        <f>IF(TblFeedFile1[[#This Row],[Return to Work Date ]]="","","Y")</f>
        <v/>
      </c>
    </row>
    <row r="1372" spans="1:34" x14ac:dyDescent="0.25">
      <c r="A1372" t="s">
        <v>29</v>
      </c>
      <c r="B1372">
        <v>314301</v>
      </c>
      <c r="C1372">
        <v>28967503</v>
      </c>
      <c r="D1372" s="1" t="s">
        <v>1682</v>
      </c>
      <c r="E1372" t="s">
        <v>1225</v>
      </c>
      <c r="F1372" t="s">
        <v>1683</v>
      </c>
      <c r="G1372">
        <v>20161215</v>
      </c>
      <c r="H1372">
        <v>20161219</v>
      </c>
      <c r="I1372" t="s">
        <v>185</v>
      </c>
      <c r="L1372" t="s">
        <v>34</v>
      </c>
      <c r="M1372" t="s">
        <v>34</v>
      </c>
      <c r="N1372" t="s">
        <v>35</v>
      </c>
      <c r="O1372" t="s">
        <v>35</v>
      </c>
      <c r="P1372" t="s">
        <v>35</v>
      </c>
      <c r="Q1372" t="s">
        <v>35</v>
      </c>
      <c r="R1372" t="s">
        <v>35</v>
      </c>
      <c r="S1372" t="s">
        <v>34</v>
      </c>
      <c r="AC1372" t="s">
        <v>35</v>
      </c>
      <c r="AD1372">
        <v>20170124</v>
      </c>
      <c r="AF1372" t="str">
        <f>IFERROR(VLOOKUP(RIGHT(TblFeedFile1[[#This Row],[Leave Type ]],6),LkupPayType[],2,FALSE),"TBD")</f>
        <v>TBD</v>
      </c>
      <c r="AG1372" t="str">
        <f>IFERROR(VLOOKUP(TblFeedFile1[[#This Row],[ Report Number ]],LkupPayrollCycle[],2,FALSE),"TBD")</f>
        <v>Semi-Monthly</v>
      </c>
      <c r="AH1372" t="str">
        <f>IF(TblFeedFile1[[#This Row],[Return to Work Date ]]="","","Y")</f>
        <v/>
      </c>
    </row>
    <row r="1373" spans="1:34" x14ac:dyDescent="0.25">
      <c r="A1373" t="s">
        <v>29</v>
      </c>
      <c r="B1373">
        <v>314301</v>
      </c>
      <c r="C1373">
        <v>28967503</v>
      </c>
      <c r="D1373" s="1" t="s">
        <v>1682</v>
      </c>
      <c r="E1373" t="s">
        <v>1225</v>
      </c>
      <c r="F1373" t="s">
        <v>1683</v>
      </c>
      <c r="G1373">
        <v>20160825</v>
      </c>
      <c r="H1373">
        <v>20161219</v>
      </c>
      <c r="I1373" t="s">
        <v>223</v>
      </c>
      <c r="L1373" t="s">
        <v>34</v>
      </c>
      <c r="M1373" t="s">
        <v>34</v>
      </c>
      <c r="N1373" t="s">
        <v>35</v>
      </c>
      <c r="O1373" t="s">
        <v>35</v>
      </c>
      <c r="P1373" t="s">
        <v>35</v>
      </c>
      <c r="Q1373" t="s">
        <v>35</v>
      </c>
      <c r="R1373" t="s">
        <v>35</v>
      </c>
      <c r="S1373" t="s">
        <v>34</v>
      </c>
      <c r="AC1373" t="s">
        <v>35</v>
      </c>
      <c r="AD1373">
        <v>20170124</v>
      </c>
      <c r="AF1373" t="str">
        <f>IFERROR(VLOOKUP(RIGHT(TblFeedFile1[[#This Row],[Leave Type ]],6),LkupPayType[],2,FALSE),"TBD")</f>
        <v>TBD</v>
      </c>
      <c r="AG1373" t="str">
        <f>IFERROR(VLOOKUP(TblFeedFile1[[#This Row],[ Report Number ]],LkupPayrollCycle[],2,FALSE),"TBD")</f>
        <v>Semi-Monthly</v>
      </c>
      <c r="AH1373" t="str">
        <f>IF(TblFeedFile1[[#This Row],[Return to Work Date ]]="","","Y")</f>
        <v/>
      </c>
    </row>
    <row r="1374" spans="1:34" x14ac:dyDescent="0.25">
      <c r="A1374" t="s">
        <v>37</v>
      </c>
      <c r="B1374">
        <v>314301</v>
      </c>
      <c r="C1374">
        <v>28967503</v>
      </c>
      <c r="D1374" s="1" t="s">
        <v>1682</v>
      </c>
      <c r="E1374" t="s">
        <v>1225</v>
      </c>
      <c r="F1374" t="s">
        <v>1683</v>
      </c>
      <c r="G1374">
        <v>20160825</v>
      </c>
      <c r="H1374">
        <v>20161219</v>
      </c>
      <c r="I1374" t="s">
        <v>78</v>
      </c>
      <c r="K1374" t="s">
        <v>219</v>
      </c>
      <c r="L1374" t="s">
        <v>34</v>
      </c>
      <c r="M1374" t="s">
        <v>34</v>
      </c>
      <c r="N1374" t="s">
        <v>35</v>
      </c>
      <c r="O1374" t="s">
        <v>35</v>
      </c>
      <c r="P1374" t="s">
        <v>35</v>
      </c>
      <c r="Q1374" t="s">
        <v>35</v>
      </c>
      <c r="R1374" t="s">
        <v>35</v>
      </c>
      <c r="S1374" t="s">
        <v>34</v>
      </c>
      <c r="AC1374" t="s">
        <v>35</v>
      </c>
      <c r="AD1374">
        <v>20170124</v>
      </c>
      <c r="AF1374" t="str">
        <f>IFERROR(VLOOKUP(RIGHT(TblFeedFile1[[#This Row],[Leave Type ]],6),LkupPayType[],2,FALSE),"TBD")</f>
        <v>TBD</v>
      </c>
      <c r="AG1374" t="str">
        <f>IFERROR(VLOOKUP(TblFeedFile1[[#This Row],[ Report Number ]],LkupPayrollCycle[],2,FALSE),"TBD")</f>
        <v>Semi-Monthly</v>
      </c>
      <c r="AH1374" t="str">
        <f>IF(TblFeedFile1[[#This Row],[Return to Work Date ]]="","","Y")</f>
        <v/>
      </c>
    </row>
    <row r="1375" spans="1:34" x14ac:dyDescent="0.25">
      <c r="A1375" t="s">
        <v>29</v>
      </c>
      <c r="B1375">
        <v>314304</v>
      </c>
      <c r="C1375">
        <v>28976837</v>
      </c>
      <c r="D1375" s="1" t="s">
        <v>1684</v>
      </c>
      <c r="E1375" t="s">
        <v>1685</v>
      </c>
      <c r="F1375" t="s">
        <v>1686</v>
      </c>
      <c r="G1375">
        <v>20170106</v>
      </c>
      <c r="H1375">
        <v>20170404</v>
      </c>
      <c r="I1375" t="s">
        <v>78</v>
      </c>
      <c r="K1375" t="s">
        <v>79</v>
      </c>
      <c r="L1375" t="s">
        <v>34</v>
      </c>
      <c r="M1375" t="s">
        <v>34</v>
      </c>
      <c r="N1375" t="s">
        <v>35</v>
      </c>
      <c r="O1375" t="s">
        <v>35</v>
      </c>
      <c r="P1375" t="s">
        <v>35</v>
      </c>
      <c r="Q1375" t="s">
        <v>35</v>
      </c>
      <c r="R1375" t="s">
        <v>35</v>
      </c>
      <c r="S1375" t="s">
        <v>34</v>
      </c>
      <c r="AD1375">
        <v>20170124</v>
      </c>
      <c r="AF1375" t="str">
        <f>IFERROR(VLOOKUP(RIGHT(TblFeedFile1[[#This Row],[Leave Type ]],6),LkupPayType[],2,FALSE),"TBD")</f>
        <v>TBD</v>
      </c>
      <c r="AG1375" t="str">
        <f>IFERROR(VLOOKUP(TblFeedFile1[[#This Row],[ Report Number ]],LkupPayrollCycle[],2,FALSE),"TBD")</f>
        <v>Bi-Weekly</v>
      </c>
      <c r="AH1375" t="str">
        <f>IF(TblFeedFile1[[#This Row],[Return to Work Date ]]="","","Y")</f>
        <v/>
      </c>
    </row>
    <row r="1376" spans="1:34" x14ac:dyDescent="0.25">
      <c r="A1376" t="s">
        <v>37</v>
      </c>
      <c r="B1376">
        <v>314304</v>
      </c>
      <c r="C1376">
        <v>28976837</v>
      </c>
      <c r="D1376" s="1" t="s">
        <v>1684</v>
      </c>
      <c r="E1376" t="s">
        <v>1685</v>
      </c>
      <c r="F1376" t="s">
        <v>1686</v>
      </c>
      <c r="G1376">
        <v>20170121</v>
      </c>
      <c r="H1376">
        <v>20170404</v>
      </c>
      <c r="I1376" t="s">
        <v>78</v>
      </c>
      <c r="K1376" t="s">
        <v>79</v>
      </c>
      <c r="L1376" t="s">
        <v>34</v>
      </c>
      <c r="M1376" t="s">
        <v>34</v>
      </c>
      <c r="N1376" t="s">
        <v>35</v>
      </c>
      <c r="O1376" t="s">
        <v>35</v>
      </c>
      <c r="P1376" t="s">
        <v>35</v>
      </c>
      <c r="Q1376" t="s">
        <v>35</v>
      </c>
      <c r="R1376" t="s">
        <v>35</v>
      </c>
      <c r="S1376" t="s">
        <v>34</v>
      </c>
      <c r="AD1376">
        <v>20170124</v>
      </c>
      <c r="AF1376" t="str">
        <f>IFERROR(VLOOKUP(RIGHT(TblFeedFile1[[#This Row],[Leave Type ]],6),LkupPayType[],2,FALSE),"TBD")</f>
        <v>TBD</v>
      </c>
      <c r="AG1376" t="str">
        <f>IFERROR(VLOOKUP(TblFeedFile1[[#This Row],[ Report Number ]],LkupPayrollCycle[],2,FALSE),"TBD")</f>
        <v>Bi-Weekly</v>
      </c>
      <c r="AH1376" t="str">
        <f>IF(TblFeedFile1[[#This Row],[Return to Work Date ]]="","","Y")</f>
        <v/>
      </c>
    </row>
    <row r="1377" spans="1:34" x14ac:dyDescent="0.25">
      <c r="A1377" t="s">
        <v>29</v>
      </c>
      <c r="B1377">
        <v>314304</v>
      </c>
      <c r="C1377">
        <v>29000271</v>
      </c>
      <c r="D1377" s="1" t="s">
        <v>1687</v>
      </c>
      <c r="E1377" t="s">
        <v>1067</v>
      </c>
      <c r="F1377" t="s">
        <v>344</v>
      </c>
      <c r="G1377">
        <v>20170115</v>
      </c>
      <c r="H1377">
        <v>20170115</v>
      </c>
      <c r="I1377" t="s">
        <v>33</v>
      </c>
      <c r="L1377" t="s">
        <v>34</v>
      </c>
      <c r="M1377" t="s">
        <v>35</v>
      </c>
      <c r="N1377" t="s">
        <v>35</v>
      </c>
      <c r="O1377" t="s">
        <v>35</v>
      </c>
      <c r="P1377" t="s">
        <v>35</v>
      </c>
      <c r="Q1377" t="s">
        <v>35</v>
      </c>
      <c r="R1377" t="s">
        <v>35</v>
      </c>
      <c r="S1377" t="s">
        <v>34</v>
      </c>
      <c r="AD1377">
        <v>20170124</v>
      </c>
      <c r="AF1377" t="str">
        <f>IFERROR(VLOOKUP(RIGHT(TblFeedFile1[[#This Row],[Leave Type ]],6),LkupPayType[],2,FALSE),"TBD")</f>
        <v>TBD</v>
      </c>
      <c r="AG1377" t="str">
        <f>IFERROR(VLOOKUP(TblFeedFile1[[#This Row],[ Report Number ]],LkupPayrollCycle[],2,FALSE),"TBD")</f>
        <v>Bi-Weekly</v>
      </c>
      <c r="AH1377" t="str">
        <f>IF(TblFeedFile1[[#This Row],[Return to Work Date ]]="","","Y")</f>
        <v/>
      </c>
    </row>
    <row r="1378" spans="1:34" x14ac:dyDescent="0.25">
      <c r="A1378" t="s">
        <v>37</v>
      </c>
      <c r="B1378">
        <v>314304</v>
      </c>
      <c r="C1378">
        <v>29000271</v>
      </c>
      <c r="D1378" s="1" t="s">
        <v>1687</v>
      </c>
      <c r="E1378" t="s">
        <v>1067</v>
      </c>
      <c r="F1378" t="s">
        <v>344</v>
      </c>
      <c r="G1378">
        <v>20170115</v>
      </c>
      <c r="H1378">
        <v>20170115</v>
      </c>
      <c r="I1378" t="s">
        <v>33</v>
      </c>
      <c r="L1378" t="s">
        <v>34</v>
      </c>
      <c r="M1378" t="s">
        <v>34</v>
      </c>
      <c r="N1378" t="s">
        <v>35</v>
      </c>
      <c r="O1378" t="s">
        <v>35</v>
      </c>
      <c r="P1378" t="s">
        <v>35</v>
      </c>
      <c r="Q1378" t="s">
        <v>35</v>
      </c>
      <c r="R1378" t="s">
        <v>35</v>
      </c>
      <c r="S1378" t="s">
        <v>34</v>
      </c>
      <c r="AD1378">
        <v>20170124</v>
      </c>
      <c r="AF1378" t="str">
        <f>IFERROR(VLOOKUP(RIGHT(TblFeedFile1[[#This Row],[Leave Type ]],6),LkupPayType[],2,FALSE),"TBD")</f>
        <v>TBD</v>
      </c>
      <c r="AG1378" t="str">
        <f>IFERROR(VLOOKUP(TblFeedFile1[[#This Row],[ Report Number ]],LkupPayrollCycle[],2,FALSE),"TBD")</f>
        <v>Bi-Weekly</v>
      </c>
      <c r="AH1378" t="str">
        <f>IF(TblFeedFile1[[#This Row],[Return to Work Date ]]="","","Y")</f>
        <v/>
      </c>
    </row>
    <row r="1379" spans="1:34" x14ac:dyDescent="0.25">
      <c r="A1379" t="s">
        <v>29</v>
      </c>
      <c r="B1379">
        <v>314304</v>
      </c>
      <c r="C1379">
        <v>29032309</v>
      </c>
      <c r="D1379" s="1" t="s">
        <v>1688</v>
      </c>
      <c r="E1379" t="s">
        <v>971</v>
      </c>
      <c r="F1379" t="s">
        <v>178</v>
      </c>
      <c r="G1379">
        <v>20170108</v>
      </c>
      <c r="H1379">
        <v>20170108</v>
      </c>
      <c r="I1379" t="s">
        <v>33</v>
      </c>
      <c r="L1379" t="s">
        <v>34</v>
      </c>
      <c r="M1379" t="s">
        <v>34</v>
      </c>
      <c r="N1379" t="s">
        <v>35</v>
      </c>
      <c r="O1379" t="s">
        <v>35</v>
      </c>
      <c r="P1379" t="s">
        <v>35</v>
      </c>
      <c r="Q1379" t="s">
        <v>35</v>
      </c>
      <c r="R1379" t="s">
        <v>35</v>
      </c>
      <c r="S1379" t="s">
        <v>34</v>
      </c>
      <c r="AD1379">
        <v>20170124</v>
      </c>
      <c r="AF1379" t="str">
        <f>IFERROR(VLOOKUP(RIGHT(TblFeedFile1[[#This Row],[Leave Type ]],6),LkupPayType[],2,FALSE),"TBD")</f>
        <v>TBD</v>
      </c>
      <c r="AG1379" t="str">
        <f>IFERROR(VLOOKUP(TblFeedFile1[[#This Row],[ Report Number ]],LkupPayrollCycle[],2,FALSE),"TBD")</f>
        <v>Bi-Weekly</v>
      </c>
      <c r="AH1379" t="str">
        <f>IF(TblFeedFile1[[#This Row],[Return to Work Date ]]="","","Y")</f>
        <v/>
      </c>
    </row>
    <row r="1380" spans="1:34" x14ac:dyDescent="0.25">
      <c r="A1380" t="s">
        <v>29</v>
      </c>
      <c r="B1380">
        <v>314304</v>
      </c>
      <c r="C1380">
        <v>29032309</v>
      </c>
      <c r="D1380" s="1" t="s">
        <v>1688</v>
      </c>
      <c r="E1380" t="s">
        <v>971</v>
      </c>
      <c r="F1380" t="s">
        <v>178</v>
      </c>
      <c r="G1380">
        <v>20170103</v>
      </c>
      <c r="H1380">
        <v>20170107</v>
      </c>
      <c r="I1380" t="s">
        <v>78</v>
      </c>
      <c r="K1380" t="s">
        <v>79</v>
      </c>
      <c r="L1380" t="s">
        <v>34</v>
      </c>
      <c r="M1380" t="s">
        <v>34</v>
      </c>
      <c r="N1380" t="s">
        <v>35</v>
      </c>
      <c r="O1380" t="s">
        <v>35</v>
      </c>
      <c r="P1380" t="s">
        <v>35</v>
      </c>
      <c r="Q1380" t="s">
        <v>35</v>
      </c>
      <c r="R1380" t="s">
        <v>35</v>
      </c>
      <c r="S1380" t="s">
        <v>34</v>
      </c>
      <c r="AD1380">
        <v>20170124</v>
      </c>
      <c r="AF1380" t="str">
        <f>IFERROR(VLOOKUP(RIGHT(TblFeedFile1[[#This Row],[Leave Type ]],6),LkupPayType[],2,FALSE),"TBD")</f>
        <v>TBD</v>
      </c>
      <c r="AG1380" t="str">
        <f>IFERROR(VLOOKUP(TblFeedFile1[[#This Row],[ Report Number ]],LkupPayrollCycle[],2,FALSE),"TBD")</f>
        <v>Bi-Weekly</v>
      </c>
      <c r="AH1380" t="str">
        <f>IF(TblFeedFile1[[#This Row],[Return to Work Date ]]="","","Y")</f>
        <v/>
      </c>
    </row>
    <row r="1381" spans="1:34" x14ac:dyDescent="0.25">
      <c r="A1381" t="s">
        <v>37</v>
      </c>
      <c r="B1381">
        <v>314304</v>
      </c>
      <c r="C1381">
        <v>29032309</v>
      </c>
      <c r="D1381" s="1" t="s">
        <v>1688</v>
      </c>
      <c r="E1381" t="s">
        <v>971</v>
      </c>
      <c r="F1381" t="s">
        <v>178</v>
      </c>
      <c r="G1381">
        <v>20170103</v>
      </c>
      <c r="H1381">
        <v>20170103</v>
      </c>
      <c r="I1381" t="s">
        <v>43</v>
      </c>
      <c r="L1381" t="s">
        <v>34</v>
      </c>
      <c r="M1381" t="s">
        <v>34</v>
      </c>
      <c r="N1381" t="s">
        <v>35</v>
      </c>
      <c r="O1381" t="s">
        <v>35</v>
      </c>
      <c r="P1381" t="s">
        <v>35</v>
      </c>
      <c r="Q1381" t="s">
        <v>35</v>
      </c>
      <c r="R1381" t="s">
        <v>35</v>
      </c>
      <c r="S1381" t="s">
        <v>34</v>
      </c>
      <c r="AD1381">
        <v>20170124</v>
      </c>
      <c r="AF1381" t="str">
        <f>IFERROR(VLOOKUP(RIGHT(TblFeedFile1[[#This Row],[Leave Type ]],6),LkupPayType[],2,FALSE),"TBD")</f>
        <v>TBD</v>
      </c>
      <c r="AG1381" t="str">
        <f>IFERROR(VLOOKUP(TblFeedFile1[[#This Row],[ Report Number ]],LkupPayrollCycle[],2,FALSE),"TBD")</f>
        <v>Bi-Weekly</v>
      </c>
      <c r="AH1381" t="str">
        <f>IF(TblFeedFile1[[#This Row],[Return to Work Date ]]="","","Y")</f>
        <v/>
      </c>
    </row>
    <row r="1382" spans="1:34" x14ac:dyDescent="0.25">
      <c r="A1382" t="s">
        <v>37</v>
      </c>
      <c r="B1382">
        <v>314304</v>
      </c>
      <c r="C1382">
        <v>29059514</v>
      </c>
      <c r="D1382" s="1">
        <v>521612158722</v>
      </c>
      <c r="E1382" t="s">
        <v>1689</v>
      </c>
      <c r="F1382" t="s">
        <v>1690</v>
      </c>
      <c r="G1382">
        <v>20170102</v>
      </c>
      <c r="H1382">
        <v>20170701</v>
      </c>
      <c r="I1382" t="s">
        <v>53</v>
      </c>
      <c r="L1382" t="s">
        <v>34</v>
      </c>
      <c r="M1382" t="s">
        <v>34</v>
      </c>
      <c r="N1382" t="s">
        <v>35</v>
      </c>
      <c r="O1382" t="s">
        <v>35</v>
      </c>
      <c r="P1382" t="s">
        <v>35</v>
      </c>
      <c r="Q1382" t="s">
        <v>35</v>
      </c>
      <c r="R1382" t="s">
        <v>35</v>
      </c>
      <c r="S1382" t="s">
        <v>34</v>
      </c>
      <c r="AD1382">
        <v>20170124</v>
      </c>
      <c r="AF1382" t="str">
        <f>IFERROR(VLOOKUP(RIGHT(TblFeedFile1[[#This Row],[Leave Type ]],6),LkupPayType[],2,FALSE),"TBD")</f>
        <v>TBD</v>
      </c>
      <c r="AG1382" t="str">
        <f>IFERROR(VLOOKUP(TblFeedFile1[[#This Row],[ Report Number ]],LkupPayrollCycle[],2,FALSE),"TBD")</f>
        <v>Bi-Weekly</v>
      </c>
      <c r="AH1382" t="str">
        <f>IF(TblFeedFile1[[#This Row],[Return to Work Date ]]="","","Y")</f>
        <v/>
      </c>
    </row>
    <row r="1383" spans="1:34" x14ac:dyDescent="0.25">
      <c r="A1383" t="s">
        <v>37</v>
      </c>
      <c r="B1383">
        <v>314305</v>
      </c>
      <c r="C1383">
        <v>29076166</v>
      </c>
      <c r="D1383" s="1" t="s">
        <v>1691</v>
      </c>
      <c r="E1383" t="s">
        <v>44</v>
      </c>
      <c r="F1383" t="s">
        <v>955</v>
      </c>
      <c r="G1383">
        <v>20170123</v>
      </c>
      <c r="H1383">
        <v>20170203</v>
      </c>
      <c r="I1383" t="s">
        <v>36</v>
      </c>
      <c r="L1383" t="s">
        <v>34</v>
      </c>
      <c r="M1383" t="s">
        <v>34</v>
      </c>
      <c r="N1383" t="s">
        <v>35</v>
      </c>
      <c r="O1383" t="s">
        <v>35</v>
      </c>
      <c r="P1383" t="s">
        <v>35</v>
      </c>
      <c r="Q1383" t="s">
        <v>35</v>
      </c>
      <c r="R1383" t="s">
        <v>35</v>
      </c>
      <c r="S1383" t="s">
        <v>34</v>
      </c>
      <c r="AD1383">
        <v>20170124</v>
      </c>
      <c r="AF1383" t="str">
        <f>IFERROR(VLOOKUP(RIGHT(TblFeedFile1[[#This Row],[Leave Type ]],6),LkupPayType[],2,FALSE),"TBD")</f>
        <v>TBD</v>
      </c>
      <c r="AG1383" t="str">
        <f>IFERROR(VLOOKUP(TblFeedFile1[[#This Row],[ Report Number ]],LkupPayrollCycle[],2,FALSE),"TBD")</f>
        <v>Bi-Weekly</v>
      </c>
      <c r="AH1383" t="str">
        <f>IF(TblFeedFile1[[#This Row],[Return to Work Date ]]="","","Y")</f>
        <v/>
      </c>
    </row>
    <row r="1384" spans="1:34" x14ac:dyDescent="0.25">
      <c r="A1384" t="s">
        <v>37</v>
      </c>
      <c r="B1384">
        <v>314304</v>
      </c>
      <c r="C1384">
        <v>29108493</v>
      </c>
      <c r="D1384" s="1">
        <v>541701128524</v>
      </c>
      <c r="E1384" t="s">
        <v>1692</v>
      </c>
      <c r="F1384" t="s">
        <v>1693</v>
      </c>
      <c r="G1384">
        <v>20170124</v>
      </c>
      <c r="H1384">
        <v>20170131</v>
      </c>
      <c r="I1384" t="s">
        <v>40</v>
      </c>
      <c r="L1384" t="s">
        <v>34</v>
      </c>
      <c r="M1384" t="s">
        <v>34</v>
      </c>
      <c r="N1384" t="s">
        <v>35</v>
      </c>
      <c r="O1384" t="s">
        <v>35</v>
      </c>
      <c r="P1384" t="s">
        <v>35</v>
      </c>
      <c r="Q1384" t="s">
        <v>35</v>
      </c>
      <c r="R1384" t="s">
        <v>35</v>
      </c>
      <c r="S1384" t="s">
        <v>34</v>
      </c>
      <c r="AD1384">
        <v>20170124</v>
      </c>
      <c r="AF1384" t="str">
        <f>IFERROR(VLOOKUP(RIGHT(TblFeedFile1[[#This Row],[Leave Type ]],6),LkupPayType[],2,FALSE),"TBD")</f>
        <v>TBD</v>
      </c>
      <c r="AG1384" t="str">
        <f>IFERROR(VLOOKUP(TblFeedFile1[[#This Row],[ Report Number ]],LkupPayrollCycle[],2,FALSE),"TBD")</f>
        <v>Bi-Weekly</v>
      </c>
      <c r="AH1384" t="str">
        <f>IF(TblFeedFile1[[#This Row],[Return to Work Date ]]="","","Y")</f>
        <v/>
      </c>
    </row>
    <row r="1385" spans="1:34" x14ac:dyDescent="0.25">
      <c r="A1385" t="s">
        <v>29</v>
      </c>
      <c r="B1385">
        <v>314301</v>
      </c>
      <c r="C1385">
        <v>29124498</v>
      </c>
      <c r="D1385" s="1" t="s">
        <v>1694</v>
      </c>
      <c r="E1385" t="s">
        <v>1695</v>
      </c>
      <c r="F1385" t="s">
        <v>1696</v>
      </c>
      <c r="G1385">
        <v>20170116</v>
      </c>
      <c r="H1385">
        <v>20170220</v>
      </c>
      <c r="I1385" t="s">
        <v>78</v>
      </c>
      <c r="K1385" t="s">
        <v>219</v>
      </c>
      <c r="L1385" t="s">
        <v>34</v>
      </c>
      <c r="M1385" t="s">
        <v>34</v>
      </c>
      <c r="N1385" t="s">
        <v>35</v>
      </c>
      <c r="O1385" t="s">
        <v>35</v>
      </c>
      <c r="P1385" t="s">
        <v>35</v>
      </c>
      <c r="Q1385" t="s">
        <v>35</v>
      </c>
      <c r="R1385" t="s">
        <v>35</v>
      </c>
      <c r="S1385" t="s">
        <v>34</v>
      </c>
      <c r="AD1385">
        <v>20170124</v>
      </c>
      <c r="AF1385" t="str">
        <f>IFERROR(VLOOKUP(RIGHT(TblFeedFile1[[#This Row],[Leave Type ]],6),LkupPayType[],2,FALSE),"TBD")</f>
        <v>TBD</v>
      </c>
      <c r="AG1385" t="str">
        <f>IFERROR(VLOOKUP(TblFeedFile1[[#This Row],[ Report Number ]],LkupPayrollCycle[],2,FALSE),"TBD")</f>
        <v>Semi-Monthly</v>
      </c>
      <c r="AH1385" t="str">
        <f>IF(TblFeedFile1[[#This Row],[Return to Work Date ]]="","","Y")</f>
        <v/>
      </c>
    </row>
    <row r="1386" spans="1:34" x14ac:dyDescent="0.25">
      <c r="A1386" t="s">
        <v>37</v>
      </c>
      <c r="B1386">
        <v>314301</v>
      </c>
      <c r="C1386">
        <v>29124498</v>
      </c>
      <c r="D1386" s="1" t="s">
        <v>1694</v>
      </c>
      <c r="E1386" t="s">
        <v>1695</v>
      </c>
      <c r="F1386" t="s">
        <v>1696</v>
      </c>
      <c r="G1386">
        <v>20170117</v>
      </c>
      <c r="H1386">
        <v>20170327</v>
      </c>
      <c r="I1386" t="s">
        <v>155</v>
      </c>
      <c r="L1386" t="s">
        <v>34</v>
      </c>
      <c r="M1386" t="s">
        <v>34</v>
      </c>
      <c r="N1386" t="s">
        <v>35</v>
      </c>
      <c r="O1386" t="s">
        <v>35</v>
      </c>
      <c r="P1386" t="s">
        <v>35</v>
      </c>
      <c r="Q1386" t="s">
        <v>35</v>
      </c>
      <c r="R1386" t="s">
        <v>35</v>
      </c>
      <c r="S1386" t="s">
        <v>34</v>
      </c>
      <c r="AD1386">
        <v>20170124</v>
      </c>
      <c r="AF1386" t="str">
        <f>IFERROR(VLOOKUP(RIGHT(TblFeedFile1[[#This Row],[Leave Type ]],6),LkupPayType[],2,FALSE),"TBD")</f>
        <v>TBD</v>
      </c>
      <c r="AG1386" t="str">
        <f>IFERROR(VLOOKUP(TblFeedFile1[[#This Row],[ Report Number ]],LkupPayrollCycle[],2,FALSE),"TBD")</f>
        <v>Semi-Monthly</v>
      </c>
      <c r="AH1386" t="str">
        <f>IF(TblFeedFile1[[#This Row],[Return to Work Date ]]="","","Y")</f>
        <v/>
      </c>
    </row>
    <row r="1387" spans="1:34" x14ac:dyDescent="0.25">
      <c r="A1387" t="s">
        <v>29</v>
      </c>
      <c r="B1387">
        <v>314304</v>
      </c>
      <c r="C1387">
        <v>29137022</v>
      </c>
      <c r="D1387" s="1" t="s">
        <v>1697</v>
      </c>
      <c r="E1387" t="s">
        <v>1698</v>
      </c>
      <c r="F1387" t="s">
        <v>1699</v>
      </c>
      <c r="G1387">
        <v>20170117</v>
      </c>
      <c r="H1387">
        <v>20170205</v>
      </c>
      <c r="I1387" t="s">
        <v>78</v>
      </c>
      <c r="K1387" t="s">
        <v>79</v>
      </c>
      <c r="L1387" t="s">
        <v>34</v>
      </c>
      <c r="M1387" t="s">
        <v>34</v>
      </c>
      <c r="N1387" t="s">
        <v>35</v>
      </c>
      <c r="O1387" t="s">
        <v>35</v>
      </c>
      <c r="P1387" t="s">
        <v>35</v>
      </c>
      <c r="Q1387" t="s">
        <v>35</v>
      </c>
      <c r="R1387" t="s">
        <v>35</v>
      </c>
      <c r="S1387" t="s">
        <v>34</v>
      </c>
      <c r="AD1387">
        <v>20170124</v>
      </c>
      <c r="AF1387" t="str">
        <f>IFERROR(VLOOKUP(RIGHT(TblFeedFile1[[#This Row],[Leave Type ]],6),LkupPayType[],2,FALSE),"TBD")</f>
        <v>TBD</v>
      </c>
      <c r="AG1387" t="str">
        <f>IFERROR(VLOOKUP(TblFeedFile1[[#This Row],[ Report Number ]],LkupPayrollCycle[],2,FALSE),"TBD")</f>
        <v>Bi-Weekly</v>
      </c>
      <c r="AH1387" t="str">
        <f>IF(TblFeedFile1[[#This Row],[Return to Work Date ]]="","","Y")</f>
        <v/>
      </c>
    </row>
    <row r="1388" spans="1:34" x14ac:dyDescent="0.25">
      <c r="A1388" t="s">
        <v>37</v>
      </c>
      <c r="B1388">
        <v>314304</v>
      </c>
      <c r="C1388">
        <v>29137022</v>
      </c>
      <c r="D1388" s="1" t="s">
        <v>1697</v>
      </c>
      <c r="E1388" t="s">
        <v>1698</v>
      </c>
      <c r="F1388" t="s">
        <v>1699</v>
      </c>
      <c r="G1388">
        <v>20170123</v>
      </c>
      <c r="H1388">
        <v>20170205</v>
      </c>
      <c r="I1388" t="s">
        <v>36</v>
      </c>
      <c r="L1388" t="s">
        <v>34</v>
      </c>
      <c r="M1388" t="s">
        <v>34</v>
      </c>
      <c r="N1388" t="s">
        <v>35</v>
      </c>
      <c r="O1388" t="s">
        <v>35</v>
      </c>
      <c r="P1388" t="s">
        <v>35</v>
      </c>
      <c r="Q1388" t="s">
        <v>35</v>
      </c>
      <c r="R1388" t="s">
        <v>35</v>
      </c>
      <c r="S1388" t="s">
        <v>34</v>
      </c>
      <c r="AD1388">
        <v>20170124</v>
      </c>
      <c r="AF1388" t="str">
        <f>IFERROR(VLOOKUP(RIGHT(TblFeedFile1[[#This Row],[Leave Type ]],6),LkupPayType[],2,FALSE),"TBD")</f>
        <v>TBD</v>
      </c>
      <c r="AG1388" t="str">
        <f>IFERROR(VLOOKUP(TblFeedFile1[[#This Row],[ Report Number ]],LkupPayrollCycle[],2,FALSE),"TBD")</f>
        <v>Bi-Weekly</v>
      </c>
      <c r="AH1388" t="str">
        <f>IF(TblFeedFile1[[#This Row],[Return to Work Date ]]="","","Y")</f>
        <v/>
      </c>
    </row>
    <row r="1389" spans="1:34" x14ac:dyDescent="0.25">
      <c r="A1389" t="s">
        <v>29</v>
      </c>
      <c r="B1389">
        <v>314301</v>
      </c>
      <c r="C1389">
        <v>29149578</v>
      </c>
      <c r="D1389" s="1">
        <v>551701098635</v>
      </c>
      <c r="E1389" t="s">
        <v>1700</v>
      </c>
      <c r="F1389" t="s">
        <v>1701</v>
      </c>
      <c r="G1389">
        <v>20170110</v>
      </c>
      <c r="H1389">
        <v>20170409</v>
      </c>
      <c r="I1389" t="s">
        <v>40</v>
      </c>
      <c r="L1389" t="s">
        <v>34</v>
      </c>
      <c r="M1389" t="s">
        <v>34</v>
      </c>
      <c r="N1389" t="s">
        <v>35</v>
      </c>
      <c r="O1389" t="s">
        <v>35</v>
      </c>
      <c r="P1389" t="s">
        <v>35</v>
      </c>
      <c r="Q1389" t="s">
        <v>35</v>
      </c>
      <c r="R1389" t="s">
        <v>35</v>
      </c>
      <c r="S1389" t="s">
        <v>34</v>
      </c>
      <c r="AD1389">
        <v>20170124</v>
      </c>
      <c r="AF1389" t="str">
        <f>IFERROR(VLOOKUP(RIGHT(TblFeedFile1[[#This Row],[Leave Type ]],6),LkupPayType[],2,FALSE),"TBD")</f>
        <v>TBD</v>
      </c>
      <c r="AG1389" t="str">
        <f>IFERROR(VLOOKUP(TblFeedFile1[[#This Row],[ Report Number ]],LkupPayrollCycle[],2,FALSE),"TBD")</f>
        <v>Semi-Monthly</v>
      </c>
      <c r="AH1389" t="str">
        <f>IF(TblFeedFile1[[#This Row],[Return to Work Date ]]="","","Y")</f>
        <v/>
      </c>
    </row>
    <row r="1390" spans="1:34" x14ac:dyDescent="0.25">
      <c r="A1390" t="s">
        <v>37</v>
      </c>
      <c r="B1390">
        <v>314301</v>
      </c>
      <c r="C1390">
        <v>29149578</v>
      </c>
      <c r="D1390" s="1">
        <v>551701098635</v>
      </c>
      <c r="E1390" t="s">
        <v>1700</v>
      </c>
      <c r="F1390" t="s">
        <v>1701</v>
      </c>
      <c r="G1390">
        <v>20170110</v>
      </c>
      <c r="H1390">
        <v>20170210</v>
      </c>
      <c r="I1390" t="s">
        <v>40</v>
      </c>
      <c r="L1390" t="s">
        <v>34</v>
      </c>
      <c r="M1390" t="s">
        <v>34</v>
      </c>
      <c r="N1390" t="s">
        <v>35</v>
      </c>
      <c r="O1390" t="s">
        <v>35</v>
      </c>
      <c r="P1390" t="s">
        <v>35</v>
      </c>
      <c r="Q1390" t="s">
        <v>35</v>
      </c>
      <c r="R1390" t="s">
        <v>35</v>
      </c>
      <c r="S1390" t="s">
        <v>34</v>
      </c>
      <c r="AD1390">
        <v>20170124</v>
      </c>
      <c r="AF1390" t="str">
        <f>IFERROR(VLOOKUP(RIGHT(TblFeedFile1[[#This Row],[Leave Type ]],6),LkupPayType[],2,FALSE),"TBD")</f>
        <v>TBD</v>
      </c>
      <c r="AG1390" t="str">
        <f>IFERROR(VLOOKUP(TblFeedFile1[[#This Row],[ Report Number ]],LkupPayrollCycle[],2,FALSE),"TBD")</f>
        <v>Semi-Monthly</v>
      </c>
      <c r="AH1390" t="str">
        <f>IF(TblFeedFile1[[#This Row],[Return to Work Date ]]="","","Y")</f>
        <v/>
      </c>
    </row>
    <row r="1391" spans="1:34" x14ac:dyDescent="0.25">
      <c r="A1391" t="s">
        <v>29</v>
      </c>
      <c r="B1391">
        <v>314301</v>
      </c>
      <c r="C1391">
        <v>29172918</v>
      </c>
      <c r="D1391" s="1" t="s">
        <v>1702</v>
      </c>
      <c r="E1391" t="s">
        <v>1703</v>
      </c>
      <c r="F1391" t="s">
        <v>1704</v>
      </c>
      <c r="G1391">
        <v>20161109</v>
      </c>
      <c r="H1391">
        <v>20170207</v>
      </c>
      <c r="I1391" t="s">
        <v>127</v>
      </c>
      <c r="L1391" t="s">
        <v>34</v>
      </c>
      <c r="M1391" t="s">
        <v>34</v>
      </c>
      <c r="N1391" t="s">
        <v>35</v>
      </c>
      <c r="O1391" t="s">
        <v>35</v>
      </c>
      <c r="P1391" t="s">
        <v>35</v>
      </c>
      <c r="Q1391" t="s">
        <v>35</v>
      </c>
      <c r="R1391" t="s">
        <v>35</v>
      </c>
      <c r="S1391" t="s">
        <v>34</v>
      </c>
      <c r="AC1391" t="s">
        <v>35</v>
      </c>
      <c r="AD1391">
        <v>20170124</v>
      </c>
      <c r="AF1391" t="str">
        <f>IFERROR(VLOOKUP(RIGHT(TblFeedFile1[[#This Row],[Leave Type ]],6),LkupPayType[],2,FALSE),"TBD")</f>
        <v>TBD</v>
      </c>
      <c r="AG1391" t="str">
        <f>IFERROR(VLOOKUP(TblFeedFile1[[#This Row],[ Report Number ]],LkupPayrollCycle[],2,FALSE),"TBD")</f>
        <v>Semi-Monthly</v>
      </c>
      <c r="AH1391" t="str">
        <f>IF(TblFeedFile1[[#This Row],[Return to Work Date ]]="","","Y")</f>
        <v/>
      </c>
    </row>
    <row r="1392" spans="1:34" x14ac:dyDescent="0.25">
      <c r="A1392" t="s">
        <v>37</v>
      </c>
      <c r="B1392">
        <v>314301</v>
      </c>
      <c r="C1392">
        <v>29172918</v>
      </c>
      <c r="D1392" s="1" t="s">
        <v>1702</v>
      </c>
      <c r="E1392" t="s">
        <v>1703</v>
      </c>
      <c r="F1392" t="s">
        <v>1704</v>
      </c>
      <c r="G1392">
        <v>20161109</v>
      </c>
      <c r="H1392">
        <v>20161227</v>
      </c>
      <c r="I1392" t="s">
        <v>127</v>
      </c>
      <c r="L1392" t="s">
        <v>34</v>
      </c>
      <c r="M1392" t="s">
        <v>34</v>
      </c>
      <c r="N1392" t="s">
        <v>35</v>
      </c>
      <c r="O1392" t="s">
        <v>35</v>
      </c>
      <c r="P1392" t="s">
        <v>35</v>
      </c>
      <c r="Q1392" t="s">
        <v>35</v>
      </c>
      <c r="R1392" t="s">
        <v>35</v>
      </c>
      <c r="S1392" t="s">
        <v>34</v>
      </c>
      <c r="AC1392" t="s">
        <v>35</v>
      </c>
      <c r="AD1392">
        <v>20170124</v>
      </c>
      <c r="AF1392" t="str">
        <f>IFERROR(VLOOKUP(RIGHT(TblFeedFile1[[#This Row],[Leave Type ]],6),LkupPayType[],2,FALSE),"TBD")</f>
        <v>TBD</v>
      </c>
      <c r="AG1392" t="str">
        <f>IFERROR(VLOOKUP(TblFeedFile1[[#This Row],[ Report Number ]],LkupPayrollCycle[],2,FALSE),"TBD")</f>
        <v>Semi-Monthly</v>
      </c>
      <c r="AH1392" t="str">
        <f>IF(TblFeedFile1[[#This Row],[Return to Work Date ]]="","","Y")</f>
        <v/>
      </c>
    </row>
    <row r="1393" spans="1:34" x14ac:dyDescent="0.25">
      <c r="A1393" t="s">
        <v>37</v>
      </c>
      <c r="B1393">
        <v>314301</v>
      </c>
      <c r="C1393">
        <v>29172918</v>
      </c>
      <c r="D1393" s="1" t="s">
        <v>1702</v>
      </c>
      <c r="E1393" t="s">
        <v>1703</v>
      </c>
      <c r="F1393" t="s">
        <v>1704</v>
      </c>
      <c r="G1393">
        <v>20161228</v>
      </c>
      <c r="H1393">
        <v>20161228</v>
      </c>
      <c r="I1393" t="s">
        <v>33</v>
      </c>
      <c r="L1393" t="s">
        <v>34</v>
      </c>
      <c r="M1393" t="s">
        <v>34</v>
      </c>
      <c r="N1393" t="s">
        <v>35</v>
      </c>
      <c r="O1393" t="s">
        <v>35</v>
      </c>
      <c r="P1393" t="s">
        <v>35</v>
      </c>
      <c r="Q1393" t="s">
        <v>35</v>
      </c>
      <c r="R1393" t="s">
        <v>35</v>
      </c>
      <c r="S1393" t="s">
        <v>34</v>
      </c>
      <c r="AC1393" t="s">
        <v>35</v>
      </c>
      <c r="AD1393">
        <v>20170124</v>
      </c>
      <c r="AF1393" t="str">
        <f>IFERROR(VLOOKUP(RIGHT(TblFeedFile1[[#This Row],[Leave Type ]],6),LkupPayType[],2,FALSE),"TBD")</f>
        <v>TBD</v>
      </c>
      <c r="AG1393" t="str">
        <f>IFERROR(VLOOKUP(TblFeedFile1[[#This Row],[ Report Number ]],LkupPayrollCycle[],2,FALSE),"TBD")</f>
        <v>Semi-Monthly</v>
      </c>
      <c r="AH1393" t="str">
        <f>IF(TblFeedFile1[[#This Row],[Return to Work Date ]]="","","Y")</f>
        <v/>
      </c>
    </row>
    <row r="1394" spans="1:34" x14ac:dyDescent="0.25">
      <c r="A1394" t="s">
        <v>29</v>
      </c>
      <c r="B1394">
        <v>314301</v>
      </c>
      <c r="C1394">
        <v>29181159</v>
      </c>
      <c r="D1394" s="1" t="s">
        <v>1705</v>
      </c>
      <c r="E1394" t="s">
        <v>357</v>
      </c>
      <c r="F1394" t="s">
        <v>1706</v>
      </c>
      <c r="G1394">
        <v>20161205</v>
      </c>
      <c r="H1394">
        <v>20161212</v>
      </c>
      <c r="I1394" t="s">
        <v>49</v>
      </c>
      <c r="L1394" t="s">
        <v>34</v>
      </c>
      <c r="M1394" t="s">
        <v>34</v>
      </c>
      <c r="N1394" t="s">
        <v>35</v>
      </c>
      <c r="O1394" t="s">
        <v>35</v>
      </c>
      <c r="P1394" t="s">
        <v>35</v>
      </c>
      <c r="Q1394" t="s">
        <v>35</v>
      </c>
      <c r="R1394" t="s">
        <v>35</v>
      </c>
      <c r="S1394" t="s">
        <v>34</v>
      </c>
      <c r="T1394">
        <v>20161213</v>
      </c>
      <c r="AC1394" t="s">
        <v>35</v>
      </c>
      <c r="AD1394">
        <v>20170124</v>
      </c>
      <c r="AF1394" t="str">
        <f>IFERROR(VLOOKUP(RIGHT(TblFeedFile1[[#This Row],[Leave Type ]],6),LkupPayType[],2,FALSE),"TBD")</f>
        <v>TBD</v>
      </c>
      <c r="AG1394" t="str">
        <f>IFERROR(VLOOKUP(TblFeedFile1[[#This Row],[ Report Number ]],LkupPayrollCycle[],2,FALSE),"TBD")</f>
        <v>Semi-Monthly</v>
      </c>
      <c r="AH1394" t="str">
        <f>IF(TblFeedFile1[[#This Row],[Return to Work Date ]]="","","Y")</f>
        <v>Y</v>
      </c>
    </row>
    <row r="1395" spans="1:34" x14ac:dyDescent="0.25">
      <c r="A1395" t="s">
        <v>37</v>
      </c>
      <c r="B1395">
        <v>314301</v>
      </c>
      <c r="C1395">
        <v>29181159</v>
      </c>
      <c r="D1395" s="1" t="s">
        <v>1705</v>
      </c>
      <c r="E1395" t="s">
        <v>357</v>
      </c>
      <c r="F1395" t="s">
        <v>1706</v>
      </c>
      <c r="G1395">
        <v>20161205</v>
      </c>
      <c r="H1395">
        <v>20170303</v>
      </c>
      <c r="I1395" t="s">
        <v>49</v>
      </c>
      <c r="L1395" t="s">
        <v>34</v>
      </c>
      <c r="M1395" t="s">
        <v>34</v>
      </c>
      <c r="N1395" t="s">
        <v>35</v>
      </c>
      <c r="O1395" t="s">
        <v>35</v>
      </c>
      <c r="P1395" t="s">
        <v>35</v>
      </c>
      <c r="Q1395" t="s">
        <v>35</v>
      </c>
      <c r="R1395" t="s">
        <v>35</v>
      </c>
      <c r="S1395" t="s">
        <v>34</v>
      </c>
      <c r="AC1395" t="s">
        <v>35</v>
      </c>
      <c r="AD1395">
        <v>20170124</v>
      </c>
      <c r="AF1395" t="str">
        <f>IFERROR(VLOOKUP(RIGHT(TblFeedFile1[[#This Row],[Leave Type ]],6),LkupPayType[],2,FALSE),"TBD")</f>
        <v>TBD</v>
      </c>
      <c r="AG1395" t="str">
        <f>IFERROR(VLOOKUP(TblFeedFile1[[#This Row],[ Report Number ]],LkupPayrollCycle[],2,FALSE),"TBD")</f>
        <v>Semi-Monthly</v>
      </c>
      <c r="AH1395" t="str">
        <f>IF(TblFeedFile1[[#This Row],[Return to Work Date ]]="","","Y")</f>
        <v/>
      </c>
    </row>
    <row r="1396" spans="1:34" x14ac:dyDescent="0.25">
      <c r="A1396" t="s">
        <v>29</v>
      </c>
      <c r="B1396">
        <v>314301</v>
      </c>
      <c r="C1396">
        <v>29182905</v>
      </c>
      <c r="D1396" s="1" t="s">
        <v>1707</v>
      </c>
      <c r="E1396" t="s">
        <v>1501</v>
      </c>
      <c r="F1396" t="s">
        <v>1708</v>
      </c>
      <c r="G1396">
        <v>20170103</v>
      </c>
      <c r="H1396">
        <v>20170103</v>
      </c>
      <c r="I1396" t="s">
        <v>43</v>
      </c>
      <c r="L1396" t="s">
        <v>34</v>
      </c>
      <c r="M1396" t="s">
        <v>34</v>
      </c>
      <c r="N1396" t="s">
        <v>35</v>
      </c>
      <c r="O1396" t="s">
        <v>35</v>
      </c>
      <c r="P1396" t="s">
        <v>35</v>
      </c>
      <c r="Q1396" t="s">
        <v>35</v>
      </c>
      <c r="R1396" t="s">
        <v>35</v>
      </c>
      <c r="S1396" t="s">
        <v>34</v>
      </c>
      <c r="AD1396">
        <v>20170124</v>
      </c>
      <c r="AF1396" t="str">
        <f>IFERROR(VLOOKUP(RIGHT(TblFeedFile1[[#This Row],[Leave Type ]],6),LkupPayType[],2,FALSE),"TBD")</f>
        <v>TBD</v>
      </c>
      <c r="AG1396" t="str">
        <f>IFERROR(VLOOKUP(TblFeedFile1[[#This Row],[ Report Number ]],LkupPayrollCycle[],2,FALSE),"TBD")</f>
        <v>Semi-Monthly</v>
      </c>
      <c r="AH1396" t="str">
        <f>IF(TblFeedFile1[[#This Row],[Return to Work Date ]]="","","Y")</f>
        <v/>
      </c>
    </row>
    <row r="1397" spans="1:34" x14ac:dyDescent="0.25">
      <c r="A1397" t="s">
        <v>37</v>
      </c>
      <c r="B1397">
        <v>314301</v>
      </c>
      <c r="C1397">
        <v>29182905</v>
      </c>
      <c r="D1397" s="1" t="s">
        <v>1707</v>
      </c>
      <c r="E1397" t="s">
        <v>1501</v>
      </c>
      <c r="F1397" t="s">
        <v>1708</v>
      </c>
      <c r="G1397">
        <v>20170103</v>
      </c>
      <c r="H1397">
        <v>20170315</v>
      </c>
      <c r="I1397" t="s">
        <v>223</v>
      </c>
      <c r="L1397" t="s">
        <v>34</v>
      </c>
      <c r="M1397" t="s">
        <v>34</v>
      </c>
      <c r="N1397" t="s">
        <v>35</v>
      </c>
      <c r="O1397" t="s">
        <v>35</v>
      </c>
      <c r="P1397" t="s">
        <v>35</v>
      </c>
      <c r="Q1397" t="s">
        <v>35</v>
      </c>
      <c r="R1397" t="s">
        <v>35</v>
      </c>
      <c r="S1397" t="s">
        <v>34</v>
      </c>
      <c r="AD1397">
        <v>20170124</v>
      </c>
      <c r="AF1397" t="str">
        <f>IFERROR(VLOOKUP(RIGHT(TblFeedFile1[[#This Row],[Leave Type ]],6),LkupPayType[],2,FALSE),"TBD")</f>
        <v>TBD</v>
      </c>
      <c r="AG1397" t="str">
        <f>IFERROR(VLOOKUP(TblFeedFile1[[#This Row],[ Report Number ]],LkupPayrollCycle[],2,FALSE),"TBD")</f>
        <v>Semi-Monthly</v>
      </c>
      <c r="AH1397" t="str">
        <f>IF(TblFeedFile1[[#This Row],[Return to Work Date ]]="","","Y")</f>
        <v/>
      </c>
    </row>
    <row r="1398" spans="1:34" x14ac:dyDescent="0.25">
      <c r="A1398" t="s">
        <v>37</v>
      </c>
      <c r="B1398">
        <v>314305</v>
      </c>
      <c r="C1398">
        <v>29186005</v>
      </c>
      <c r="D1398" s="1" t="s">
        <v>1709</v>
      </c>
      <c r="E1398" t="s">
        <v>1710</v>
      </c>
      <c r="F1398" t="s">
        <v>1711</v>
      </c>
      <c r="G1398">
        <v>20170121</v>
      </c>
      <c r="H1398">
        <v>20170121</v>
      </c>
      <c r="I1398" t="s">
        <v>33</v>
      </c>
      <c r="L1398" t="s">
        <v>34</v>
      </c>
      <c r="M1398" t="s">
        <v>34</v>
      </c>
      <c r="N1398" t="s">
        <v>35</v>
      </c>
      <c r="O1398" t="s">
        <v>35</v>
      </c>
      <c r="P1398" t="s">
        <v>35</v>
      </c>
      <c r="Q1398" t="s">
        <v>35</v>
      </c>
      <c r="R1398" t="s">
        <v>35</v>
      </c>
      <c r="S1398" t="s">
        <v>34</v>
      </c>
      <c r="AC1398" t="s">
        <v>35</v>
      </c>
      <c r="AD1398">
        <v>20170124</v>
      </c>
      <c r="AF1398" t="str">
        <f>IFERROR(VLOOKUP(RIGHT(TblFeedFile1[[#This Row],[Leave Type ]],6),LkupPayType[],2,FALSE),"TBD")</f>
        <v>TBD</v>
      </c>
      <c r="AG1398" t="str">
        <f>IFERROR(VLOOKUP(TblFeedFile1[[#This Row],[ Report Number ]],LkupPayrollCycle[],2,FALSE),"TBD")</f>
        <v>Bi-Weekly</v>
      </c>
      <c r="AH1398" t="str">
        <f>IF(TblFeedFile1[[#This Row],[Return to Work Date ]]="","","Y")</f>
        <v/>
      </c>
    </row>
    <row r="1399" spans="1:34" x14ac:dyDescent="0.25">
      <c r="A1399" t="s">
        <v>29</v>
      </c>
      <c r="B1399">
        <v>314304</v>
      </c>
      <c r="C1399">
        <v>29196165</v>
      </c>
      <c r="D1399" s="1" t="s">
        <v>1712</v>
      </c>
      <c r="E1399" t="s">
        <v>895</v>
      </c>
      <c r="F1399" t="s">
        <v>1713</v>
      </c>
      <c r="G1399">
        <v>20170116</v>
      </c>
      <c r="H1399">
        <v>20170116</v>
      </c>
      <c r="I1399" t="s">
        <v>43</v>
      </c>
      <c r="L1399" t="s">
        <v>34</v>
      </c>
      <c r="M1399" t="s">
        <v>34</v>
      </c>
      <c r="N1399" t="s">
        <v>35</v>
      </c>
      <c r="O1399" t="s">
        <v>35</v>
      </c>
      <c r="P1399" t="s">
        <v>35</v>
      </c>
      <c r="Q1399" t="s">
        <v>35</v>
      </c>
      <c r="R1399" t="s">
        <v>35</v>
      </c>
      <c r="S1399" t="s">
        <v>34</v>
      </c>
      <c r="AD1399">
        <v>20170124</v>
      </c>
      <c r="AF1399" t="str">
        <f>IFERROR(VLOOKUP(RIGHT(TblFeedFile1[[#This Row],[Leave Type ]],6),LkupPayType[],2,FALSE),"TBD")</f>
        <v>TBD</v>
      </c>
      <c r="AG1399" t="str">
        <f>IFERROR(VLOOKUP(TblFeedFile1[[#This Row],[ Report Number ]],LkupPayrollCycle[],2,FALSE),"TBD")</f>
        <v>Bi-Weekly</v>
      </c>
      <c r="AH1399" t="str">
        <f>IF(TblFeedFile1[[#This Row],[Return to Work Date ]]="","","Y")</f>
        <v/>
      </c>
    </row>
    <row r="1400" spans="1:34" x14ac:dyDescent="0.25">
      <c r="A1400" t="s">
        <v>37</v>
      </c>
      <c r="B1400">
        <v>314304</v>
      </c>
      <c r="C1400">
        <v>29196165</v>
      </c>
      <c r="D1400" s="1" t="s">
        <v>1712</v>
      </c>
      <c r="E1400" t="s">
        <v>895</v>
      </c>
      <c r="F1400" t="s">
        <v>1713</v>
      </c>
      <c r="G1400">
        <v>20170124</v>
      </c>
      <c r="H1400">
        <v>20170124</v>
      </c>
      <c r="I1400" t="s">
        <v>43</v>
      </c>
      <c r="L1400" t="s">
        <v>34</v>
      </c>
      <c r="M1400" t="s">
        <v>34</v>
      </c>
      <c r="N1400" t="s">
        <v>35</v>
      </c>
      <c r="O1400" t="s">
        <v>35</v>
      </c>
      <c r="P1400" t="s">
        <v>35</v>
      </c>
      <c r="Q1400" t="s">
        <v>35</v>
      </c>
      <c r="R1400" t="s">
        <v>35</v>
      </c>
      <c r="S1400" t="s">
        <v>34</v>
      </c>
      <c r="AD1400">
        <v>20170124</v>
      </c>
      <c r="AF1400" t="str">
        <f>IFERROR(VLOOKUP(RIGHT(TblFeedFile1[[#This Row],[Leave Type ]],6),LkupPayType[],2,FALSE),"TBD")</f>
        <v>TBD</v>
      </c>
      <c r="AG1400" t="str">
        <f>IFERROR(VLOOKUP(TblFeedFile1[[#This Row],[ Report Number ]],LkupPayrollCycle[],2,FALSE),"TBD")</f>
        <v>Bi-Weekly</v>
      </c>
      <c r="AH1400" t="str">
        <f>IF(TblFeedFile1[[#This Row],[Return to Work Date ]]="","","Y")</f>
        <v/>
      </c>
    </row>
    <row r="1401" spans="1:34" x14ac:dyDescent="0.25">
      <c r="A1401" t="s">
        <v>29</v>
      </c>
      <c r="B1401">
        <v>314304</v>
      </c>
      <c r="C1401">
        <v>29217835</v>
      </c>
      <c r="D1401" s="1" t="s">
        <v>1714</v>
      </c>
      <c r="E1401" t="s">
        <v>1715</v>
      </c>
      <c r="F1401" t="s">
        <v>1716</v>
      </c>
      <c r="G1401">
        <v>20170103</v>
      </c>
      <c r="H1401">
        <v>20170131</v>
      </c>
      <c r="I1401" t="s">
        <v>223</v>
      </c>
      <c r="L1401" t="s">
        <v>34</v>
      </c>
      <c r="M1401" t="s">
        <v>34</v>
      </c>
      <c r="N1401" t="s">
        <v>35</v>
      </c>
      <c r="O1401" t="s">
        <v>35</v>
      </c>
      <c r="P1401" t="s">
        <v>35</v>
      </c>
      <c r="Q1401" t="s">
        <v>35</v>
      </c>
      <c r="R1401" t="s">
        <v>35</v>
      </c>
      <c r="S1401" t="s">
        <v>34</v>
      </c>
      <c r="AD1401">
        <v>20170124</v>
      </c>
      <c r="AF1401" t="str">
        <f>IFERROR(VLOOKUP(RIGHT(TblFeedFile1[[#This Row],[Leave Type ]],6),LkupPayType[],2,FALSE),"TBD")</f>
        <v>TBD</v>
      </c>
      <c r="AG1401" t="str">
        <f>IFERROR(VLOOKUP(TblFeedFile1[[#This Row],[ Report Number ]],LkupPayrollCycle[],2,FALSE),"TBD")</f>
        <v>Bi-Weekly</v>
      </c>
      <c r="AH1401" t="str">
        <f>IF(TblFeedFile1[[#This Row],[Return to Work Date ]]="","","Y")</f>
        <v/>
      </c>
    </row>
    <row r="1402" spans="1:34" x14ac:dyDescent="0.25">
      <c r="A1402" t="s">
        <v>37</v>
      </c>
      <c r="B1402">
        <v>314304</v>
      </c>
      <c r="C1402">
        <v>29217835</v>
      </c>
      <c r="D1402" s="1" t="s">
        <v>1714</v>
      </c>
      <c r="E1402" t="s">
        <v>1715</v>
      </c>
      <c r="F1402" t="s">
        <v>1716</v>
      </c>
      <c r="G1402">
        <v>20170103</v>
      </c>
      <c r="H1402">
        <v>20170331</v>
      </c>
      <c r="I1402" t="s">
        <v>223</v>
      </c>
      <c r="L1402" t="s">
        <v>34</v>
      </c>
      <c r="M1402" t="s">
        <v>34</v>
      </c>
      <c r="N1402" t="s">
        <v>35</v>
      </c>
      <c r="O1402" t="s">
        <v>35</v>
      </c>
      <c r="P1402" t="s">
        <v>35</v>
      </c>
      <c r="Q1402" t="s">
        <v>35</v>
      </c>
      <c r="R1402" t="s">
        <v>35</v>
      </c>
      <c r="S1402" t="s">
        <v>34</v>
      </c>
      <c r="AD1402">
        <v>20170124</v>
      </c>
      <c r="AF1402" t="str">
        <f>IFERROR(VLOOKUP(RIGHT(TblFeedFile1[[#This Row],[Leave Type ]],6),LkupPayType[],2,FALSE),"TBD")</f>
        <v>TBD</v>
      </c>
      <c r="AG1402" t="str">
        <f>IFERROR(VLOOKUP(TblFeedFile1[[#This Row],[ Report Number ]],LkupPayrollCycle[],2,FALSE),"TBD")</f>
        <v>Bi-Weekly</v>
      </c>
      <c r="AH1402" t="str">
        <f>IF(TblFeedFile1[[#This Row],[Return to Work Date ]]="","","Y")</f>
        <v/>
      </c>
    </row>
    <row r="1403" spans="1:34" x14ac:dyDescent="0.25">
      <c r="A1403" t="s">
        <v>29</v>
      </c>
      <c r="B1403">
        <v>314304</v>
      </c>
      <c r="C1403">
        <v>29219713</v>
      </c>
      <c r="D1403" s="1" t="s">
        <v>1717</v>
      </c>
      <c r="E1403" t="s">
        <v>1718</v>
      </c>
      <c r="F1403" t="s">
        <v>613</v>
      </c>
      <c r="G1403">
        <v>20170113</v>
      </c>
      <c r="H1403">
        <v>20170208</v>
      </c>
      <c r="I1403" t="s">
        <v>78</v>
      </c>
      <c r="K1403" t="s">
        <v>79</v>
      </c>
      <c r="L1403" t="s">
        <v>34</v>
      </c>
      <c r="M1403" t="s">
        <v>34</v>
      </c>
      <c r="N1403" t="s">
        <v>35</v>
      </c>
      <c r="O1403" t="s">
        <v>35</v>
      </c>
      <c r="P1403" t="s">
        <v>35</v>
      </c>
      <c r="Q1403" t="s">
        <v>35</v>
      </c>
      <c r="R1403" t="s">
        <v>35</v>
      </c>
      <c r="S1403" t="s">
        <v>35</v>
      </c>
      <c r="AD1403">
        <v>20170124</v>
      </c>
      <c r="AF1403" t="str">
        <f>IFERROR(VLOOKUP(RIGHT(TblFeedFile1[[#This Row],[Leave Type ]],6),LkupPayType[],2,FALSE),"TBD")</f>
        <v>TBD</v>
      </c>
      <c r="AG1403" t="str">
        <f>IFERROR(VLOOKUP(TblFeedFile1[[#This Row],[ Report Number ]],LkupPayrollCycle[],2,FALSE),"TBD")</f>
        <v>Bi-Weekly</v>
      </c>
      <c r="AH1403" t="str">
        <f>IF(TblFeedFile1[[#This Row],[Return to Work Date ]]="","","Y")</f>
        <v/>
      </c>
    </row>
    <row r="1404" spans="1:34" x14ac:dyDescent="0.25">
      <c r="A1404" t="s">
        <v>29</v>
      </c>
      <c r="B1404">
        <v>314304</v>
      </c>
      <c r="C1404">
        <v>29219713</v>
      </c>
      <c r="D1404" s="1">
        <v>501701128498</v>
      </c>
      <c r="E1404" t="s">
        <v>1718</v>
      </c>
      <c r="F1404" t="s">
        <v>613</v>
      </c>
      <c r="G1404">
        <v>20170112</v>
      </c>
      <c r="H1404">
        <v>20170208</v>
      </c>
      <c r="I1404" t="s">
        <v>53</v>
      </c>
      <c r="L1404" t="s">
        <v>34</v>
      </c>
      <c r="M1404" t="s">
        <v>34</v>
      </c>
      <c r="N1404" t="s">
        <v>35</v>
      </c>
      <c r="O1404" t="s">
        <v>35</v>
      </c>
      <c r="P1404" t="s">
        <v>35</v>
      </c>
      <c r="Q1404" t="s">
        <v>35</v>
      </c>
      <c r="R1404" t="s">
        <v>35</v>
      </c>
      <c r="S1404" t="s">
        <v>35</v>
      </c>
      <c r="AD1404">
        <v>20170124</v>
      </c>
      <c r="AF1404" t="str">
        <f>IFERROR(VLOOKUP(RIGHT(TblFeedFile1[[#This Row],[Leave Type ]],6),LkupPayType[],2,FALSE),"TBD")</f>
        <v>TBD</v>
      </c>
      <c r="AG1404" t="str">
        <f>IFERROR(VLOOKUP(TblFeedFile1[[#This Row],[ Report Number ]],LkupPayrollCycle[],2,FALSE),"TBD")</f>
        <v>Bi-Weekly</v>
      </c>
      <c r="AH1404" t="str">
        <f>IF(TblFeedFile1[[#This Row],[Return to Work Date ]]="","","Y")</f>
        <v/>
      </c>
    </row>
    <row r="1405" spans="1:34" x14ac:dyDescent="0.25">
      <c r="A1405" t="s">
        <v>29</v>
      </c>
      <c r="B1405">
        <v>314304</v>
      </c>
      <c r="C1405">
        <v>29219713</v>
      </c>
      <c r="D1405" s="1" t="s">
        <v>1717</v>
      </c>
      <c r="E1405" t="s">
        <v>1718</v>
      </c>
      <c r="F1405" t="s">
        <v>613</v>
      </c>
      <c r="G1405">
        <v>20170111</v>
      </c>
      <c r="H1405">
        <v>20170208</v>
      </c>
      <c r="I1405" t="s">
        <v>78</v>
      </c>
      <c r="K1405" t="s">
        <v>79</v>
      </c>
      <c r="L1405" t="s">
        <v>34</v>
      </c>
      <c r="M1405" t="s">
        <v>34</v>
      </c>
      <c r="N1405" t="s">
        <v>35</v>
      </c>
      <c r="O1405" t="s">
        <v>35</v>
      </c>
      <c r="P1405" t="s">
        <v>35</v>
      </c>
      <c r="Q1405" t="s">
        <v>35</v>
      </c>
      <c r="R1405" t="s">
        <v>35</v>
      </c>
      <c r="S1405" t="s">
        <v>35</v>
      </c>
      <c r="AD1405">
        <v>20170124</v>
      </c>
      <c r="AF1405" t="str">
        <f>IFERROR(VLOOKUP(RIGHT(TblFeedFile1[[#This Row],[Leave Type ]],6),LkupPayType[],2,FALSE),"TBD")</f>
        <v>TBD</v>
      </c>
      <c r="AG1405" t="str">
        <f>IFERROR(VLOOKUP(TblFeedFile1[[#This Row],[ Report Number ]],LkupPayrollCycle[],2,FALSE),"TBD")</f>
        <v>Bi-Weekly</v>
      </c>
      <c r="AH1405" t="str">
        <f>IF(TblFeedFile1[[#This Row],[Return to Work Date ]]="","","Y")</f>
        <v/>
      </c>
    </row>
    <row r="1406" spans="1:34" x14ac:dyDescent="0.25">
      <c r="A1406" t="s">
        <v>37</v>
      </c>
      <c r="B1406">
        <v>314304</v>
      </c>
      <c r="C1406">
        <v>29219713</v>
      </c>
      <c r="D1406" s="1" t="s">
        <v>1717</v>
      </c>
      <c r="E1406" t="s">
        <v>1718</v>
      </c>
      <c r="F1406" t="s">
        <v>613</v>
      </c>
      <c r="G1406">
        <v>20170111</v>
      </c>
      <c r="H1406">
        <v>20170208</v>
      </c>
      <c r="I1406" t="s">
        <v>78</v>
      </c>
      <c r="K1406" t="s">
        <v>79</v>
      </c>
      <c r="L1406" t="s">
        <v>34</v>
      </c>
      <c r="M1406" t="s">
        <v>35</v>
      </c>
      <c r="N1406" t="s">
        <v>35</v>
      </c>
      <c r="O1406" t="s">
        <v>35</v>
      </c>
      <c r="P1406" t="s">
        <v>35</v>
      </c>
      <c r="Q1406" t="s">
        <v>35</v>
      </c>
      <c r="R1406" t="s">
        <v>35</v>
      </c>
      <c r="S1406" t="s">
        <v>35</v>
      </c>
      <c r="AD1406">
        <v>20170124</v>
      </c>
      <c r="AF1406" t="str">
        <f>IFERROR(VLOOKUP(RIGHT(TblFeedFile1[[#This Row],[Leave Type ]],6),LkupPayType[],2,FALSE),"TBD")</f>
        <v>TBD</v>
      </c>
      <c r="AG1406" t="str">
        <f>IFERROR(VLOOKUP(TblFeedFile1[[#This Row],[ Report Number ]],LkupPayrollCycle[],2,FALSE),"TBD")</f>
        <v>Bi-Weekly</v>
      </c>
      <c r="AH1406" t="str">
        <f>IF(TblFeedFile1[[#This Row],[Return to Work Date ]]="","","Y")</f>
        <v/>
      </c>
    </row>
    <row r="1407" spans="1:34" x14ac:dyDescent="0.25">
      <c r="A1407" t="s">
        <v>37</v>
      </c>
      <c r="B1407">
        <v>314304</v>
      </c>
      <c r="C1407">
        <v>29219713</v>
      </c>
      <c r="D1407" s="1">
        <v>501701128498</v>
      </c>
      <c r="E1407" t="s">
        <v>1718</v>
      </c>
      <c r="F1407" t="s">
        <v>613</v>
      </c>
      <c r="G1407">
        <v>20170112</v>
      </c>
      <c r="H1407">
        <v>20170208</v>
      </c>
      <c r="I1407" t="s">
        <v>53</v>
      </c>
      <c r="L1407" t="s">
        <v>34</v>
      </c>
      <c r="M1407" t="s">
        <v>35</v>
      </c>
      <c r="N1407" t="s">
        <v>35</v>
      </c>
      <c r="O1407" t="s">
        <v>35</v>
      </c>
      <c r="P1407" t="s">
        <v>35</v>
      </c>
      <c r="Q1407" t="s">
        <v>35</v>
      </c>
      <c r="R1407" t="s">
        <v>35</v>
      </c>
      <c r="S1407" t="s">
        <v>35</v>
      </c>
      <c r="AD1407">
        <v>20170124</v>
      </c>
      <c r="AF1407" t="str">
        <f>IFERROR(VLOOKUP(RIGHT(TblFeedFile1[[#This Row],[Leave Type ]],6),LkupPayType[],2,FALSE),"TBD")</f>
        <v>TBD</v>
      </c>
      <c r="AG1407" t="str">
        <f>IFERROR(VLOOKUP(TblFeedFile1[[#This Row],[ Report Number ]],LkupPayrollCycle[],2,FALSE),"TBD")</f>
        <v>Bi-Weekly</v>
      </c>
      <c r="AH1407" t="str">
        <f>IF(TblFeedFile1[[#This Row],[Return to Work Date ]]="","","Y")</f>
        <v/>
      </c>
    </row>
    <row r="1408" spans="1:34" x14ac:dyDescent="0.25">
      <c r="A1408" t="s">
        <v>37</v>
      </c>
      <c r="B1408">
        <v>314304</v>
      </c>
      <c r="C1408">
        <v>29219713</v>
      </c>
      <c r="D1408" s="1">
        <v>501701128498</v>
      </c>
      <c r="E1408" t="s">
        <v>1718</v>
      </c>
      <c r="F1408" t="s">
        <v>613</v>
      </c>
      <c r="G1408">
        <v>20170119</v>
      </c>
      <c r="H1408">
        <v>20170208</v>
      </c>
      <c r="I1408" t="s">
        <v>40</v>
      </c>
      <c r="L1408" t="s">
        <v>34</v>
      </c>
      <c r="M1408" t="s">
        <v>35</v>
      </c>
      <c r="N1408" t="s">
        <v>35</v>
      </c>
      <c r="O1408" t="s">
        <v>35</v>
      </c>
      <c r="P1408" t="s">
        <v>35</v>
      </c>
      <c r="Q1408" t="s">
        <v>35</v>
      </c>
      <c r="R1408" t="s">
        <v>35</v>
      </c>
      <c r="S1408" t="s">
        <v>35</v>
      </c>
      <c r="AD1408">
        <v>20170124</v>
      </c>
      <c r="AF1408" t="str">
        <f>IFERROR(VLOOKUP(RIGHT(TblFeedFile1[[#This Row],[Leave Type ]],6),LkupPayType[],2,FALSE),"TBD")</f>
        <v>TBD</v>
      </c>
      <c r="AG1408" t="str">
        <f>IFERROR(VLOOKUP(TblFeedFile1[[#This Row],[ Report Number ]],LkupPayrollCycle[],2,FALSE),"TBD")</f>
        <v>Bi-Weekly</v>
      </c>
      <c r="AH1408" t="str">
        <f>IF(TblFeedFile1[[#This Row],[Return to Work Date ]]="","","Y")</f>
        <v/>
      </c>
    </row>
    <row r="1409" spans="1:34" x14ac:dyDescent="0.25">
      <c r="A1409" t="s">
        <v>29</v>
      </c>
      <c r="B1409">
        <v>314304</v>
      </c>
      <c r="C1409">
        <v>29222485</v>
      </c>
      <c r="D1409" s="1" t="s">
        <v>1719</v>
      </c>
      <c r="E1409" t="s">
        <v>1720</v>
      </c>
      <c r="F1409" t="s">
        <v>1721</v>
      </c>
      <c r="G1409">
        <v>20170119</v>
      </c>
      <c r="H1409">
        <v>20170119</v>
      </c>
      <c r="I1409" t="s">
        <v>33</v>
      </c>
      <c r="L1409" t="s">
        <v>34</v>
      </c>
      <c r="M1409" t="s">
        <v>34</v>
      </c>
      <c r="N1409" t="s">
        <v>35</v>
      </c>
      <c r="O1409" t="s">
        <v>35</v>
      </c>
      <c r="P1409" t="s">
        <v>35</v>
      </c>
      <c r="Q1409" t="s">
        <v>35</v>
      </c>
      <c r="R1409" t="s">
        <v>35</v>
      </c>
      <c r="S1409" t="s">
        <v>34</v>
      </c>
      <c r="AD1409">
        <v>20170124</v>
      </c>
      <c r="AF1409" t="str">
        <f>IFERROR(VLOOKUP(RIGHT(TblFeedFile1[[#This Row],[Leave Type ]],6),LkupPayType[],2,FALSE),"TBD")</f>
        <v>TBD</v>
      </c>
      <c r="AG1409" t="str">
        <f>IFERROR(VLOOKUP(TblFeedFile1[[#This Row],[ Report Number ]],LkupPayrollCycle[],2,FALSE),"TBD")</f>
        <v>Bi-Weekly</v>
      </c>
      <c r="AH1409" t="str">
        <f>IF(TblFeedFile1[[#This Row],[Return to Work Date ]]="","","Y")</f>
        <v/>
      </c>
    </row>
    <row r="1410" spans="1:34" x14ac:dyDescent="0.25">
      <c r="A1410" t="s">
        <v>29</v>
      </c>
      <c r="B1410">
        <v>314304</v>
      </c>
      <c r="C1410">
        <v>29222485</v>
      </c>
      <c r="D1410" s="1">
        <v>501701068390</v>
      </c>
      <c r="E1410" t="s">
        <v>1720</v>
      </c>
      <c r="F1410" t="s">
        <v>1721</v>
      </c>
      <c r="G1410">
        <v>20170111</v>
      </c>
      <c r="H1410">
        <v>20170203</v>
      </c>
      <c r="I1410" t="s">
        <v>40</v>
      </c>
      <c r="L1410" t="s">
        <v>34</v>
      </c>
      <c r="M1410" t="s">
        <v>34</v>
      </c>
      <c r="N1410" t="s">
        <v>35</v>
      </c>
      <c r="O1410" t="s">
        <v>35</v>
      </c>
      <c r="P1410" t="s">
        <v>35</v>
      </c>
      <c r="Q1410" t="s">
        <v>35</v>
      </c>
      <c r="R1410" t="s">
        <v>35</v>
      </c>
      <c r="S1410" t="s">
        <v>34</v>
      </c>
      <c r="AD1410">
        <v>20170124</v>
      </c>
      <c r="AF1410" t="str">
        <f>IFERROR(VLOOKUP(RIGHT(TblFeedFile1[[#This Row],[Leave Type ]],6),LkupPayType[],2,FALSE),"TBD")</f>
        <v>TBD</v>
      </c>
      <c r="AG1410" t="str">
        <f>IFERROR(VLOOKUP(TblFeedFile1[[#This Row],[ Report Number ]],LkupPayrollCycle[],2,FALSE),"TBD")</f>
        <v>Bi-Weekly</v>
      </c>
      <c r="AH1410" t="str">
        <f>IF(TblFeedFile1[[#This Row],[Return to Work Date ]]="","","Y")</f>
        <v/>
      </c>
    </row>
    <row r="1411" spans="1:34" x14ac:dyDescent="0.25">
      <c r="A1411" t="s">
        <v>37</v>
      </c>
      <c r="B1411">
        <v>314304</v>
      </c>
      <c r="C1411">
        <v>29222485</v>
      </c>
      <c r="D1411" s="1">
        <v>501701068390</v>
      </c>
      <c r="E1411" t="s">
        <v>1720</v>
      </c>
      <c r="F1411" t="s">
        <v>1721</v>
      </c>
      <c r="G1411">
        <v>20170111</v>
      </c>
      <c r="H1411">
        <v>20170118</v>
      </c>
      <c r="I1411" t="s">
        <v>40</v>
      </c>
      <c r="L1411" t="s">
        <v>34</v>
      </c>
      <c r="M1411" t="s">
        <v>34</v>
      </c>
      <c r="N1411" t="s">
        <v>35</v>
      </c>
      <c r="O1411" t="s">
        <v>35</v>
      </c>
      <c r="P1411" t="s">
        <v>35</v>
      </c>
      <c r="Q1411" t="s">
        <v>35</v>
      </c>
      <c r="R1411" t="s">
        <v>35</v>
      </c>
      <c r="S1411" t="s">
        <v>34</v>
      </c>
      <c r="AD1411">
        <v>20170124</v>
      </c>
      <c r="AF1411" t="str">
        <f>IFERROR(VLOOKUP(RIGHT(TblFeedFile1[[#This Row],[Leave Type ]],6),LkupPayType[],2,FALSE),"TBD")</f>
        <v>TBD</v>
      </c>
      <c r="AG1411" t="str">
        <f>IFERROR(VLOOKUP(TblFeedFile1[[#This Row],[ Report Number ]],LkupPayrollCycle[],2,FALSE),"TBD")</f>
        <v>Bi-Weekly</v>
      </c>
      <c r="AH1411" t="str">
        <f>IF(TblFeedFile1[[#This Row],[Return to Work Date ]]="","","Y")</f>
        <v/>
      </c>
    </row>
    <row r="1412" spans="1:34" x14ac:dyDescent="0.25">
      <c r="A1412" t="s">
        <v>37</v>
      </c>
      <c r="B1412">
        <v>314304</v>
      </c>
      <c r="C1412">
        <v>29222485</v>
      </c>
      <c r="D1412" s="1" t="s">
        <v>1719</v>
      </c>
      <c r="E1412" t="s">
        <v>1720</v>
      </c>
      <c r="F1412" t="s">
        <v>1721</v>
      </c>
      <c r="G1412">
        <v>20170119</v>
      </c>
      <c r="H1412">
        <v>20170119</v>
      </c>
      <c r="I1412" t="s">
        <v>33</v>
      </c>
      <c r="L1412" t="s">
        <v>34</v>
      </c>
      <c r="M1412" t="s">
        <v>34</v>
      </c>
      <c r="N1412" t="s">
        <v>35</v>
      </c>
      <c r="O1412" t="s">
        <v>35</v>
      </c>
      <c r="P1412" t="s">
        <v>35</v>
      </c>
      <c r="Q1412" t="s">
        <v>35</v>
      </c>
      <c r="R1412" t="s">
        <v>35</v>
      </c>
      <c r="S1412" t="s">
        <v>34</v>
      </c>
      <c r="AD1412">
        <v>20170124</v>
      </c>
      <c r="AF1412" t="str">
        <f>IFERROR(VLOOKUP(RIGHT(TblFeedFile1[[#This Row],[Leave Type ]],6),LkupPayType[],2,FALSE),"TBD")</f>
        <v>TBD</v>
      </c>
      <c r="AG1412" t="str">
        <f>IFERROR(VLOOKUP(TblFeedFile1[[#This Row],[ Report Number ]],LkupPayrollCycle[],2,FALSE),"TBD")</f>
        <v>Bi-Weekly</v>
      </c>
      <c r="AH1412" t="str">
        <f>IF(TblFeedFile1[[#This Row],[Return to Work Date ]]="","","Y")</f>
        <v/>
      </c>
    </row>
    <row r="1413" spans="1:34" x14ac:dyDescent="0.25">
      <c r="A1413" t="s">
        <v>37</v>
      </c>
      <c r="B1413">
        <v>314304</v>
      </c>
      <c r="C1413">
        <v>29242800</v>
      </c>
      <c r="D1413" s="1" t="s">
        <v>1722</v>
      </c>
      <c r="E1413" t="s">
        <v>1537</v>
      </c>
      <c r="F1413" t="s">
        <v>495</v>
      </c>
      <c r="G1413">
        <v>20170124</v>
      </c>
      <c r="H1413">
        <v>20170124</v>
      </c>
      <c r="I1413" t="s">
        <v>33</v>
      </c>
      <c r="L1413" t="s">
        <v>34</v>
      </c>
      <c r="M1413" t="s">
        <v>34</v>
      </c>
      <c r="N1413" t="s">
        <v>35</v>
      </c>
      <c r="O1413" t="s">
        <v>35</v>
      </c>
      <c r="P1413" t="s">
        <v>35</v>
      </c>
      <c r="Q1413" t="s">
        <v>35</v>
      </c>
      <c r="R1413" t="s">
        <v>35</v>
      </c>
      <c r="S1413" t="s">
        <v>34</v>
      </c>
      <c r="AC1413" t="s">
        <v>35</v>
      </c>
      <c r="AD1413">
        <v>20170124</v>
      </c>
      <c r="AF1413" t="str">
        <f>IFERROR(VLOOKUP(RIGHT(TblFeedFile1[[#This Row],[Leave Type ]],6),LkupPayType[],2,FALSE),"TBD")</f>
        <v>TBD</v>
      </c>
      <c r="AG1413" t="str">
        <f>IFERROR(VLOOKUP(TblFeedFile1[[#This Row],[ Report Number ]],LkupPayrollCycle[],2,FALSE),"TBD")</f>
        <v>Bi-Weekly</v>
      </c>
      <c r="AH1413" t="str">
        <f>IF(TblFeedFile1[[#This Row],[Return to Work Date ]]="","","Y")</f>
        <v/>
      </c>
    </row>
    <row r="1414" spans="1:34" x14ac:dyDescent="0.25">
      <c r="A1414" t="s">
        <v>29</v>
      </c>
      <c r="B1414">
        <v>314304</v>
      </c>
      <c r="C1414">
        <v>29251953</v>
      </c>
      <c r="D1414" s="1">
        <v>521701198622</v>
      </c>
      <c r="E1414" t="s">
        <v>1723</v>
      </c>
      <c r="F1414" t="s">
        <v>93</v>
      </c>
      <c r="G1414">
        <v>20170110</v>
      </c>
      <c r="H1414">
        <v>20170627</v>
      </c>
      <c r="I1414" t="s">
        <v>40</v>
      </c>
      <c r="L1414" t="s">
        <v>34</v>
      </c>
      <c r="M1414" t="s">
        <v>34</v>
      </c>
      <c r="N1414" t="s">
        <v>35</v>
      </c>
      <c r="O1414" t="s">
        <v>35</v>
      </c>
      <c r="P1414" t="s">
        <v>35</v>
      </c>
      <c r="Q1414" t="s">
        <v>35</v>
      </c>
      <c r="R1414" t="s">
        <v>35</v>
      </c>
      <c r="S1414" t="s">
        <v>34</v>
      </c>
      <c r="AD1414">
        <v>20170124</v>
      </c>
      <c r="AF1414" t="str">
        <f>IFERROR(VLOOKUP(RIGHT(TblFeedFile1[[#This Row],[Leave Type ]],6),LkupPayType[],2,FALSE),"TBD")</f>
        <v>TBD</v>
      </c>
      <c r="AG1414" t="str">
        <f>IFERROR(VLOOKUP(TblFeedFile1[[#This Row],[ Report Number ]],LkupPayrollCycle[],2,FALSE),"TBD")</f>
        <v>Bi-Weekly</v>
      </c>
      <c r="AH1414" t="str">
        <f>IF(TblFeedFile1[[#This Row],[Return to Work Date ]]="","","Y")</f>
        <v/>
      </c>
    </row>
    <row r="1415" spans="1:34" x14ac:dyDescent="0.25">
      <c r="A1415" t="s">
        <v>37</v>
      </c>
      <c r="B1415">
        <v>314304</v>
      </c>
      <c r="C1415">
        <v>29251953</v>
      </c>
      <c r="D1415" s="1" t="s">
        <v>1724</v>
      </c>
      <c r="E1415" t="s">
        <v>1723</v>
      </c>
      <c r="F1415" t="s">
        <v>93</v>
      </c>
      <c r="G1415">
        <v>20170110</v>
      </c>
      <c r="H1415">
        <v>20170627</v>
      </c>
      <c r="I1415" t="s">
        <v>36</v>
      </c>
      <c r="L1415" t="s">
        <v>34</v>
      </c>
      <c r="M1415" t="s">
        <v>34</v>
      </c>
      <c r="N1415" t="s">
        <v>35</v>
      </c>
      <c r="O1415" t="s">
        <v>35</v>
      </c>
      <c r="P1415" t="s">
        <v>35</v>
      </c>
      <c r="Q1415" t="s">
        <v>35</v>
      </c>
      <c r="R1415" t="s">
        <v>35</v>
      </c>
      <c r="S1415" t="s">
        <v>34</v>
      </c>
      <c r="AD1415">
        <v>20170124</v>
      </c>
      <c r="AF1415" t="str">
        <f>IFERROR(VLOOKUP(RIGHT(TblFeedFile1[[#This Row],[Leave Type ]],6),LkupPayType[],2,FALSE),"TBD")</f>
        <v>TBD</v>
      </c>
      <c r="AG1415" t="str">
        <f>IFERROR(VLOOKUP(TblFeedFile1[[#This Row],[ Report Number ]],LkupPayrollCycle[],2,FALSE),"TBD")</f>
        <v>Bi-Weekly</v>
      </c>
      <c r="AH1415" t="str">
        <f>IF(TblFeedFile1[[#This Row],[Return to Work Date ]]="","","Y")</f>
        <v/>
      </c>
    </row>
    <row r="1416" spans="1:34" x14ac:dyDescent="0.25">
      <c r="A1416" t="s">
        <v>37</v>
      </c>
      <c r="B1416">
        <v>314301</v>
      </c>
      <c r="C1416">
        <v>29254686</v>
      </c>
      <c r="D1416" s="1">
        <v>521701238162</v>
      </c>
      <c r="E1416" t="s">
        <v>107</v>
      </c>
      <c r="F1416" t="s">
        <v>1725</v>
      </c>
      <c r="G1416">
        <v>20170124</v>
      </c>
      <c r="H1416">
        <v>20170228</v>
      </c>
      <c r="I1416" t="s">
        <v>53</v>
      </c>
      <c r="L1416" t="s">
        <v>34</v>
      </c>
      <c r="M1416" t="s">
        <v>34</v>
      </c>
      <c r="N1416" t="s">
        <v>35</v>
      </c>
      <c r="O1416" t="s">
        <v>35</v>
      </c>
      <c r="P1416" t="s">
        <v>35</v>
      </c>
      <c r="Q1416" t="s">
        <v>35</v>
      </c>
      <c r="R1416" t="s">
        <v>35</v>
      </c>
      <c r="S1416" t="s">
        <v>34</v>
      </c>
      <c r="AD1416">
        <v>20170124</v>
      </c>
      <c r="AF1416" t="str">
        <f>IFERROR(VLOOKUP(RIGHT(TblFeedFile1[[#This Row],[Leave Type ]],6),LkupPayType[],2,FALSE),"TBD")</f>
        <v>TBD</v>
      </c>
      <c r="AG1416" t="str">
        <f>IFERROR(VLOOKUP(TblFeedFile1[[#This Row],[ Report Number ]],LkupPayrollCycle[],2,FALSE),"TBD")</f>
        <v>Semi-Monthly</v>
      </c>
      <c r="AH1416" t="str">
        <f>IF(TblFeedFile1[[#This Row],[Return to Work Date ]]="","","Y")</f>
        <v/>
      </c>
    </row>
    <row r="1417" spans="1:34" x14ac:dyDescent="0.25">
      <c r="A1417" t="s">
        <v>37</v>
      </c>
      <c r="B1417">
        <v>314301</v>
      </c>
      <c r="C1417">
        <v>29254686</v>
      </c>
      <c r="D1417" s="1">
        <v>521701238162</v>
      </c>
      <c r="E1417" t="s">
        <v>107</v>
      </c>
      <c r="F1417" t="s">
        <v>1725</v>
      </c>
      <c r="G1417">
        <v>20170131</v>
      </c>
      <c r="H1417">
        <v>20170228</v>
      </c>
      <c r="I1417" t="s">
        <v>40</v>
      </c>
      <c r="L1417" t="s">
        <v>34</v>
      </c>
      <c r="M1417" t="s">
        <v>34</v>
      </c>
      <c r="N1417" t="s">
        <v>35</v>
      </c>
      <c r="O1417" t="s">
        <v>35</v>
      </c>
      <c r="P1417" t="s">
        <v>35</v>
      </c>
      <c r="Q1417" t="s">
        <v>35</v>
      </c>
      <c r="R1417" t="s">
        <v>35</v>
      </c>
      <c r="S1417" t="s">
        <v>34</v>
      </c>
      <c r="AD1417">
        <v>20170124</v>
      </c>
      <c r="AF1417" t="str">
        <f>IFERROR(VLOOKUP(RIGHT(TblFeedFile1[[#This Row],[Leave Type ]],6),LkupPayType[],2,FALSE),"TBD")</f>
        <v>TBD</v>
      </c>
      <c r="AG1417" t="str">
        <f>IFERROR(VLOOKUP(TblFeedFile1[[#This Row],[ Report Number ]],LkupPayrollCycle[],2,FALSE),"TBD")</f>
        <v>Semi-Monthly</v>
      </c>
      <c r="AH1417" t="str">
        <f>IF(TblFeedFile1[[#This Row],[Return to Work Date ]]="","","Y")</f>
        <v/>
      </c>
    </row>
    <row r="1418" spans="1:34" x14ac:dyDescent="0.25">
      <c r="A1418" t="s">
        <v>29</v>
      </c>
      <c r="B1418">
        <v>314304</v>
      </c>
      <c r="C1418">
        <v>29272905</v>
      </c>
      <c r="D1418" s="1" t="s">
        <v>1726</v>
      </c>
      <c r="E1418" t="s">
        <v>1727</v>
      </c>
      <c r="F1418" t="s">
        <v>1426</v>
      </c>
      <c r="G1418">
        <v>20161022</v>
      </c>
      <c r="H1418">
        <v>20180422</v>
      </c>
      <c r="I1418" t="s">
        <v>36</v>
      </c>
      <c r="L1418" t="s">
        <v>34</v>
      </c>
      <c r="M1418" t="s">
        <v>34</v>
      </c>
      <c r="N1418" t="s">
        <v>35</v>
      </c>
      <c r="O1418" t="s">
        <v>35</v>
      </c>
      <c r="P1418" t="s">
        <v>35</v>
      </c>
      <c r="Q1418" t="s">
        <v>35</v>
      </c>
      <c r="R1418" t="s">
        <v>35</v>
      </c>
      <c r="S1418" t="s">
        <v>34</v>
      </c>
      <c r="AC1418" t="s">
        <v>35</v>
      </c>
      <c r="AD1418">
        <v>20170124</v>
      </c>
      <c r="AF1418" t="str">
        <f>IFERROR(VLOOKUP(RIGHT(TblFeedFile1[[#This Row],[Leave Type ]],6),LkupPayType[],2,FALSE),"TBD")</f>
        <v>TBD</v>
      </c>
      <c r="AG1418" t="str">
        <f>IFERROR(VLOOKUP(TblFeedFile1[[#This Row],[ Report Number ]],LkupPayrollCycle[],2,FALSE),"TBD")</f>
        <v>Bi-Weekly</v>
      </c>
      <c r="AH1418" t="str">
        <f>IF(TblFeedFile1[[#This Row],[Return to Work Date ]]="","","Y")</f>
        <v/>
      </c>
    </row>
    <row r="1419" spans="1:34" x14ac:dyDescent="0.25">
      <c r="A1419" t="s">
        <v>37</v>
      </c>
      <c r="B1419">
        <v>314304</v>
      </c>
      <c r="C1419">
        <v>29272905</v>
      </c>
      <c r="D1419" s="1" t="s">
        <v>1726</v>
      </c>
      <c r="E1419" t="s">
        <v>1727</v>
      </c>
      <c r="F1419" t="s">
        <v>1426</v>
      </c>
      <c r="G1419">
        <v>20161022</v>
      </c>
      <c r="H1419">
        <v>20180421</v>
      </c>
      <c r="I1419" t="s">
        <v>36</v>
      </c>
      <c r="L1419" t="s">
        <v>34</v>
      </c>
      <c r="M1419" t="s">
        <v>34</v>
      </c>
      <c r="N1419" t="s">
        <v>35</v>
      </c>
      <c r="O1419" t="s">
        <v>35</v>
      </c>
      <c r="P1419" t="s">
        <v>35</v>
      </c>
      <c r="Q1419" t="s">
        <v>35</v>
      </c>
      <c r="R1419" t="s">
        <v>35</v>
      </c>
      <c r="S1419" t="s">
        <v>34</v>
      </c>
      <c r="AC1419" t="s">
        <v>35</v>
      </c>
      <c r="AD1419">
        <v>20170124</v>
      </c>
      <c r="AF1419" t="str">
        <f>IFERROR(VLOOKUP(RIGHT(TblFeedFile1[[#This Row],[Leave Type ]],6),LkupPayType[],2,FALSE),"TBD")</f>
        <v>TBD</v>
      </c>
      <c r="AG1419" t="str">
        <f>IFERROR(VLOOKUP(TblFeedFile1[[#This Row],[ Report Number ]],LkupPayrollCycle[],2,FALSE),"TBD")</f>
        <v>Bi-Weekly</v>
      </c>
      <c r="AH1419" t="str">
        <f>IF(TblFeedFile1[[#This Row],[Return to Work Date ]]="","","Y")</f>
        <v/>
      </c>
    </row>
    <row r="1420" spans="1:34" x14ac:dyDescent="0.25">
      <c r="A1420" t="s">
        <v>29</v>
      </c>
      <c r="B1420">
        <v>314304</v>
      </c>
      <c r="C1420">
        <v>29279403</v>
      </c>
      <c r="D1420" s="1" t="s">
        <v>1728</v>
      </c>
      <c r="E1420" t="s">
        <v>1729</v>
      </c>
      <c r="F1420" t="s">
        <v>1730</v>
      </c>
      <c r="G1420">
        <v>20170117</v>
      </c>
      <c r="H1420">
        <v>20170117</v>
      </c>
      <c r="I1420" t="s">
        <v>33</v>
      </c>
      <c r="L1420" t="s">
        <v>34</v>
      </c>
      <c r="M1420" t="s">
        <v>34</v>
      </c>
      <c r="N1420" t="s">
        <v>35</v>
      </c>
      <c r="O1420" t="s">
        <v>35</v>
      </c>
      <c r="P1420" t="s">
        <v>35</v>
      </c>
      <c r="Q1420" t="s">
        <v>35</v>
      </c>
      <c r="R1420" t="s">
        <v>35</v>
      </c>
      <c r="S1420" t="s">
        <v>34</v>
      </c>
      <c r="AD1420">
        <v>20170124</v>
      </c>
      <c r="AF1420" t="str">
        <f>IFERROR(VLOOKUP(RIGHT(TblFeedFile1[[#This Row],[Leave Type ]],6),LkupPayType[],2,FALSE),"TBD")</f>
        <v>TBD</v>
      </c>
      <c r="AG1420" t="str">
        <f>IFERROR(VLOOKUP(TblFeedFile1[[#This Row],[ Report Number ]],LkupPayrollCycle[],2,FALSE),"TBD")</f>
        <v>Bi-Weekly</v>
      </c>
      <c r="AH1420" t="str">
        <f>IF(TblFeedFile1[[#This Row],[Return to Work Date ]]="","","Y")</f>
        <v/>
      </c>
    </row>
    <row r="1421" spans="1:34" x14ac:dyDescent="0.25">
      <c r="A1421" t="s">
        <v>29</v>
      </c>
      <c r="B1421">
        <v>314304</v>
      </c>
      <c r="C1421">
        <v>29279403</v>
      </c>
      <c r="D1421" s="1">
        <v>561701098686</v>
      </c>
      <c r="E1421" t="s">
        <v>1729</v>
      </c>
      <c r="F1421" t="s">
        <v>1730</v>
      </c>
      <c r="G1421">
        <v>20170111</v>
      </c>
      <c r="H1421">
        <v>20170126</v>
      </c>
      <c r="I1421" t="s">
        <v>40</v>
      </c>
      <c r="L1421" t="s">
        <v>34</v>
      </c>
      <c r="M1421" t="s">
        <v>34</v>
      </c>
      <c r="N1421" t="s">
        <v>35</v>
      </c>
      <c r="O1421" t="s">
        <v>35</v>
      </c>
      <c r="P1421" t="s">
        <v>35</v>
      </c>
      <c r="Q1421" t="s">
        <v>35</v>
      </c>
      <c r="R1421" t="s">
        <v>35</v>
      </c>
      <c r="S1421" t="s">
        <v>34</v>
      </c>
      <c r="AD1421">
        <v>20170124</v>
      </c>
      <c r="AF1421" t="str">
        <f>IFERROR(VLOOKUP(RIGHT(TblFeedFile1[[#This Row],[Leave Type ]],6),LkupPayType[],2,FALSE),"TBD")</f>
        <v>TBD</v>
      </c>
      <c r="AG1421" t="str">
        <f>IFERROR(VLOOKUP(TblFeedFile1[[#This Row],[ Report Number ]],LkupPayrollCycle[],2,FALSE),"TBD")</f>
        <v>Bi-Weekly</v>
      </c>
      <c r="AH1421" t="str">
        <f>IF(TblFeedFile1[[#This Row],[Return to Work Date ]]="","","Y")</f>
        <v/>
      </c>
    </row>
    <row r="1422" spans="1:34" x14ac:dyDescent="0.25">
      <c r="A1422" t="s">
        <v>37</v>
      </c>
      <c r="B1422">
        <v>314304</v>
      </c>
      <c r="C1422">
        <v>29279403</v>
      </c>
      <c r="D1422" s="1">
        <v>561701098686</v>
      </c>
      <c r="E1422" t="s">
        <v>1729</v>
      </c>
      <c r="F1422" t="s">
        <v>1730</v>
      </c>
      <c r="G1422">
        <v>20170111</v>
      </c>
      <c r="H1422">
        <v>20170130</v>
      </c>
      <c r="I1422" t="s">
        <v>40</v>
      </c>
      <c r="L1422" t="s">
        <v>34</v>
      </c>
      <c r="M1422" t="s">
        <v>34</v>
      </c>
      <c r="N1422" t="s">
        <v>35</v>
      </c>
      <c r="O1422" t="s">
        <v>35</v>
      </c>
      <c r="P1422" t="s">
        <v>35</v>
      </c>
      <c r="Q1422" t="s">
        <v>35</v>
      </c>
      <c r="R1422" t="s">
        <v>35</v>
      </c>
      <c r="S1422" t="s">
        <v>34</v>
      </c>
      <c r="AD1422">
        <v>20170124</v>
      </c>
      <c r="AF1422" t="str">
        <f>IFERROR(VLOOKUP(RIGHT(TblFeedFile1[[#This Row],[Leave Type ]],6),LkupPayType[],2,FALSE),"TBD")</f>
        <v>TBD</v>
      </c>
      <c r="AG1422" t="str">
        <f>IFERROR(VLOOKUP(TblFeedFile1[[#This Row],[ Report Number ]],LkupPayrollCycle[],2,FALSE),"TBD")</f>
        <v>Bi-Weekly</v>
      </c>
      <c r="AH1422" t="str">
        <f>IF(TblFeedFile1[[#This Row],[Return to Work Date ]]="","","Y")</f>
        <v/>
      </c>
    </row>
    <row r="1423" spans="1:34" x14ac:dyDescent="0.25">
      <c r="A1423" t="s">
        <v>29</v>
      </c>
      <c r="B1423">
        <v>314304</v>
      </c>
      <c r="C1423">
        <v>29285998</v>
      </c>
      <c r="D1423" s="1" t="s">
        <v>1731</v>
      </c>
      <c r="E1423" t="s">
        <v>1732</v>
      </c>
      <c r="F1423" t="s">
        <v>1733</v>
      </c>
      <c r="G1423">
        <v>20170107</v>
      </c>
      <c r="H1423">
        <v>20170107</v>
      </c>
      <c r="I1423" t="s">
        <v>33</v>
      </c>
      <c r="L1423" t="s">
        <v>34</v>
      </c>
      <c r="M1423" t="s">
        <v>34</v>
      </c>
      <c r="N1423" t="s">
        <v>35</v>
      </c>
      <c r="O1423" t="s">
        <v>35</v>
      </c>
      <c r="P1423" t="s">
        <v>35</v>
      </c>
      <c r="Q1423" t="s">
        <v>35</v>
      </c>
      <c r="R1423" t="s">
        <v>35</v>
      </c>
      <c r="S1423" t="s">
        <v>34</v>
      </c>
      <c r="AC1423" t="s">
        <v>35</v>
      </c>
      <c r="AD1423">
        <v>20170124</v>
      </c>
      <c r="AF1423" t="str">
        <f>IFERROR(VLOOKUP(RIGHT(TblFeedFile1[[#This Row],[Leave Type ]],6),LkupPayType[],2,FALSE),"TBD")</f>
        <v>TBD</v>
      </c>
      <c r="AG1423" t="str">
        <f>IFERROR(VLOOKUP(TblFeedFile1[[#This Row],[ Report Number ]],LkupPayrollCycle[],2,FALSE),"TBD")</f>
        <v>Bi-Weekly</v>
      </c>
      <c r="AH1423" t="str">
        <f>IF(TblFeedFile1[[#This Row],[Return to Work Date ]]="","","Y")</f>
        <v/>
      </c>
    </row>
    <row r="1424" spans="1:34" x14ac:dyDescent="0.25">
      <c r="A1424" t="s">
        <v>29</v>
      </c>
      <c r="B1424">
        <v>314304</v>
      </c>
      <c r="C1424">
        <v>29285998</v>
      </c>
      <c r="D1424" s="1" t="s">
        <v>1731</v>
      </c>
      <c r="E1424" t="s">
        <v>1732</v>
      </c>
      <c r="F1424" t="s">
        <v>1733</v>
      </c>
      <c r="G1424">
        <v>20161024</v>
      </c>
      <c r="H1424">
        <v>20170106</v>
      </c>
      <c r="I1424" t="s">
        <v>36</v>
      </c>
      <c r="L1424" t="s">
        <v>34</v>
      </c>
      <c r="M1424" t="s">
        <v>34</v>
      </c>
      <c r="N1424" t="s">
        <v>35</v>
      </c>
      <c r="O1424" t="s">
        <v>35</v>
      </c>
      <c r="P1424" t="s">
        <v>35</v>
      </c>
      <c r="Q1424" t="s">
        <v>35</v>
      </c>
      <c r="R1424" t="s">
        <v>35</v>
      </c>
      <c r="S1424" t="s">
        <v>34</v>
      </c>
      <c r="AC1424" t="s">
        <v>35</v>
      </c>
      <c r="AD1424">
        <v>20170124</v>
      </c>
      <c r="AF1424" t="str">
        <f>IFERROR(VLOOKUP(RIGHT(TblFeedFile1[[#This Row],[Leave Type ]],6),LkupPayType[],2,FALSE),"TBD")</f>
        <v>TBD</v>
      </c>
      <c r="AG1424" t="str">
        <f>IFERROR(VLOOKUP(TblFeedFile1[[#This Row],[ Report Number ]],LkupPayrollCycle[],2,FALSE),"TBD")</f>
        <v>Bi-Weekly</v>
      </c>
      <c r="AH1424" t="str">
        <f>IF(TblFeedFile1[[#This Row],[Return to Work Date ]]="","","Y")</f>
        <v/>
      </c>
    </row>
    <row r="1425" spans="1:34" x14ac:dyDescent="0.25">
      <c r="A1425" t="s">
        <v>37</v>
      </c>
      <c r="B1425">
        <v>314304</v>
      </c>
      <c r="C1425">
        <v>29285998</v>
      </c>
      <c r="D1425" s="1" t="s">
        <v>1731</v>
      </c>
      <c r="E1425" t="s">
        <v>1732</v>
      </c>
      <c r="F1425" t="s">
        <v>1733</v>
      </c>
      <c r="G1425">
        <v>20161024</v>
      </c>
      <c r="H1425">
        <v>20161218</v>
      </c>
      <c r="I1425" t="s">
        <v>36</v>
      </c>
      <c r="L1425" t="s">
        <v>34</v>
      </c>
      <c r="M1425" t="s">
        <v>34</v>
      </c>
      <c r="N1425" t="s">
        <v>35</v>
      </c>
      <c r="O1425" t="s">
        <v>35</v>
      </c>
      <c r="P1425" t="s">
        <v>35</v>
      </c>
      <c r="Q1425" t="s">
        <v>35</v>
      </c>
      <c r="R1425" t="s">
        <v>35</v>
      </c>
      <c r="S1425" t="s">
        <v>34</v>
      </c>
      <c r="AC1425" t="s">
        <v>35</v>
      </c>
      <c r="AD1425">
        <v>20170124</v>
      </c>
      <c r="AF1425" t="str">
        <f>IFERROR(VLOOKUP(RIGHT(TblFeedFile1[[#This Row],[Leave Type ]],6),LkupPayType[],2,FALSE),"TBD")</f>
        <v>TBD</v>
      </c>
      <c r="AG1425" t="str">
        <f>IFERROR(VLOOKUP(TblFeedFile1[[#This Row],[ Report Number ]],LkupPayrollCycle[],2,FALSE),"TBD")</f>
        <v>Bi-Weekly</v>
      </c>
      <c r="AH1425" t="str">
        <f>IF(TblFeedFile1[[#This Row],[Return to Work Date ]]="","","Y")</f>
        <v/>
      </c>
    </row>
    <row r="1426" spans="1:34" x14ac:dyDescent="0.25">
      <c r="A1426" t="s">
        <v>37</v>
      </c>
      <c r="B1426">
        <v>314304</v>
      </c>
      <c r="C1426">
        <v>29285998</v>
      </c>
      <c r="D1426" s="1" t="s">
        <v>1731</v>
      </c>
      <c r="E1426" t="s">
        <v>1732</v>
      </c>
      <c r="F1426" t="s">
        <v>1733</v>
      </c>
      <c r="G1426">
        <v>20161219</v>
      </c>
      <c r="H1426">
        <v>20161219</v>
      </c>
      <c r="I1426" t="s">
        <v>33</v>
      </c>
      <c r="L1426" t="s">
        <v>34</v>
      </c>
      <c r="M1426" t="s">
        <v>34</v>
      </c>
      <c r="N1426" t="s">
        <v>35</v>
      </c>
      <c r="O1426" t="s">
        <v>35</v>
      </c>
      <c r="P1426" t="s">
        <v>35</v>
      </c>
      <c r="Q1426" t="s">
        <v>35</v>
      </c>
      <c r="R1426" t="s">
        <v>35</v>
      </c>
      <c r="S1426" t="s">
        <v>34</v>
      </c>
      <c r="AC1426" t="s">
        <v>35</v>
      </c>
      <c r="AD1426">
        <v>20170124</v>
      </c>
      <c r="AF1426" t="str">
        <f>IFERROR(VLOOKUP(RIGHT(TblFeedFile1[[#This Row],[Leave Type ]],6),LkupPayType[],2,FALSE),"TBD")</f>
        <v>TBD</v>
      </c>
      <c r="AG1426" t="str">
        <f>IFERROR(VLOOKUP(TblFeedFile1[[#This Row],[ Report Number ]],LkupPayrollCycle[],2,FALSE),"TBD")</f>
        <v>Bi-Weekly</v>
      </c>
      <c r="AH1426" t="str">
        <f>IF(TblFeedFile1[[#This Row],[Return to Work Date ]]="","","Y")</f>
        <v/>
      </c>
    </row>
    <row r="1427" spans="1:34" x14ac:dyDescent="0.25">
      <c r="A1427" t="s">
        <v>29</v>
      </c>
      <c r="B1427">
        <v>314301</v>
      </c>
      <c r="C1427">
        <v>29289146</v>
      </c>
      <c r="D1427" s="1">
        <v>551701098885</v>
      </c>
      <c r="E1427" t="s">
        <v>1734</v>
      </c>
      <c r="F1427" t="s">
        <v>1735</v>
      </c>
      <c r="G1427">
        <v>20170102</v>
      </c>
      <c r="H1427">
        <v>20170707</v>
      </c>
      <c r="I1427" t="s">
        <v>53</v>
      </c>
      <c r="L1427" t="s">
        <v>34</v>
      </c>
      <c r="M1427" t="s">
        <v>34</v>
      </c>
      <c r="N1427" t="s">
        <v>35</v>
      </c>
      <c r="O1427" t="s">
        <v>35</v>
      </c>
      <c r="P1427" t="s">
        <v>35</v>
      </c>
      <c r="Q1427" t="s">
        <v>35</v>
      </c>
      <c r="R1427" t="s">
        <v>35</v>
      </c>
      <c r="S1427" t="s">
        <v>34</v>
      </c>
      <c r="AD1427">
        <v>20170124</v>
      </c>
      <c r="AF1427" t="str">
        <f>IFERROR(VLOOKUP(RIGHT(TblFeedFile1[[#This Row],[Leave Type ]],6),LkupPayType[],2,FALSE),"TBD")</f>
        <v>TBD</v>
      </c>
      <c r="AG1427" t="str">
        <f>IFERROR(VLOOKUP(TblFeedFile1[[#This Row],[ Report Number ]],LkupPayrollCycle[],2,FALSE),"TBD")</f>
        <v>Semi-Monthly</v>
      </c>
      <c r="AH1427" t="str">
        <f>IF(TblFeedFile1[[#This Row],[Return to Work Date ]]="","","Y")</f>
        <v/>
      </c>
    </row>
    <row r="1428" spans="1:34" x14ac:dyDescent="0.25">
      <c r="A1428" t="s">
        <v>37</v>
      </c>
      <c r="B1428">
        <v>314301</v>
      </c>
      <c r="C1428">
        <v>29312726</v>
      </c>
      <c r="D1428" s="1" t="s">
        <v>1736</v>
      </c>
      <c r="E1428" t="s">
        <v>1737</v>
      </c>
      <c r="F1428" t="s">
        <v>1572</v>
      </c>
      <c r="G1428">
        <v>20170124</v>
      </c>
      <c r="H1428">
        <v>20170218</v>
      </c>
      <c r="I1428" t="s">
        <v>36</v>
      </c>
      <c r="L1428" t="s">
        <v>35</v>
      </c>
      <c r="AD1428">
        <v>20170124</v>
      </c>
      <c r="AF1428" t="str">
        <f>IFERROR(VLOOKUP(RIGHT(TblFeedFile1[[#This Row],[Leave Type ]],6),LkupPayType[],2,FALSE),"TBD")</f>
        <v>TBD</v>
      </c>
      <c r="AG1428" t="str">
        <f>IFERROR(VLOOKUP(TblFeedFile1[[#This Row],[ Report Number ]],LkupPayrollCycle[],2,FALSE),"TBD")</f>
        <v>Semi-Monthly</v>
      </c>
      <c r="AH1428" t="str">
        <f>IF(TblFeedFile1[[#This Row],[Return to Work Date ]]="","","Y")</f>
        <v/>
      </c>
    </row>
    <row r="1429" spans="1:34" x14ac:dyDescent="0.25">
      <c r="A1429" t="s">
        <v>29</v>
      </c>
      <c r="B1429">
        <v>314304</v>
      </c>
      <c r="C1429">
        <v>29327604</v>
      </c>
      <c r="D1429" s="1" t="s">
        <v>1738</v>
      </c>
      <c r="E1429" t="s">
        <v>230</v>
      </c>
      <c r="F1429" t="s">
        <v>1739</v>
      </c>
      <c r="G1429">
        <v>20160914</v>
      </c>
      <c r="H1429">
        <v>20170131</v>
      </c>
      <c r="I1429" t="s">
        <v>303</v>
      </c>
      <c r="L1429" t="s">
        <v>34</v>
      </c>
      <c r="M1429" t="s">
        <v>34</v>
      </c>
      <c r="N1429" t="s">
        <v>35</v>
      </c>
      <c r="O1429" t="s">
        <v>35</v>
      </c>
      <c r="P1429" t="s">
        <v>35</v>
      </c>
      <c r="Q1429" t="s">
        <v>35</v>
      </c>
      <c r="R1429" t="s">
        <v>35</v>
      </c>
      <c r="S1429" t="s">
        <v>34</v>
      </c>
      <c r="AC1429" t="s">
        <v>35</v>
      </c>
      <c r="AD1429">
        <v>20170124</v>
      </c>
      <c r="AF1429" t="str">
        <f>IFERROR(VLOOKUP(RIGHT(TblFeedFile1[[#This Row],[Leave Type ]],6),LkupPayType[],2,FALSE),"TBD")</f>
        <v>TBD</v>
      </c>
      <c r="AG1429" t="str">
        <f>IFERROR(VLOOKUP(TblFeedFile1[[#This Row],[ Report Number ]],LkupPayrollCycle[],2,FALSE),"TBD")</f>
        <v>Bi-Weekly</v>
      </c>
      <c r="AH1429" t="str">
        <f>IF(TblFeedFile1[[#This Row],[Return to Work Date ]]="","","Y")</f>
        <v/>
      </c>
    </row>
    <row r="1430" spans="1:34" x14ac:dyDescent="0.25">
      <c r="A1430" t="s">
        <v>29</v>
      </c>
      <c r="B1430">
        <v>314304</v>
      </c>
      <c r="C1430">
        <v>29327604</v>
      </c>
      <c r="D1430" s="1" t="s">
        <v>1738</v>
      </c>
      <c r="E1430" t="s">
        <v>230</v>
      </c>
      <c r="F1430" t="s">
        <v>1739</v>
      </c>
      <c r="G1430">
        <v>20160815</v>
      </c>
      <c r="H1430">
        <v>20170131</v>
      </c>
      <c r="I1430" t="s">
        <v>423</v>
      </c>
      <c r="L1430" t="s">
        <v>34</v>
      </c>
      <c r="M1430" t="s">
        <v>34</v>
      </c>
      <c r="N1430" t="s">
        <v>35</v>
      </c>
      <c r="O1430" t="s">
        <v>35</v>
      </c>
      <c r="P1430" t="s">
        <v>35</v>
      </c>
      <c r="Q1430" t="s">
        <v>35</v>
      </c>
      <c r="R1430" t="s">
        <v>35</v>
      </c>
      <c r="S1430" t="s">
        <v>34</v>
      </c>
      <c r="AC1430" t="s">
        <v>35</v>
      </c>
      <c r="AD1430">
        <v>20170124</v>
      </c>
      <c r="AF1430" t="str">
        <f>IFERROR(VLOOKUP(RIGHT(TblFeedFile1[[#This Row],[Leave Type ]],6),LkupPayType[],2,FALSE),"TBD")</f>
        <v>TBD</v>
      </c>
      <c r="AG1430" t="str">
        <f>IFERROR(VLOOKUP(TblFeedFile1[[#This Row],[ Report Number ]],LkupPayrollCycle[],2,FALSE),"TBD")</f>
        <v>Bi-Weekly</v>
      </c>
      <c r="AH1430" t="str">
        <f>IF(TblFeedFile1[[#This Row],[Return to Work Date ]]="","","Y")</f>
        <v/>
      </c>
    </row>
    <row r="1431" spans="1:34" x14ac:dyDescent="0.25">
      <c r="A1431" t="s">
        <v>29</v>
      </c>
      <c r="B1431">
        <v>314304</v>
      </c>
      <c r="C1431">
        <v>29327604</v>
      </c>
      <c r="D1431" s="1" t="s">
        <v>1738</v>
      </c>
      <c r="E1431" t="s">
        <v>230</v>
      </c>
      <c r="F1431" t="s">
        <v>1739</v>
      </c>
      <c r="G1431">
        <v>20160815</v>
      </c>
      <c r="H1431">
        <v>20170131</v>
      </c>
      <c r="I1431" t="s">
        <v>201</v>
      </c>
      <c r="L1431" t="s">
        <v>34</v>
      </c>
      <c r="M1431" t="s">
        <v>34</v>
      </c>
      <c r="N1431" t="s">
        <v>35</v>
      </c>
      <c r="O1431" t="s">
        <v>35</v>
      </c>
      <c r="P1431" t="s">
        <v>35</v>
      </c>
      <c r="Q1431" t="s">
        <v>35</v>
      </c>
      <c r="R1431" t="s">
        <v>35</v>
      </c>
      <c r="S1431" t="s">
        <v>34</v>
      </c>
      <c r="AC1431" t="s">
        <v>35</v>
      </c>
      <c r="AD1431">
        <v>20170124</v>
      </c>
      <c r="AF1431" t="str">
        <f>IFERROR(VLOOKUP(RIGHT(TblFeedFile1[[#This Row],[Leave Type ]],6),LkupPayType[],2,FALSE),"TBD")</f>
        <v>TBD</v>
      </c>
      <c r="AG1431" t="str">
        <f>IFERROR(VLOOKUP(TblFeedFile1[[#This Row],[ Report Number ]],LkupPayrollCycle[],2,FALSE),"TBD")</f>
        <v>Bi-Weekly</v>
      </c>
      <c r="AH1431" t="str">
        <f>IF(TblFeedFile1[[#This Row],[Return to Work Date ]]="","","Y")</f>
        <v/>
      </c>
    </row>
    <row r="1432" spans="1:34" x14ac:dyDescent="0.25">
      <c r="A1432" t="s">
        <v>37</v>
      </c>
      <c r="B1432">
        <v>314304</v>
      </c>
      <c r="C1432">
        <v>29327604</v>
      </c>
      <c r="D1432" s="1" t="s">
        <v>1738</v>
      </c>
      <c r="E1432" t="s">
        <v>230</v>
      </c>
      <c r="F1432" t="s">
        <v>1739</v>
      </c>
      <c r="G1432">
        <v>20161113</v>
      </c>
      <c r="H1432">
        <v>20170131</v>
      </c>
      <c r="I1432" t="s">
        <v>423</v>
      </c>
      <c r="L1432" t="s">
        <v>34</v>
      </c>
      <c r="M1432" t="s">
        <v>34</v>
      </c>
      <c r="N1432" t="s">
        <v>35</v>
      </c>
      <c r="O1432" t="s">
        <v>35</v>
      </c>
      <c r="P1432" t="s">
        <v>35</v>
      </c>
      <c r="Q1432" t="s">
        <v>35</v>
      </c>
      <c r="R1432" t="s">
        <v>35</v>
      </c>
      <c r="S1432" t="s">
        <v>34</v>
      </c>
      <c r="AC1432" t="s">
        <v>35</v>
      </c>
      <c r="AD1432">
        <v>20170124</v>
      </c>
      <c r="AF1432" t="str">
        <f>IFERROR(VLOOKUP(RIGHT(TblFeedFile1[[#This Row],[Leave Type ]],6),LkupPayType[],2,FALSE),"TBD")</f>
        <v>TBD</v>
      </c>
      <c r="AG1432" t="str">
        <f>IFERROR(VLOOKUP(TblFeedFile1[[#This Row],[ Report Number ]],LkupPayrollCycle[],2,FALSE),"TBD")</f>
        <v>Bi-Weekly</v>
      </c>
      <c r="AH1432" t="str">
        <f>IF(TblFeedFile1[[#This Row],[Return to Work Date ]]="","","Y")</f>
        <v/>
      </c>
    </row>
    <row r="1433" spans="1:34" x14ac:dyDescent="0.25">
      <c r="A1433" t="s">
        <v>37</v>
      </c>
      <c r="B1433">
        <v>314304</v>
      </c>
      <c r="C1433">
        <v>29327604</v>
      </c>
      <c r="D1433" s="1" t="s">
        <v>1738</v>
      </c>
      <c r="E1433" t="s">
        <v>230</v>
      </c>
      <c r="F1433" t="s">
        <v>1739</v>
      </c>
      <c r="G1433">
        <v>20161213</v>
      </c>
      <c r="H1433">
        <v>20170131</v>
      </c>
      <c r="I1433" t="s">
        <v>303</v>
      </c>
      <c r="L1433" t="s">
        <v>34</v>
      </c>
      <c r="M1433" t="s">
        <v>34</v>
      </c>
      <c r="N1433" t="s">
        <v>35</v>
      </c>
      <c r="O1433" t="s">
        <v>35</v>
      </c>
      <c r="P1433" t="s">
        <v>35</v>
      </c>
      <c r="Q1433" t="s">
        <v>35</v>
      </c>
      <c r="R1433" t="s">
        <v>35</v>
      </c>
      <c r="S1433" t="s">
        <v>34</v>
      </c>
      <c r="AC1433" t="s">
        <v>35</v>
      </c>
      <c r="AD1433">
        <v>20170124</v>
      </c>
      <c r="AF1433" t="str">
        <f>IFERROR(VLOOKUP(RIGHT(TblFeedFile1[[#This Row],[Leave Type ]],6),LkupPayType[],2,FALSE),"TBD")</f>
        <v>TBD</v>
      </c>
      <c r="AG1433" t="str">
        <f>IFERROR(VLOOKUP(TblFeedFile1[[#This Row],[ Report Number ]],LkupPayrollCycle[],2,FALSE),"TBD")</f>
        <v>Bi-Weekly</v>
      </c>
      <c r="AH1433" t="str">
        <f>IF(TblFeedFile1[[#This Row],[Return to Work Date ]]="","","Y")</f>
        <v/>
      </c>
    </row>
    <row r="1434" spans="1:34" x14ac:dyDescent="0.25">
      <c r="A1434" t="s">
        <v>37</v>
      </c>
      <c r="B1434">
        <v>314304</v>
      </c>
      <c r="C1434">
        <v>29356908</v>
      </c>
      <c r="D1434" s="1">
        <v>541701068544</v>
      </c>
      <c r="E1434" t="s">
        <v>192</v>
      </c>
      <c r="F1434" t="s">
        <v>1740</v>
      </c>
      <c r="G1434">
        <v>20170123</v>
      </c>
      <c r="H1434">
        <v>20170307</v>
      </c>
      <c r="I1434" t="s">
        <v>53</v>
      </c>
      <c r="L1434" t="s">
        <v>34</v>
      </c>
      <c r="M1434" t="s">
        <v>34</v>
      </c>
      <c r="N1434" t="s">
        <v>35</v>
      </c>
      <c r="O1434" t="s">
        <v>35</v>
      </c>
      <c r="P1434" t="s">
        <v>35</v>
      </c>
      <c r="Q1434" t="s">
        <v>35</v>
      </c>
      <c r="R1434" t="s">
        <v>35</v>
      </c>
      <c r="S1434" t="s">
        <v>34</v>
      </c>
      <c r="AD1434">
        <v>20170124</v>
      </c>
      <c r="AF1434" t="str">
        <f>IFERROR(VLOOKUP(RIGHT(TblFeedFile1[[#This Row],[Leave Type ]],6),LkupPayType[],2,FALSE),"TBD")</f>
        <v>TBD</v>
      </c>
      <c r="AG1434" t="str">
        <f>IFERROR(VLOOKUP(TblFeedFile1[[#This Row],[ Report Number ]],LkupPayrollCycle[],2,FALSE),"TBD")</f>
        <v>Bi-Weekly</v>
      </c>
      <c r="AH1434" t="str">
        <f>IF(TblFeedFile1[[#This Row],[Return to Work Date ]]="","","Y")</f>
        <v/>
      </c>
    </row>
    <row r="1435" spans="1:34" x14ac:dyDescent="0.25">
      <c r="A1435" t="s">
        <v>29</v>
      </c>
      <c r="B1435">
        <v>314305</v>
      </c>
      <c r="C1435">
        <v>29359975</v>
      </c>
      <c r="D1435" s="1" t="s">
        <v>1741</v>
      </c>
      <c r="E1435" t="s">
        <v>530</v>
      </c>
      <c r="F1435" t="s">
        <v>383</v>
      </c>
      <c r="G1435">
        <v>20170109</v>
      </c>
      <c r="H1435">
        <v>20170120</v>
      </c>
      <c r="I1435" t="s">
        <v>36</v>
      </c>
      <c r="L1435" t="s">
        <v>34</v>
      </c>
      <c r="M1435" t="s">
        <v>34</v>
      </c>
      <c r="N1435" t="s">
        <v>35</v>
      </c>
      <c r="O1435" t="s">
        <v>35</v>
      </c>
      <c r="P1435" t="s">
        <v>35</v>
      </c>
      <c r="Q1435" t="s">
        <v>35</v>
      </c>
      <c r="R1435" t="s">
        <v>35</v>
      </c>
      <c r="S1435" t="s">
        <v>34</v>
      </c>
      <c r="AD1435">
        <v>20170124</v>
      </c>
      <c r="AF1435" t="str">
        <f>IFERROR(VLOOKUP(RIGHT(TblFeedFile1[[#This Row],[Leave Type ]],6),LkupPayType[],2,FALSE),"TBD")</f>
        <v>TBD</v>
      </c>
      <c r="AG1435" t="str">
        <f>IFERROR(VLOOKUP(TblFeedFile1[[#This Row],[ Report Number ]],LkupPayrollCycle[],2,FALSE),"TBD")</f>
        <v>Bi-Weekly</v>
      </c>
      <c r="AH1435" t="str">
        <f>IF(TblFeedFile1[[#This Row],[Return to Work Date ]]="","","Y")</f>
        <v/>
      </c>
    </row>
    <row r="1436" spans="1:34" x14ac:dyDescent="0.25">
      <c r="A1436" t="s">
        <v>37</v>
      </c>
      <c r="B1436">
        <v>314305</v>
      </c>
      <c r="C1436">
        <v>29359975</v>
      </c>
      <c r="D1436" s="1" t="s">
        <v>1741</v>
      </c>
      <c r="E1436" t="s">
        <v>530</v>
      </c>
      <c r="F1436" t="s">
        <v>383</v>
      </c>
      <c r="G1436">
        <v>20170124</v>
      </c>
      <c r="H1436">
        <v>20170124</v>
      </c>
      <c r="I1436" t="s">
        <v>33</v>
      </c>
      <c r="L1436" t="s">
        <v>34</v>
      </c>
      <c r="M1436" t="s">
        <v>34</v>
      </c>
      <c r="N1436" t="s">
        <v>35</v>
      </c>
      <c r="O1436" t="s">
        <v>35</v>
      </c>
      <c r="P1436" t="s">
        <v>35</v>
      </c>
      <c r="Q1436" t="s">
        <v>35</v>
      </c>
      <c r="R1436" t="s">
        <v>35</v>
      </c>
      <c r="S1436" t="s">
        <v>34</v>
      </c>
      <c r="AD1436">
        <v>20170124</v>
      </c>
      <c r="AF1436" t="str">
        <f>IFERROR(VLOOKUP(RIGHT(TblFeedFile1[[#This Row],[Leave Type ]],6),LkupPayType[],2,FALSE),"TBD")</f>
        <v>TBD</v>
      </c>
      <c r="AG1436" t="str">
        <f>IFERROR(VLOOKUP(TblFeedFile1[[#This Row],[ Report Number ]],LkupPayrollCycle[],2,FALSE),"TBD")</f>
        <v>Bi-Weekly</v>
      </c>
      <c r="AH1436" t="str">
        <f>IF(TblFeedFile1[[#This Row],[Return to Work Date ]]="","","Y")</f>
        <v/>
      </c>
    </row>
    <row r="1437" spans="1:34" x14ac:dyDescent="0.25">
      <c r="A1437" t="s">
        <v>29</v>
      </c>
      <c r="B1437">
        <v>314305</v>
      </c>
      <c r="C1437">
        <v>29365729</v>
      </c>
      <c r="D1437" s="1">
        <v>501701208938</v>
      </c>
      <c r="E1437" t="s">
        <v>1665</v>
      </c>
      <c r="F1437" t="s">
        <v>1742</v>
      </c>
      <c r="G1437">
        <v>20170118</v>
      </c>
      <c r="I1437" t="s">
        <v>53</v>
      </c>
      <c r="L1437" t="s">
        <v>34</v>
      </c>
      <c r="M1437" t="s">
        <v>34</v>
      </c>
      <c r="N1437" t="s">
        <v>35</v>
      </c>
      <c r="O1437" t="s">
        <v>35</v>
      </c>
      <c r="P1437" t="s">
        <v>35</v>
      </c>
      <c r="Q1437" t="s">
        <v>35</v>
      </c>
      <c r="R1437" t="s">
        <v>35</v>
      </c>
      <c r="S1437" t="s">
        <v>34</v>
      </c>
      <c r="AD1437">
        <v>20170124</v>
      </c>
      <c r="AF1437" t="str">
        <f>IFERROR(VLOOKUP(RIGHT(TblFeedFile1[[#This Row],[Leave Type ]],6),LkupPayType[],2,FALSE),"TBD")</f>
        <v>TBD</v>
      </c>
      <c r="AG1437" t="str">
        <f>IFERROR(VLOOKUP(TblFeedFile1[[#This Row],[ Report Number ]],LkupPayrollCycle[],2,FALSE),"TBD")</f>
        <v>Bi-Weekly</v>
      </c>
      <c r="AH1437" t="str">
        <f>IF(TblFeedFile1[[#This Row],[Return to Work Date ]]="","","Y")</f>
        <v/>
      </c>
    </row>
    <row r="1438" spans="1:34" x14ac:dyDescent="0.25">
      <c r="A1438" t="s">
        <v>37</v>
      </c>
      <c r="B1438">
        <v>314305</v>
      </c>
      <c r="C1438">
        <v>29365729</v>
      </c>
      <c r="D1438" s="1">
        <v>501701208938</v>
      </c>
      <c r="E1438" t="s">
        <v>1665</v>
      </c>
      <c r="F1438" t="s">
        <v>1742</v>
      </c>
      <c r="G1438">
        <v>20170123</v>
      </c>
      <c r="H1438">
        <v>20170228</v>
      </c>
      <c r="I1438" t="s">
        <v>53</v>
      </c>
      <c r="L1438" t="s">
        <v>34</v>
      </c>
      <c r="M1438" t="s">
        <v>34</v>
      </c>
      <c r="N1438" t="s">
        <v>35</v>
      </c>
      <c r="O1438" t="s">
        <v>35</v>
      </c>
      <c r="P1438" t="s">
        <v>35</v>
      </c>
      <c r="Q1438" t="s">
        <v>35</v>
      </c>
      <c r="R1438" t="s">
        <v>35</v>
      </c>
      <c r="S1438" t="s">
        <v>34</v>
      </c>
      <c r="AD1438">
        <v>20170124</v>
      </c>
      <c r="AF1438" t="str">
        <f>IFERROR(VLOOKUP(RIGHT(TblFeedFile1[[#This Row],[Leave Type ]],6),LkupPayType[],2,FALSE),"TBD")</f>
        <v>TBD</v>
      </c>
      <c r="AG1438" t="str">
        <f>IFERROR(VLOOKUP(TblFeedFile1[[#This Row],[ Report Number ]],LkupPayrollCycle[],2,FALSE),"TBD")</f>
        <v>Bi-Weekly</v>
      </c>
      <c r="AH1438" t="str">
        <f>IF(TblFeedFile1[[#This Row],[Return to Work Date ]]="","","Y")</f>
        <v/>
      </c>
    </row>
    <row r="1439" spans="1:34" x14ac:dyDescent="0.25">
      <c r="A1439" t="s">
        <v>37</v>
      </c>
      <c r="B1439">
        <v>314301</v>
      </c>
      <c r="C1439">
        <v>29366590</v>
      </c>
      <c r="D1439" s="1" t="s">
        <v>1743</v>
      </c>
      <c r="E1439" t="s">
        <v>687</v>
      </c>
      <c r="F1439" t="s">
        <v>623</v>
      </c>
      <c r="G1439">
        <v>20170123</v>
      </c>
      <c r="H1439">
        <v>20170407</v>
      </c>
      <c r="I1439" t="s">
        <v>185</v>
      </c>
      <c r="L1439" t="s">
        <v>34</v>
      </c>
      <c r="M1439" t="s">
        <v>34</v>
      </c>
      <c r="N1439" t="s">
        <v>35</v>
      </c>
      <c r="O1439" t="s">
        <v>35</v>
      </c>
      <c r="P1439" t="s">
        <v>35</v>
      </c>
      <c r="Q1439" t="s">
        <v>35</v>
      </c>
      <c r="R1439" t="s">
        <v>35</v>
      </c>
      <c r="S1439" t="s">
        <v>34</v>
      </c>
      <c r="AD1439">
        <v>20170124</v>
      </c>
      <c r="AF1439" t="str">
        <f>IFERROR(VLOOKUP(RIGHT(TblFeedFile1[[#This Row],[Leave Type ]],6),LkupPayType[],2,FALSE),"TBD")</f>
        <v>TBD</v>
      </c>
      <c r="AG1439" t="str">
        <f>IFERROR(VLOOKUP(TblFeedFile1[[#This Row],[ Report Number ]],LkupPayrollCycle[],2,FALSE),"TBD")</f>
        <v>Semi-Monthly</v>
      </c>
      <c r="AH1439" t="str">
        <f>IF(TblFeedFile1[[#This Row],[Return to Work Date ]]="","","Y")</f>
        <v/>
      </c>
    </row>
    <row r="1440" spans="1:34" x14ac:dyDescent="0.25">
      <c r="A1440" t="s">
        <v>29</v>
      </c>
      <c r="B1440">
        <v>314301</v>
      </c>
      <c r="C1440">
        <v>29373221</v>
      </c>
      <c r="D1440" s="1" t="s">
        <v>1744</v>
      </c>
      <c r="E1440" t="s">
        <v>1745</v>
      </c>
      <c r="F1440" t="s">
        <v>1746</v>
      </c>
      <c r="G1440">
        <v>20170123</v>
      </c>
      <c r="H1440">
        <v>20170724</v>
      </c>
      <c r="I1440" t="s">
        <v>36</v>
      </c>
      <c r="L1440" t="s">
        <v>34</v>
      </c>
      <c r="M1440" t="s">
        <v>34</v>
      </c>
      <c r="N1440" t="s">
        <v>35</v>
      </c>
      <c r="O1440" t="s">
        <v>35</v>
      </c>
      <c r="P1440" t="s">
        <v>35</v>
      </c>
      <c r="Q1440" t="s">
        <v>35</v>
      </c>
      <c r="R1440" t="s">
        <v>35</v>
      </c>
      <c r="S1440" t="s">
        <v>34</v>
      </c>
      <c r="AD1440">
        <v>20170124</v>
      </c>
      <c r="AF1440" t="str">
        <f>IFERROR(VLOOKUP(RIGHT(TblFeedFile1[[#This Row],[Leave Type ]],6),LkupPayType[],2,FALSE),"TBD")</f>
        <v>TBD</v>
      </c>
      <c r="AG1440" t="str">
        <f>IFERROR(VLOOKUP(TblFeedFile1[[#This Row],[ Report Number ]],LkupPayrollCycle[],2,FALSE),"TBD")</f>
        <v>Semi-Monthly</v>
      </c>
      <c r="AH1440" t="str">
        <f>IF(TblFeedFile1[[#This Row],[Return to Work Date ]]="","","Y")</f>
        <v/>
      </c>
    </row>
    <row r="1441" spans="1:34" x14ac:dyDescent="0.25">
      <c r="A1441" t="s">
        <v>37</v>
      </c>
      <c r="B1441">
        <v>314301</v>
      </c>
      <c r="C1441">
        <v>29373221</v>
      </c>
      <c r="D1441" s="1" t="s">
        <v>1744</v>
      </c>
      <c r="E1441" t="s">
        <v>1745</v>
      </c>
      <c r="F1441" t="s">
        <v>1746</v>
      </c>
      <c r="G1441">
        <v>20170113</v>
      </c>
      <c r="H1441">
        <v>20170505</v>
      </c>
      <c r="I1441" t="s">
        <v>78</v>
      </c>
      <c r="K1441" t="s">
        <v>79</v>
      </c>
      <c r="L1441" t="s">
        <v>34</v>
      </c>
      <c r="M1441" t="s">
        <v>34</v>
      </c>
      <c r="N1441" t="s">
        <v>35</v>
      </c>
      <c r="O1441" t="s">
        <v>35</v>
      </c>
      <c r="P1441" t="s">
        <v>35</v>
      </c>
      <c r="Q1441" t="s">
        <v>35</v>
      </c>
      <c r="R1441" t="s">
        <v>35</v>
      </c>
      <c r="S1441" t="s">
        <v>34</v>
      </c>
      <c r="AD1441">
        <v>20170124</v>
      </c>
      <c r="AF1441" t="str">
        <f>IFERROR(VLOOKUP(RIGHT(TblFeedFile1[[#This Row],[Leave Type ]],6),LkupPayType[],2,FALSE),"TBD")</f>
        <v>TBD</v>
      </c>
      <c r="AG1441" t="str">
        <f>IFERROR(VLOOKUP(TblFeedFile1[[#This Row],[ Report Number ]],LkupPayrollCycle[],2,FALSE),"TBD")</f>
        <v>Semi-Monthly</v>
      </c>
      <c r="AH1441" t="str">
        <f>IF(TblFeedFile1[[#This Row],[Return to Work Date ]]="","","Y")</f>
        <v/>
      </c>
    </row>
    <row r="1442" spans="1:34" x14ac:dyDescent="0.25">
      <c r="A1442" t="s">
        <v>37</v>
      </c>
      <c r="B1442">
        <v>314301</v>
      </c>
      <c r="C1442">
        <v>29373221</v>
      </c>
      <c r="D1442" s="1">
        <v>531612278063</v>
      </c>
      <c r="E1442" t="s">
        <v>1745</v>
      </c>
      <c r="F1442" t="s">
        <v>1746</v>
      </c>
      <c r="G1442">
        <v>20170116</v>
      </c>
      <c r="H1442">
        <v>20170505</v>
      </c>
      <c r="I1442" t="s">
        <v>53</v>
      </c>
      <c r="L1442" t="s">
        <v>34</v>
      </c>
      <c r="M1442" t="s">
        <v>34</v>
      </c>
      <c r="N1442" t="s">
        <v>35</v>
      </c>
      <c r="O1442" t="s">
        <v>35</v>
      </c>
      <c r="P1442" t="s">
        <v>35</v>
      </c>
      <c r="Q1442" t="s">
        <v>35</v>
      </c>
      <c r="R1442" t="s">
        <v>35</v>
      </c>
      <c r="S1442" t="s">
        <v>34</v>
      </c>
      <c r="AD1442">
        <v>20170124</v>
      </c>
      <c r="AF1442" t="str">
        <f>IFERROR(VLOOKUP(RIGHT(TblFeedFile1[[#This Row],[Leave Type ]],6),LkupPayType[],2,FALSE),"TBD")</f>
        <v>TBD</v>
      </c>
      <c r="AG1442" t="str">
        <f>IFERROR(VLOOKUP(TblFeedFile1[[#This Row],[ Report Number ]],LkupPayrollCycle[],2,FALSE),"TBD")</f>
        <v>Semi-Monthly</v>
      </c>
      <c r="AH1442" t="str">
        <f>IF(TblFeedFile1[[#This Row],[Return to Work Date ]]="","","Y")</f>
        <v/>
      </c>
    </row>
    <row r="1443" spans="1:34" x14ac:dyDescent="0.25">
      <c r="A1443" t="s">
        <v>37</v>
      </c>
      <c r="B1443">
        <v>314301</v>
      </c>
      <c r="C1443">
        <v>29373221</v>
      </c>
      <c r="D1443" s="1">
        <v>531612278063</v>
      </c>
      <c r="E1443" t="s">
        <v>1745</v>
      </c>
      <c r="F1443" t="s">
        <v>1746</v>
      </c>
      <c r="G1443">
        <v>20170123</v>
      </c>
      <c r="H1443">
        <v>20170505</v>
      </c>
      <c r="I1443" t="s">
        <v>40</v>
      </c>
      <c r="L1443" t="s">
        <v>34</v>
      </c>
      <c r="M1443" t="s">
        <v>34</v>
      </c>
      <c r="N1443" t="s">
        <v>35</v>
      </c>
      <c r="O1443" t="s">
        <v>35</v>
      </c>
      <c r="P1443" t="s">
        <v>35</v>
      </c>
      <c r="Q1443" t="s">
        <v>35</v>
      </c>
      <c r="R1443" t="s">
        <v>35</v>
      </c>
      <c r="S1443" t="s">
        <v>34</v>
      </c>
      <c r="AD1443">
        <v>20170124</v>
      </c>
      <c r="AF1443" t="str">
        <f>IFERROR(VLOOKUP(RIGHT(TblFeedFile1[[#This Row],[Leave Type ]],6),LkupPayType[],2,FALSE),"TBD")</f>
        <v>TBD</v>
      </c>
      <c r="AG1443" t="str">
        <f>IFERROR(VLOOKUP(TblFeedFile1[[#This Row],[ Report Number ]],LkupPayrollCycle[],2,FALSE),"TBD")</f>
        <v>Semi-Monthly</v>
      </c>
      <c r="AH1443" t="str">
        <f>IF(TblFeedFile1[[#This Row],[Return to Work Date ]]="","","Y")</f>
        <v/>
      </c>
    </row>
    <row r="1444" spans="1:34" x14ac:dyDescent="0.25">
      <c r="A1444" t="s">
        <v>37</v>
      </c>
      <c r="B1444">
        <v>314305</v>
      </c>
      <c r="C1444">
        <v>29384598</v>
      </c>
      <c r="D1444" s="1">
        <v>521612158742</v>
      </c>
      <c r="E1444" t="s">
        <v>1747</v>
      </c>
      <c r="F1444" t="s">
        <v>816</v>
      </c>
      <c r="G1444">
        <v>20170102</v>
      </c>
      <c r="H1444">
        <v>20170102</v>
      </c>
      <c r="I1444" t="s">
        <v>43</v>
      </c>
      <c r="L1444" t="s">
        <v>34</v>
      </c>
      <c r="M1444" t="s">
        <v>34</v>
      </c>
      <c r="N1444" t="s">
        <v>35</v>
      </c>
      <c r="O1444" t="s">
        <v>35</v>
      </c>
      <c r="P1444" t="s">
        <v>35</v>
      </c>
      <c r="Q1444" t="s">
        <v>35</v>
      </c>
      <c r="R1444" t="s">
        <v>35</v>
      </c>
      <c r="S1444" t="s">
        <v>34</v>
      </c>
      <c r="AD1444">
        <v>20170124</v>
      </c>
      <c r="AF1444" t="str">
        <f>IFERROR(VLOOKUP(RIGHT(TblFeedFile1[[#This Row],[Leave Type ]],6),LkupPayType[],2,FALSE),"TBD")</f>
        <v>TBD</v>
      </c>
      <c r="AG1444" t="str">
        <f>IFERROR(VLOOKUP(TblFeedFile1[[#This Row],[ Report Number ]],LkupPayrollCycle[],2,FALSE),"TBD")</f>
        <v>Bi-Weekly</v>
      </c>
      <c r="AH1444" t="str">
        <f>IF(TblFeedFile1[[#This Row],[Return to Work Date ]]="","","Y")</f>
        <v/>
      </c>
    </row>
    <row r="1445" spans="1:34" x14ac:dyDescent="0.25">
      <c r="A1445" t="s">
        <v>37</v>
      </c>
      <c r="B1445">
        <v>314304</v>
      </c>
      <c r="C1445">
        <v>29391620</v>
      </c>
      <c r="D1445" s="1">
        <v>551701138725</v>
      </c>
      <c r="E1445" t="s">
        <v>1254</v>
      </c>
      <c r="F1445" t="s">
        <v>1426</v>
      </c>
      <c r="G1445">
        <v>20170123</v>
      </c>
      <c r="H1445">
        <v>20170430</v>
      </c>
      <c r="I1445" t="s">
        <v>40</v>
      </c>
      <c r="L1445" t="s">
        <v>34</v>
      </c>
      <c r="M1445" t="s">
        <v>34</v>
      </c>
      <c r="N1445" t="s">
        <v>35</v>
      </c>
      <c r="O1445" t="s">
        <v>35</v>
      </c>
      <c r="P1445" t="s">
        <v>35</v>
      </c>
      <c r="Q1445" t="s">
        <v>35</v>
      </c>
      <c r="R1445" t="s">
        <v>35</v>
      </c>
      <c r="S1445" t="s">
        <v>34</v>
      </c>
      <c r="AD1445">
        <v>20170124</v>
      </c>
      <c r="AF1445" t="str">
        <f>IFERROR(VLOOKUP(RIGHT(TblFeedFile1[[#This Row],[Leave Type ]],6),LkupPayType[],2,FALSE),"TBD")</f>
        <v>TBD</v>
      </c>
      <c r="AG1445" t="str">
        <f>IFERROR(VLOOKUP(TblFeedFile1[[#This Row],[ Report Number ]],LkupPayrollCycle[],2,FALSE),"TBD")</f>
        <v>Bi-Weekly</v>
      </c>
      <c r="AH1445" t="str">
        <f>IF(TblFeedFile1[[#This Row],[Return to Work Date ]]="","","Y")</f>
        <v/>
      </c>
    </row>
    <row r="1446" spans="1:34" x14ac:dyDescent="0.25">
      <c r="A1446" t="s">
        <v>29</v>
      </c>
      <c r="B1446">
        <v>314304</v>
      </c>
      <c r="C1446">
        <v>29411223</v>
      </c>
      <c r="D1446" s="1" t="s">
        <v>1748</v>
      </c>
      <c r="E1446" t="s">
        <v>1749</v>
      </c>
      <c r="F1446" t="s">
        <v>1750</v>
      </c>
      <c r="G1446">
        <v>20170116</v>
      </c>
      <c r="H1446">
        <v>20170217</v>
      </c>
      <c r="I1446" t="s">
        <v>36</v>
      </c>
      <c r="L1446" t="s">
        <v>34</v>
      </c>
      <c r="M1446" t="s">
        <v>34</v>
      </c>
      <c r="N1446" t="s">
        <v>35</v>
      </c>
      <c r="O1446" t="s">
        <v>35</v>
      </c>
      <c r="P1446" t="s">
        <v>35</v>
      </c>
      <c r="Q1446" t="s">
        <v>35</v>
      </c>
      <c r="R1446" t="s">
        <v>35</v>
      </c>
      <c r="S1446" t="s">
        <v>34</v>
      </c>
      <c r="X1446" t="s">
        <v>35</v>
      </c>
      <c r="AD1446">
        <v>20170124</v>
      </c>
      <c r="AF1446" t="str">
        <f>IFERROR(VLOOKUP(RIGHT(TblFeedFile1[[#This Row],[Leave Type ]],6),LkupPayType[],2,FALSE),"TBD")</f>
        <v>TBD</v>
      </c>
      <c r="AG1446" t="str">
        <f>IFERROR(VLOOKUP(TblFeedFile1[[#This Row],[ Report Number ]],LkupPayrollCycle[],2,FALSE),"TBD")</f>
        <v>Bi-Weekly</v>
      </c>
      <c r="AH1446" t="str">
        <f>IF(TblFeedFile1[[#This Row],[Return to Work Date ]]="","","Y")</f>
        <v/>
      </c>
    </row>
    <row r="1447" spans="1:34" x14ac:dyDescent="0.25">
      <c r="A1447" t="s">
        <v>29</v>
      </c>
      <c r="B1447">
        <v>314304</v>
      </c>
      <c r="C1447">
        <v>29411223</v>
      </c>
      <c r="D1447" s="1" t="s">
        <v>1748</v>
      </c>
      <c r="E1447" t="s">
        <v>1749</v>
      </c>
      <c r="F1447" t="s">
        <v>1750</v>
      </c>
      <c r="G1447">
        <v>20170106</v>
      </c>
      <c r="H1447">
        <v>20170217</v>
      </c>
      <c r="I1447" t="s">
        <v>78</v>
      </c>
      <c r="K1447" t="s">
        <v>79</v>
      </c>
      <c r="L1447" t="s">
        <v>34</v>
      </c>
      <c r="M1447" t="s">
        <v>34</v>
      </c>
      <c r="N1447" t="s">
        <v>35</v>
      </c>
      <c r="O1447" t="s">
        <v>35</v>
      </c>
      <c r="P1447" t="s">
        <v>35</v>
      </c>
      <c r="Q1447" t="s">
        <v>35</v>
      </c>
      <c r="R1447" t="s">
        <v>35</v>
      </c>
      <c r="S1447" t="s">
        <v>34</v>
      </c>
      <c r="AD1447">
        <v>20170124</v>
      </c>
      <c r="AF1447" t="str">
        <f>IFERROR(VLOOKUP(RIGHT(TblFeedFile1[[#This Row],[Leave Type ]],6),LkupPayType[],2,FALSE),"TBD")</f>
        <v>TBD</v>
      </c>
      <c r="AG1447" t="str">
        <f>IFERROR(VLOOKUP(TblFeedFile1[[#This Row],[ Report Number ]],LkupPayrollCycle[],2,FALSE),"TBD")</f>
        <v>Bi-Weekly</v>
      </c>
      <c r="AH1447" t="str">
        <f>IF(TblFeedFile1[[#This Row],[Return to Work Date ]]="","","Y")</f>
        <v/>
      </c>
    </row>
    <row r="1448" spans="1:34" x14ac:dyDescent="0.25">
      <c r="A1448" t="s">
        <v>37</v>
      </c>
      <c r="B1448">
        <v>314304</v>
      </c>
      <c r="C1448">
        <v>29411223</v>
      </c>
      <c r="D1448" s="1" t="s">
        <v>1748</v>
      </c>
      <c r="E1448" t="s">
        <v>1749</v>
      </c>
      <c r="F1448" t="s">
        <v>1750</v>
      </c>
      <c r="G1448">
        <v>20170109</v>
      </c>
      <c r="H1448">
        <v>20170217</v>
      </c>
      <c r="I1448" t="s">
        <v>78</v>
      </c>
      <c r="K1448" t="s">
        <v>79</v>
      </c>
      <c r="L1448" t="s">
        <v>34</v>
      </c>
      <c r="M1448" t="s">
        <v>34</v>
      </c>
      <c r="N1448" t="s">
        <v>35</v>
      </c>
      <c r="O1448" t="s">
        <v>35</v>
      </c>
      <c r="P1448" t="s">
        <v>35</v>
      </c>
      <c r="Q1448" t="s">
        <v>35</v>
      </c>
      <c r="R1448" t="s">
        <v>35</v>
      </c>
      <c r="S1448" t="s">
        <v>34</v>
      </c>
      <c r="AD1448">
        <v>20170124</v>
      </c>
      <c r="AF1448" t="str">
        <f>IFERROR(VLOOKUP(RIGHT(TblFeedFile1[[#This Row],[Leave Type ]],6),LkupPayType[],2,FALSE),"TBD")</f>
        <v>TBD</v>
      </c>
      <c r="AG1448" t="str">
        <f>IFERROR(VLOOKUP(TblFeedFile1[[#This Row],[ Report Number ]],LkupPayrollCycle[],2,FALSE),"TBD")</f>
        <v>Bi-Weekly</v>
      </c>
      <c r="AH1448" t="str">
        <f>IF(TblFeedFile1[[#This Row],[Return to Work Date ]]="","","Y")</f>
        <v/>
      </c>
    </row>
    <row r="1449" spans="1:34" x14ac:dyDescent="0.25">
      <c r="A1449" t="s">
        <v>29</v>
      </c>
      <c r="B1449">
        <v>314304</v>
      </c>
      <c r="C1449">
        <v>29422026</v>
      </c>
      <c r="D1449" s="1" t="s">
        <v>1751</v>
      </c>
      <c r="E1449" t="s">
        <v>1752</v>
      </c>
      <c r="F1449" t="s">
        <v>1753</v>
      </c>
      <c r="G1449">
        <v>20170110</v>
      </c>
      <c r="H1449">
        <v>20170110</v>
      </c>
      <c r="I1449" t="s">
        <v>33</v>
      </c>
      <c r="L1449" t="s">
        <v>34</v>
      </c>
      <c r="M1449" t="s">
        <v>34</v>
      </c>
      <c r="N1449" t="s">
        <v>35</v>
      </c>
      <c r="O1449" t="s">
        <v>35</v>
      </c>
      <c r="P1449" t="s">
        <v>35</v>
      </c>
      <c r="Q1449" t="s">
        <v>35</v>
      </c>
      <c r="R1449" t="s">
        <v>35</v>
      </c>
      <c r="S1449" t="s">
        <v>34</v>
      </c>
      <c r="AD1449">
        <v>20170124</v>
      </c>
      <c r="AF1449" t="str">
        <f>IFERROR(VLOOKUP(RIGHT(TblFeedFile1[[#This Row],[Leave Type ]],6),LkupPayType[],2,FALSE),"TBD")</f>
        <v>TBD</v>
      </c>
      <c r="AG1449" t="str">
        <f>IFERROR(VLOOKUP(TblFeedFile1[[#This Row],[ Report Number ]],LkupPayrollCycle[],2,FALSE),"TBD")</f>
        <v>Bi-Weekly</v>
      </c>
      <c r="AH1449" t="str">
        <f>IF(TblFeedFile1[[#This Row],[Return to Work Date ]]="","","Y")</f>
        <v/>
      </c>
    </row>
    <row r="1450" spans="1:34" x14ac:dyDescent="0.25">
      <c r="A1450" t="s">
        <v>37</v>
      </c>
      <c r="B1450">
        <v>314304</v>
      </c>
      <c r="C1450">
        <v>29422026</v>
      </c>
      <c r="D1450" s="1" t="s">
        <v>1751</v>
      </c>
      <c r="E1450" t="s">
        <v>1752</v>
      </c>
      <c r="F1450" t="s">
        <v>1753</v>
      </c>
      <c r="G1450">
        <v>20170102</v>
      </c>
      <c r="H1450">
        <v>20170102</v>
      </c>
      <c r="I1450" t="s">
        <v>33</v>
      </c>
      <c r="L1450" t="s">
        <v>34</v>
      </c>
      <c r="M1450" t="s">
        <v>34</v>
      </c>
      <c r="N1450" t="s">
        <v>35</v>
      </c>
      <c r="O1450" t="s">
        <v>35</v>
      </c>
      <c r="P1450" t="s">
        <v>35</v>
      </c>
      <c r="Q1450" t="s">
        <v>35</v>
      </c>
      <c r="R1450" t="s">
        <v>35</v>
      </c>
      <c r="S1450" t="s">
        <v>34</v>
      </c>
      <c r="T1450">
        <v>20170117</v>
      </c>
      <c r="AD1450">
        <v>20170124</v>
      </c>
      <c r="AF1450" t="str">
        <f>IFERROR(VLOOKUP(RIGHT(TblFeedFile1[[#This Row],[Leave Type ]],6),LkupPayType[],2,FALSE),"TBD")</f>
        <v>TBD</v>
      </c>
      <c r="AG1450" t="str">
        <f>IFERROR(VLOOKUP(TblFeedFile1[[#This Row],[ Report Number ]],LkupPayrollCycle[],2,FALSE),"TBD")</f>
        <v>Bi-Weekly</v>
      </c>
      <c r="AH1450" t="str">
        <f>IF(TblFeedFile1[[#This Row],[Return to Work Date ]]="","","Y")</f>
        <v>Y</v>
      </c>
    </row>
    <row r="1451" spans="1:34" x14ac:dyDescent="0.25">
      <c r="A1451" t="s">
        <v>37</v>
      </c>
      <c r="B1451">
        <v>314304</v>
      </c>
      <c r="C1451">
        <v>29422026</v>
      </c>
      <c r="D1451" s="1">
        <v>531701068413</v>
      </c>
      <c r="E1451" t="s">
        <v>1752</v>
      </c>
      <c r="F1451" t="s">
        <v>1753</v>
      </c>
      <c r="G1451">
        <v>20170109</v>
      </c>
      <c r="H1451">
        <v>20170118</v>
      </c>
      <c r="I1451" t="s">
        <v>40</v>
      </c>
      <c r="L1451" t="s">
        <v>34</v>
      </c>
      <c r="M1451" t="s">
        <v>34</v>
      </c>
      <c r="N1451" t="s">
        <v>35</v>
      </c>
      <c r="O1451" t="s">
        <v>35</v>
      </c>
      <c r="P1451" t="s">
        <v>35</v>
      </c>
      <c r="Q1451" t="s">
        <v>35</v>
      </c>
      <c r="R1451" t="s">
        <v>35</v>
      </c>
      <c r="S1451" t="s">
        <v>34</v>
      </c>
      <c r="T1451">
        <v>20170117</v>
      </c>
      <c r="AD1451">
        <v>20170124</v>
      </c>
      <c r="AF1451" t="str">
        <f>IFERROR(VLOOKUP(RIGHT(TblFeedFile1[[#This Row],[Leave Type ]],6),LkupPayType[],2,FALSE),"TBD")</f>
        <v>TBD</v>
      </c>
      <c r="AG1451" t="str">
        <f>IFERROR(VLOOKUP(TblFeedFile1[[#This Row],[ Report Number ]],LkupPayrollCycle[],2,FALSE),"TBD")</f>
        <v>Bi-Weekly</v>
      </c>
      <c r="AH1451" t="str">
        <f>IF(TblFeedFile1[[#This Row],[Return to Work Date ]]="","","Y")</f>
        <v>Y</v>
      </c>
    </row>
    <row r="1452" spans="1:34" x14ac:dyDescent="0.25">
      <c r="A1452" t="s">
        <v>29</v>
      </c>
      <c r="B1452">
        <v>314304</v>
      </c>
      <c r="C1452">
        <v>29439261</v>
      </c>
      <c r="D1452" s="1" t="s">
        <v>1754</v>
      </c>
      <c r="E1452" t="s">
        <v>1755</v>
      </c>
      <c r="F1452" t="s">
        <v>1756</v>
      </c>
      <c r="G1452">
        <v>20170120</v>
      </c>
      <c r="H1452">
        <v>20170120</v>
      </c>
      <c r="I1452" t="s">
        <v>33</v>
      </c>
      <c r="L1452" t="s">
        <v>34</v>
      </c>
      <c r="M1452" t="s">
        <v>34</v>
      </c>
      <c r="N1452" t="s">
        <v>35</v>
      </c>
      <c r="O1452" t="s">
        <v>35</v>
      </c>
      <c r="P1452" t="s">
        <v>35</v>
      </c>
      <c r="Q1452" t="s">
        <v>35</v>
      </c>
      <c r="R1452" t="s">
        <v>35</v>
      </c>
      <c r="S1452" t="s">
        <v>34</v>
      </c>
      <c r="AD1452">
        <v>20170124</v>
      </c>
      <c r="AF1452" t="str">
        <f>IFERROR(VLOOKUP(RIGHT(TblFeedFile1[[#This Row],[Leave Type ]],6),LkupPayType[],2,FALSE),"TBD")</f>
        <v>TBD</v>
      </c>
      <c r="AG1452" t="str">
        <f>IFERROR(VLOOKUP(TblFeedFile1[[#This Row],[ Report Number ]],LkupPayrollCycle[],2,FALSE),"TBD")</f>
        <v>Bi-Weekly</v>
      </c>
      <c r="AH1452" t="str">
        <f>IF(TblFeedFile1[[#This Row],[Return to Work Date ]]="","","Y")</f>
        <v/>
      </c>
    </row>
    <row r="1453" spans="1:34" x14ac:dyDescent="0.25">
      <c r="A1453" t="s">
        <v>29</v>
      </c>
      <c r="B1453">
        <v>314304</v>
      </c>
      <c r="C1453">
        <v>29439261</v>
      </c>
      <c r="D1453" s="1" t="s">
        <v>1754</v>
      </c>
      <c r="E1453" t="s">
        <v>1755</v>
      </c>
      <c r="F1453" t="s">
        <v>1756</v>
      </c>
      <c r="G1453">
        <v>20170111</v>
      </c>
      <c r="H1453">
        <v>20170119</v>
      </c>
      <c r="I1453" t="s">
        <v>36</v>
      </c>
      <c r="L1453" t="s">
        <v>34</v>
      </c>
      <c r="M1453" t="s">
        <v>34</v>
      </c>
      <c r="N1453" t="s">
        <v>35</v>
      </c>
      <c r="O1453" t="s">
        <v>35</v>
      </c>
      <c r="P1453" t="s">
        <v>35</v>
      </c>
      <c r="Q1453" t="s">
        <v>35</v>
      </c>
      <c r="R1453" t="s">
        <v>35</v>
      </c>
      <c r="S1453" t="s">
        <v>34</v>
      </c>
      <c r="AD1453">
        <v>20170124</v>
      </c>
      <c r="AF1453" t="str">
        <f>IFERROR(VLOOKUP(RIGHT(TblFeedFile1[[#This Row],[Leave Type ]],6),LkupPayType[],2,FALSE),"TBD")</f>
        <v>TBD</v>
      </c>
      <c r="AG1453" t="str">
        <f>IFERROR(VLOOKUP(TblFeedFile1[[#This Row],[ Report Number ]],LkupPayrollCycle[],2,FALSE),"TBD")</f>
        <v>Bi-Weekly</v>
      </c>
      <c r="AH1453" t="str">
        <f>IF(TblFeedFile1[[#This Row],[Return to Work Date ]]="","","Y")</f>
        <v/>
      </c>
    </row>
    <row r="1454" spans="1:34" x14ac:dyDescent="0.25">
      <c r="A1454" t="s">
        <v>37</v>
      </c>
      <c r="B1454">
        <v>314304</v>
      </c>
      <c r="C1454">
        <v>29439261</v>
      </c>
      <c r="D1454" s="1" t="s">
        <v>1754</v>
      </c>
      <c r="E1454" t="s">
        <v>1755</v>
      </c>
      <c r="F1454" t="s">
        <v>1756</v>
      </c>
      <c r="G1454">
        <v>20170111</v>
      </c>
      <c r="H1454">
        <v>20170111</v>
      </c>
      <c r="I1454" t="s">
        <v>43</v>
      </c>
      <c r="L1454" t="s">
        <v>34</v>
      </c>
      <c r="M1454" t="s">
        <v>34</v>
      </c>
      <c r="N1454" t="s">
        <v>35</v>
      </c>
      <c r="O1454" t="s">
        <v>35</v>
      </c>
      <c r="P1454" t="s">
        <v>35</v>
      </c>
      <c r="Q1454" t="s">
        <v>35</v>
      </c>
      <c r="R1454" t="s">
        <v>35</v>
      </c>
      <c r="S1454" t="s">
        <v>34</v>
      </c>
      <c r="AD1454">
        <v>20170124</v>
      </c>
      <c r="AF1454" t="str">
        <f>IFERROR(VLOOKUP(RIGHT(TblFeedFile1[[#This Row],[Leave Type ]],6),LkupPayType[],2,FALSE),"TBD")</f>
        <v>TBD</v>
      </c>
      <c r="AG1454" t="str">
        <f>IFERROR(VLOOKUP(TblFeedFile1[[#This Row],[ Report Number ]],LkupPayrollCycle[],2,FALSE),"TBD")</f>
        <v>Bi-Weekly</v>
      </c>
      <c r="AH1454" t="str">
        <f>IF(TblFeedFile1[[#This Row],[Return to Work Date ]]="","","Y")</f>
        <v/>
      </c>
    </row>
    <row r="1455" spans="1:34" x14ac:dyDescent="0.25">
      <c r="A1455" t="s">
        <v>37</v>
      </c>
      <c r="B1455">
        <v>314301</v>
      </c>
      <c r="C1455">
        <v>29456101</v>
      </c>
      <c r="D1455" s="1" t="s">
        <v>1757</v>
      </c>
      <c r="E1455" t="s">
        <v>1758</v>
      </c>
      <c r="F1455" t="s">
        <v>263</v>
      </c>
      <c r="G1455">
        <v>20170125</v>
      </c>
      <c r="H1455">
        <v>20170517</v>
      </c>
      <c r="I1455" t="s">
        <v>273</v>
      </c>
      <c r="L1455" t="s">
        <v>34</v>
      </c>
      <c r="M1455" t="s">
        <v>34</v>
      </c>
      <c r="N1455" t="s">
        <v>35</v>
      </c>
      <c r="O1455" t="s">
        <v>35</v>
      </c>
      <c r="P1455" t="s">
        <v>35</v>
      </c>
      <c r="Q1455" t="s">
        <v>35</v>
      </c>
      <c r="R1455" t="s">
        <v>35</v>
      </c>
      <c r="S1455" t="s">
        <v>34</v>
      </c>
      <c r="AD1455">
        <v>20170124</v>
      </c>
      <c r="AF1455" t="str">
        <f>IFERROR(VLOOKUP(RIGHT(TblFeedFile1[[#This Row],[Leave Type ]],6),LkupPayType[],2,FALSE),"TBD")</f>
        <v>TBD</v>
      </c>
      <c r="AG1455" t="str">
        <f>IFERROR(VLOOKUP(TblFeedFile1[[#This Row],[ Report Number ]],LkupPayrollCycle[],2,FALSE),"TBD")</f>
        <v>Semi-Monthly</v>
      </c>
      <c r="AH1455" t="str">
        <f>IF(TblFeedFile1[[#This Row],[Return to Work Date ]]="","","Y")</f>
        <v/>
      </c>
    </row>
    <row r="1456" spans="1:34" x14ac:dyDescent="0.25">
      <c r="A1456" t="s">
        <v>37</v>
      </c>
      <c r="B1456">
        <v>314301</v>
      </c>
      <c r="C1456">
        <v>29456101</v>
      </c>
      <c r="D1456" s="1" t="s">
        <v>1759</v>
      </c>
      <c r="E1456" t="s">
        <v>1758</v>
      </c>
      <c r="F1456" t="s">
        <v>263</v>
      </c>
      <c r="G1456">
        <v>20170125</v>
      </c>
      <c r="H1456">
        <v>20170125</v>
      </c>
      <c r="I1456" t="s">
        <v>43</v>
      </c>
      <c r="L1456" t="s">
        <v>34</v>
      </c>
      <c r="M1456" t="s">
        <v>34</v>
      </c>
      <c r="N1456" t="s">
        <v>35</v>
      </c>
      <c r="O1456" t="s">
        <v>35</v>
      </c>
      <c r="P1456" t="s">
        <v>35</v>
      </c>
      <c r="Q1456" t="s">
        <v>35</v>
      </c>
      <c r="R1456" t="s">
        <v>35</v>
      </c>
      <c r="S1456" t="s">
        <v>34</v>
      </c>
      <c r="AD1456">
        <v>20170124</v>
      </c>
      <c r="AF1456" t="str">
        <f>IFERROR(VLOOKUP(RIGHT(TblFeedFile1[[#This Row],[Leave Type ]],6),LkupPayType[],2,FALSE),"TBD")</f>
        <v>TBD</v>
      </c>
      <c r="AG1456" t="str">
        <f>IFERROR(VLOOKUP(TblFeedFile1[[#This Row],[ Report Number ]],LkupPayrollCycle[],2,FALSE),"TBD")</f>
        <v>Semi-Monthly</v>
      </c>
      <c r="AH1456" t="str">
        <f>IF(TblFeedFile1[[#This Row],[Return to Work Date ]]="","","Y")</f>
        <v/>
      </c>
    </row>
    <row r="1457" spans="1:34" x14ac:dyDescent="0.25">
      <c r="A1457" t="s">
        <v>37</v>
      </c>
      <c r="B1457">
        <v>314304</v>
      </c>
      <c r="C1457">
        <v>29461851</v>
      </c>
      <c r="D1457" s="1">
        <v>501701058250</v>
      </c>
      <c r="E1457" t="s">
        <v>1760</v>
      </c>
      <c r="F1457" t="s">
        <v>83</v>
      </c>
      <c r="G1457">
        <v>20170102</v>
      </c>
      <c r="H1457">
        <v>20170531</v>
      </c>
      <c r="I1457" t="s">
        <v>53</v>
      </c>
      <c r="L1457" t="s">
        <v>34</v>
      </c>
      <c r="M1457" t="s">
        <v>34</v>
      </c>
      <c r="N1457" t="s">
        <v>35</v>
      </c>
      <c r="O1457" t="s">
        <v>35</v>
      </c>
      <c r="P1457" t="s">
        <v>35</v>
      </c>
      <c r="Q1457" t="s">
        <v>35</v>
      </c>
      <c r="R1457" t="s">
        <v>35</v>
      </c>
      <c r="S1457" t="s">
        <v>34</v>
      </c>
      <c r="AD1457">
        <v>20170124</v>
      </c>
      <c r="AF1457" t="str">
        <f>IFERROR(VLOOKUP(RIGHT(TblFeedFile1[[#This Row],[Leave Type ]],6),LkupPayType[],2,FALSE),"TBD")</f>
        <v>TBD</v>
      </c>
      <c r="AG1457" t="str">
        <f>IFERROR(VLOOKUP(TblFeedFile1[[#This Row],[ Report Number ]],LkupPayrollCycle[],2,FALSE),"TBD")</f>
        <v>Bi-Weekly</v>
      </c>
      <c r="AH1457" t="str">
        <f>IF(TblFeedFile1[[#This Row],[Return to Work Date ]]="","","Y")</f>
        <v/>
      </c>
    </row>
    <row r="1458" spans="1:34" x14ac:dyDescent="0.25">
      <c r="A1458" t="s">
        <v>37</v>
      </c>
      <c r="B1458">
        <v>314304</v>
      </c>
      <c r="C1458">
        <v>29474733</v>
      </c>
      <c r="D1458" s="1" t="s">
        <v>1761</v>
      </c>
      <c r="E1458" t="s">
        <v>1762</v>
      </c>
      <c r="F1458" t="s">
        <v>1763</v>
      </c>
      <c r="G1458">
        <v>20170123</v>
      </c>
      <c r="H1458">
        <v>20170222</v>
      </c>
      <c r="I1458" t="s">
        <v>49</v>
      </c>
      <c r="L1458" t="s">
        <v>34</v>
      </c>
      <c r="M1458" t="s">
        <v>34</v>
      </c>
      <c r="N1458" t="s">
        <v>35</v>
      </c>
      <c r="O1458" t="s">
        <v>35</v>
      </c>
      <c r="P1458" t="s">
        <v>35</v>
      </c>
      <c r="Q1458" t="s">
        <v>35</v>
      </c>
      <c r="R1458" t="s">
        <v>35</v>
      </c>
      <c r="S1458" t="s">
        <v>34</v>
      </c>
      <c r="AD1458">
        <v>20170124</v>
      </c>
      <c r="AF1458" t="str">
        <f>IFERROR(VLOOKUP(RIGHT(TblFeedFile1[[#This Row],[Leave Type ]],6),LkupPayType[],2,FALSE),"TBD")</f>
        <v>TBD</v>
      </c>
      <c r="AG1458" t="str">
        <f>IFERROR(VLOOKUP(TblFeedFile1[[#This Row],[ Report Number ]],LkupPayrollCycle[],2,FALSE),"TBD")</f>
        <v>Bi-Weekly</v>
      </c>
      <c r="AH1458" t="str">
        <f>IF(TblFeedFile1[[#This Row],[Return to Work Date ]]="","","Y")</f>
        <v/>
      </c>
    </row>
    <row r="1459" spans="1:34" x14ac:dyDescent="0.25">
      <c r="A1459" t="s">
        <v>29</v>
      </c>
      <c r="B1459">
        <v>314304</v>
      </c>
      <c r="C1459">
        <v>29494784</v>
      </c>
      <c r="D1459" s="1" t="s">
        <v>1764</v>
      </c>
      <c r="E1459" t="s">
        <v>230</v>
      </c>
      <c r="F1459" t="s">
        <v>1765</v>
      </c>
      <c r="G1459">
        <v>20170120</v>
      </c>
      <c r="H1459">
        <v>20170320</v>
      </c>
      <c r="I1459" t="s">
        <v>36</v>
      </c>
      <c r="L1459" t="s">
        <v>34</v>
      </c>
      <c r="M1459" t="s">
        <v>34</v>
      </c>
      <c r="N1459" t="s">
        <v>35</v>
      </c>
      <c r="O1459" t="s">
        <v>35</v>
      </c>
      <c r="P1459" t="s">
        <v>35</v>
      </c>
      <c r="Q1459" t="s">
        <v>35</v>
      </c>
      <c r="R1459" t="s">
        <v>35</v>
      </c>
      <c r="S1459" t="s">
        <v>34</v>
      </c>
      <c r="AD1459">
        <v>20170124</v>
      </c>
      <c r="AF1459" t="str">
        <f>IFERROR(VLOOKUP(RIGHT(TblFeedFile1[[#This Row],[Leave Type ]],6),LkupPayType[],2,FALSE),"TBD")</f>
        <v>TBD</v>
      </c>
      <c r="AG1459" t="str">
        <f>IFERROR(VLOOKUP(TblFeedFile1[[#This Row],[ Report Number ]],LkupPayrollCycle[],2,FALSE),"TBD")</f>
        <v>Bi-Weekly</v>
      </c>
      <c r="AH1459" t="str">
        <f>IF(TblFeedFile1[[#This Row],[Return to Work Date ]]="","","Y")</f>
        <v/>
      </c>
    </row>
    <row r="1460" spans="1:34" x14ac:dyDescent="0.25">
      <c r="A1460" t="s">
        <v>37</v>
      </c>
      <c r="B1460">
        <v>314304</v>
      </c>
      <c r="C1460">
        <v>29494784</v>
      </c>
      <c r="D1460" s="1">
        <v>511701128621</v>
      </c>
      <c r="E1460" t="s">
        <v>230</v>
      </c>
      <c r="F1460" t="s">
        <v>1765</v>
      </c>
      <c r="G1460">
        <v>20170120</v>
      </c>
      <c r="H1460">
        <v>20170320</v>
      </c>
      <c r="I1460" t="s">
        <v>53</v>
      </c>
      <c r="L1460" t="s">
        <v>34</v>
      </c>
      <c r="M1460" t="s">
        <v>34</v>
      </c>
      <c r="N1460" t="s">
        <v>35</v>
      </c>
      <c r="O1460" t="s">
        <v>35</v>
      </c>
      <c r="P1460" t="s">
        <v>35</v>
      </c>
      <c r="Q1460" t="s">
        <v>35</v>
      </c>
      <c r="R1460" t="s">
        <v>35</v>
      </c>
      <c r="S1460" t="s">
        <v>34</v>
      </c>
      <c r="AD1460">
        <v>20170124</v>
      </c>
      <c r="AF1460" t="str">
        <f>IFERROR(VLOOKUP(RIGHT(TblFeedFile1[[#This Row],[Leave Type ]],6),LkupPayType[],2,FALSE),"TBD")</f>
        <v>TBD</v>
      </c>
      <c r="AG1460" t="str">
        <f>IFERROR(VLOOKUP(TblFeedFile1[[#This Row],[ Report Number ]],LkupPayrollCycle[],2,FALSE),"TBD")</f>
        <v>Bi-Weekly</v>
      </c>
      <c r="AH1460" t="str">
        <f>IF(TblFeedFile1[[#This Row],[Return to Work Date ]]="","","Y")</f>
        <v/>
      </c>
    </row>
    <row r="1461" spans="1:34" x14ac:dyDescent="0.25">
      <c r="A1461" t="s">
        <v>37</v>
      </c>
      <c r="B1461">
        <v>314304</v>
      </c>
      <c r="C1461">
        <v>29494784</v>
      </c>
      <c r="D1461" s="1" t="s">
        <v>1764</v>
      </c>
      <c r="E1461" t="s">
        <v>230</v>
      </c>
      <c r="F1461" t="s">
        <v>1765</v>
      </c>
      <c r="G1461">
        <v>20170124</v>
      </c>
      <c r="H1461">
        <v>20170320</v>
      </c>
      <c r="I1461" t="s">
        <v>78</v>
      </c>
      <c r="K1461" t="s">
        <v>79</v>
      </c>
      <c r="L1461" t="s">
        <v>34</v>
      </c>
      <c r="M1461" t="s">
        <v>34</v>
      </c>
      <c r="N1461" t="s">
        <v>35</v>
      </c>
      <c r="O1461" t="s">
        <v>35</v>
      </c>
      <c r="P1461" t="s">
        <v>35</v>
      </c>
      <c r="Q1461" t="s">
        <v>35</v>
      </c>
      <c r="R1461" t="s">
        <v>35</v>
      </c>
      <c r="S1461" t="s">
        <v>34</v>
      </c>
      <c r="AD1461">
        <v>20170124</v>
      </c>
      <c r="AF1461" t="str">
        <f>IFERROR(VLOOKUP(RIGHT(TblFeedFile1[[#This Row],[Leave Type ]],6),LkupPayType[],2,FALSE),"TBD")</f>
        <v>TBD</v>
      </c>
      <c r="AG1461" t="str">
        <f>IFERROR(VLOOKUP(TblFeedFile1[[#This Row],[ Report Number ]],LkupPayrollCycle[],2,FALSE),"TBD")</f>
        <v>Bi-Weekly</v>
      </c>
      <c r="AH1461" t="str">
        <f>IF(TblFeedFile1[[#This Row],[Return to Work Date ]]="","","Y")</f>
        <v/>
      </c>
    </row>
    <row r="1462" spans="1:34" x14ac:dyDescent="0.25">
      <c r="A1462" t="s">
        <v>37</v>
      </c>
      <c r="B1462">
        <v>314304</v>
      </c>
      <c r="C1462">
        <v>29508043</v>
      </c>
      <c r="D1462" s="1" t="s">
        <v>1766</v>
      </c>
      <c r="E1462" t="s">
        <v>1360</v>
      </c>
      <c r="F1462" t="s">
        <v>1346</v>
      </c>
      <c r="G1462">
        <v>20170117</v>
      </c>
      <c r="H1462">
        <v>20170217</v>
      </c>
      <c r="I1462" t="s">
        <v>78</v>
      </c>
      <c r="K1462" t="s">
        <v>79</v>
      </c>
      <c r="L1462" t="s">
        <v>34</v>
      </c>
      <c r="M1462" t="s">
        <v>34</v>
      </c>
      <c r="N1462" t="s">
        <v>34</v>
      </c>
      <c r="O1462" t="s">
        <v>35</v>
      </c>
      <c r="P1462" t="s">
        <v>35</v>
      </c>
      <c r="Q1462" t="s">
        <v>35</v>
      </c>
      <c r="R1462" t="s">
        <v>35</v>
      </c>
      <c r="S1462" t="s">
        <v>35</v>
      </c>
      <c r="AD1462">
        <v>20170124</v>
      </c>
      <c r="AF1462" t="str">
        <f>IFERROR(VLOOKUP(RIGHT(TblFeedFile1[[#This Row],[Leave Type ]],6),LkupPayType[],2,FALSE),"TBD")</f>
        <v>TBD</v>
      </c>
      <c r="AG1462" t="str">
        <f>IFERROR(VLOOKUP(TblFeedFile1[[#This Row],[ Report Number ]],LkupPayrollCycle[],2,FALSE),"TBD")</f>
        <v>Bi-Weekly</v>
      </c>
      <c r="AH1462" t="str">
        <f>IF(TblFeedFile1[[#This Row],[Return to Work Date ]]="","","Y")</f>
        <v/>
      </c>
    </row>
    <row r="1463" spans="1:34" x14ac:dyDescent="0.25">
      <c r="A1463" t="s">
        <v>37</v>
      </c>
      <c r="B1463">
        <v>314304</v>
      </c>
      <c r="C1463">
        <v>29508043</v>
      </c>
      <c r="D1463" s="1">
        <v>511701238241</v>
      </c>
      <c r="E1463" t="s">
        <v>1360</v>
      </c>
      <c r="F1463" t="s">
        <v>1346</v>
      </c>
      <c r="G1463">
        <v>20170117</v>
      </c>
      <c r="I1463" t="s">
        <v>53</v>
      </c>
      <c r="L1463" t="s">
        <v>34</v>
      </c>
      <c r="M1463" t="s">
        <v>34</v>
      </c>
      <c r="N1463" t="s">
        <v>34</v>
      </c>
      <c r="O1463" t="s">
        <v>35</v>
      </c>
      <c r="P1463" t="s">
        <v>35</v>
      </c>
      <c r="Q1463" t="s">
        <v>35</v>
      </c>
      <c r="R1463" t="s">
        <v>35</v>
      </c>
      <c r="S1463" t="s">
        <v>35</v>
      </c>
      <c r="AD1463">
        <v>20170124</v>
      </c>
      <c r="AF1463" t="str">
        <f>IFERROR(VLOOKUP(RIGHT(TblFeedFile1[[#This Row],[Leave Type ]],6),LkupPayType[],2,FALSE),"TBD")</f>
        <v>TBD</v>
      </c>
      <c r="AG1463" t="str">
        <f>IFERROR(VLOOKUP(TblFeedFile1[[#This Row],[ Report Number ]],LkupPayrollCycle[],2,FALSE),"TBD")</f>
        <v>Bi-Weekly</v>
      </c>
      <c r="AH1463" t="str">
        <f>IF(TblFeedFile1[[#This Row],[Return to Work Date ]]="","","Y")</f>
        <v/>
      </c>
    </row>
    <row r="1464" spans="1:34" x14ac:dyDescent="0.25">
      <c r="A1464" t="s">
        <v>29</v>
      </c>
      <c r="B1464">
        <v>314301</v>
      </c>
      <c r="C1464">
        <v>29514211</v>
      </c>
      <c r="D1464" s="1">
        <v>511701048111</v>
      </c>
      <c r="E1464" t="s">
        <v>51</v>
      </c>
      <c r="F1464" t="s">
        <v>1767</v>
      </c>
      <c r="G1464">
        <v>20170116</v>
      </c>
      <c r="H1464">
        <v>20170130</v>
      </c>
      <c r="I1464" t="s">
        <v>40</v>
      </c>
      <c r="L1464" t="s">
        <v>34</v>
      </c>
      <c r="M1464" t="s">
        <v>34</v>
      </c>
      <c r="N1464" t="s">
        <v>35</v>
      </c>
      <c r="O1464" t="s">
        <v>35</v>
      </c>
      <c r="P1464" t="s">
        <v>35</v>
      </c>
      <c r="Q1464" t="s">
        <v>35</v>
      </c>
      <c r="R1464" t="s">
        <v>35</v>
      </c>
      <c r="S1464" t="s">
        <v>34</v>
      </c>
      <c r="AD1464">
        <v>20170124</v>
      </c>
      <c r="AF1464" t="str">
        <f>IFERROR(VLOOKUP(RIGHT(TblFeedFile1[[#This Row],[Leave Type ]],6),LkupPayType[],2,FALSE),"TBD")</f>
        <v>TBD</v>
      </c>
      <c r="AG1464" t="str">
        <f>IFERROR(VLOOKUP(TblFeedFile1[[#This Row],[ Report Number ]],LkupPayrollCycle[],2,FALSE),"TBD")</f>
        <v>Semi-Monthly</v>
      </c>
      <c r="AH1464" t="str">
        <f>IF(TblFeedFile1[[#This Row],[Return to Work Date ]]="","","Y")</f>
        <v/>
      </c>
    </row>
    <row r="1465" spans="1:34" x14ac:dyDescent="0.25">
      <c r="A1465" t="s">
        <v>29</v>
      </c>
      <c r="B1465">
        <v>314301</v>
      </c>
      <c r="C1465">
        <v>29514211</v>
      </c>
      <c r="D1465" s="1">
        <v>511701048111</v>
      </c>
      <c r="E1465" t="s">
        <v>51</v>
      </c>
      <c r="F1465" t="s">
        <v>1767</v>
      </c>
      <c r="G1465">
        <v>20170109</v>
      </c>
      <c r="H1465">
        <v>20170130</v>
      </c>
      <c r="I1465" t="s">
        <v>53</v>
      </c>
      <c r="L1465" t="s">
        <v>34</v>
      </c>
      <c r="M1465" t="s">
        <v>34</v>
      </c>
      <c r="N1465" t="s">
        <v>35</v>
      </c>
      <c r="O1465" t="s">
        <v>35</v>
      </c>
      <c r="P1465" t="s">
        <v>35</v>
      </c>
      <c r="Q1465" t="s">
        <v>35</v>
      </c>
      <c r="R1465" t="s">
        <v>35</v>
      </c>
      <c r="S1465" t="s">
        <v>34</v>
      </c>
      <c r="AD1465">
        <v>20170124</v>
      </c>
      <c r="AF1465" t="str">
        <f>IFERROR(VLOOKUP(RIGHT(TblFeedFile1[[#This Row],[Leave Type ]],6),LkupPayType[],2,FALSE),"TBD")</f>
        <v>TBD</v>
      </c>
      <c r="AG1465" t="str">
        <f>IFERROR(VLOOKUP(TblFeedFile1[[#This Row],[ Report Number ]],LkupPayrollCycle[],2,FALSE),"TBD")</f>
        <v>Semi-Monthly</v>
      </c>
      <c r="AH1465" t="str">
        <f>IF(TblFeedFile1[[#This Row],[Return to Work Date ]]="","","Y")</f>
        <v/>
      </c>
    </row>
    <row r="1466" spans="1:34" x14ac:dyDescent="0.25">
      <c r="A1466" t="s">
        <v>37</v>
      </c>
      <c r="B1466">
        <v>314301</v>
      </c>
      <c r="C1466">
        <v>29514211</v>
      </c>
      <c r="D1466" s="1">
        <v>511701048111</v>
      </c>
      <c r="E1466" t="s">
        <v>51</v>
      </c>
      <c r="F1466" t="s">
        <v>1767</v>
      </c>
      <c r="G1466">
        <v>20170107</v>
      </c>
      <c r="H1466">
        <v>20170107</v>
      </c>
      <c r="I1466" t="s">
        <v>43</v>
      </c>
      <c r="L1466" t="s">
        <v>34</v>
      </c>
      <c r="M1466" t="s">
        <v>34</v>
      </c>
      <c r="N1466" t="s">
        <v>35</v>
      </c>
      <c r="O1466" t="s">
        <v>35</v>
      </c>
      <c r="P1466" t="s">
        <v>35</v>
      </c>
      <c r="Q1466" t="s">
        <v>35</v>
      </c>
      <c r="R1466" t="s">
        <v>35</v>
      </c>
      <c r="S1466" t="s">
        <v>34</v>
      </c>
      <c r="AD1466">
        <v>20170124</v>
      </c>
      <c r="AF1466" t="str">
        <f>IFERROR(VLOOKUP(RIGHT(TblFeedFile1[[#This Row],[Leave Type ]],6),LkupPayType[],2,FALSE),"TBD")</f>
        <v>TBD</v>
      </c>
      <c r="AG1466" t="str">
        <f>IFERROR(VLOOKUP(TblFeedFile1[[#This Row],[ Report Number ]],LkupPayrollCycle[],2,FALSE),"TBD")</f>
        <v>Semi-Monthly</v>
      </c>
      <c r="AH1466" t="str">
        <f>IF(TblFeedFile1[[#This Row],[Return to Work Date ]]="","","Y")</f>
        <v/>
      </c>
    </row>
    <row r="1467" spans="1:34" x14ac:dyDescent="0.25">
      <c r="A1467" t="s">
        <v>37</v>
      </c>
      <c r="B1467">
        <v>314304</v>
      </c>
      <c r="C1467">
        <v>29515600</v>
      </c>
      <c r="D1467" s="1" t="s">
        <v>1768</v>
      </c>
      <c r="E1467" t="s">
        <v>522</v>
      </c>
      <c r="F1467" t="s">
        <v>1769</v>
      </c>
      <c r="G1467">
        <v>20170123</v>
      </c>
      <c r="H1467">
        <v>20170131</v>
      </c>
      <c r="I1467" t="s">
        <v>185</v>
      </c>
      <c r="L1467" t="s">
        <v>34</v>
      </c>
      <c r="M1467" t="s">
        <v>34</v>
      </c>
      <c r="N1467" t="s">
        <v>35</v>
      </c>
      <c r="O1467" t="s">
        <v>35</v>
      </c>
      <c r="P1467" t="s">
        <v>35</v>
      </c>
      <c r="Q1467" t="s">
        <v>35</v>
      </c>
      <c r="R1467" t="s">
        <v>35</v>
      </c>
      <c r="S1467" t="s">
        <v>34</v>
      </c>
      <c r="AC1467" t="s">
        <v>35</v>
      </c>
      <c r="AD1467">
        <v>20170124</v>
      </c>
      <c r="AF1467" t="str">
        <f>IFERROR(VLOOKUP(RIGHT(TblFeedFile1[[#This Row],[Leave Type ]],6),LkupPayType[],2,FALSE),"TBD")</f>
        <v>TBD</v>
      </c>
      <c r="AG1467" t="str">
        <f>IFERROR(VLOOKUP(TblFeedFile1[[#This Row],[ Report Number ]],LkupPayrollCycle[],2,FALSE),"TBD")</f>
        <v>Bi-Weekly</v>
      </c>
      <c r="AH1467" t="str">
        <f>IF(TblFeedFile1[[#This Row],[Return to Work Date ]]="","","Y")</f>
        <v/>
      </c>
    </row>
    <row r="1468" spans="1:34" x14ac:dyDescent="0.25">
      <c r="A1468" t="s">
        <v>37</v>
      </c>
      <c r="B1468">
        <v>314304</v>
      </c>
      <c r="C1468">
        <v>29516671</v>
      </c>
      <c r="D1468" s="1" t="s">
        <v>1770</v>
      </c>
      <c r="E1468" t="s">
        <v>941</v>
      </c>
      <c r="F1468" t="s">
        <v>1771</v>
      </c>
      <c r="G1468">
        <v>20161001</v>
      </c>
      <c r="H1468">
        <v>20170120</v>
      </c>
      <c r="I1468" t="s">
        <v>223</v>
      </c>
      <c r="L1468" t="s">
        <v>34</v>
      </c>
      <c r="M1468" t="s">
        <v>34</v>
      </c>
      <c r="N1468" t="s">
        <v>35</v>
      </c>
      <c r="O1468" t="s">
        <v>35</v>
      </c>
      <c r="P1468" t="s">
        <v>35</v>
      </c>
      <c r="Q1468" t="s">
        <v>35</v>
      </c>
      <c r="R1468" t="s">
        <v>35</v>
      </c>
      <c r="S1468" t="s">
        <v>34</v>
      </c>
      <c r="T1468">
        <v>20170121</v>
      </c>
      <c r="AC1468" t="s">
        <v>35</v>
      </c>
      <c r="AD1468">
        <v>20170124</v>
      </c>
      <c r="AF1468" t="str">
        <f>IFERROR(VLOOKUP(RIGHT(TblFeedFile1[[#This Row],[Leave Type ]],6),LkupPayType[],2,FALSE),"TBD")</f>
        <v>TBD</v>
      </c>
      <c r="AG1468" t="str">
        <f>IFERROR(VLOOKUP(TblFeedFile1[[#This Row],[ Report Number ]],LkupPayrollCycle[],2,FALSE),"TBD")</f>
        <v>Bi-Weekly</v>
      </c>
      <c r="AH1468" t="str">
        <f>IF(TblFeedFile1[[#This Row],[Return to Work Date ]]="","","Y")</f>
        <v>Y</v>
      </c>
    </row>
    <row r="1469" spans="1:34" x14ac:dyDescent="0.25">
      <c r="A1469" t="s">
        <v>29</v>
      </c>
      <c r="B1469">
        <v>314304</v>
      </c>
      <c r="C1469">
        <v>29529394</v>
      </c>
      <c r="D1469" s="1">
        <v>531701198783</v>
      </c>
      <c r="E1469" t="s">
        <v>1772</v>
      </c>
      <c r="F1469" t="s">
        <v>1773</v>
      </c>
      <c r="G1469">
        <v>20170113</v>
      </c>
      <c r="I1469" t="s">
        <v>53</v>
      </c>
      <c r="L1469" t="s">
        <v>34</v>
      </c>
      <c r="M1469" t="s">
        <v>34</v>
      </c>
      <c r="N1469" t="s">
        <v>35</v>
      </c>
      <c r="O1469" t="s">
        <v>35</v>
      </c>
      <c r="P1469" t="s">
        <v>35</v>
      </c>
      <c r="Q1469" t="s">
        <v>35</v>
      </c>
      <c r="R1469" t="s">
        <v>35</v>
      </c>
      <c r="S1469" t="s">
        <v>34</v>
      </c>
      <c r="X1469" t="s">
        <v>35</v>
      </c>
      <c r="AD1469">
        <v>20170124</v>
      </c>
      <c r="AF1469" t="str">
        <f>IFERROR(VLOOKUP(RIGHT(TblFeedFile1[[#This Row],[Leave Type ]],6),LkupPayType[],2,FALSE),"TBD")</f>
        <v>TBD</v>
      </c>
      <c r="AG1469" t="str">
        <f>IFERROR(VLOOKUP(TblFeedFile1[[#This Row],[ Report Number ]],LkupPayrollCycle[],2,FALSE),"TBD")</f>
        <v>Bi-Weekly</v>
      </c>
      <c r="AH1469" t="str">
        <f>IF(TblFeedFile1[[#This Row],[Return to Work Date ]]="","","Y")</f>
        <v/>
      </c>
    </row>
    <row r="1470" spans="1:34" x14ac:dyDescent="0.25">
      <c r="A1470" t="s">
        <v>37</v>
      </c>
      <c r="B1470">
        <v>314304</v>
      </c>
      <c r="C1470">
        <v>29529394</v>
      </c>
      <c r="D1470" s="1">
        <v>531701198783</v>
      </c>
      <c r="E1470" t="s">
        <v>1772</v>
      </c>
      <c r="F1470" t="s">
        <v>1773</v>
      </c>
      <c r="G1470">
        <v>20170113</v>
      </c>
      <c r="H1470">
        <v>20170213</v>
      </c>
      <c r="I1470" t="s">
        <v>53</v>
      </c>
      <c r="L1470" t="s">
        <v>34</v>
      </c>
      <c r="M1470" t="s">
        <v>34</v>
      </c>
      <c r="N1470" t="s">
        <v>35</v>
      </c>
      <c r="O1470" t="s">
        <v>35</v>
      </c>
      <c r="P1470" t="s">
        <v>35</v>
      </c>
      <c r="Q1470" t="s">
        <v>35</v>
      </c>
      <c r="R1470" t="s">
        <v>35</v>
      </c>
      <c r="S1470" t="s">
        <v>34</v>
      </c>
      <c r="X1470" t="s">
        <v>35</v>
      </c>
      <c r="AD1470">
        <v>20170124</v>
      </c>
      <c r="AF1470" t="str">
        <f>IFERROR(VLOOKUP(RIGHT(TblFeedFile1[[#This Row],[Leave Type ]],6),LkupPayType[],2,FALSE),"TBD")</f>
        <v>TBD</v>
      </c>
      <c r="AG1470" t="str">
        <f>IFERROR(VLOOKUP(TblFeedFile1[[#This Row],[ Report Number ]],LkupPayrollCycle[],2,FALSE),"TBD")</f>
        <v>Bi-Weekly</v>
      </c>
      <c r="AH1470" t="str">
        <f>IF(TblFeedFile1[[#This Row],[Return to Work Date ]]="","","Y")</f>
        <v/>
      </c>
    </row>
    <row r="1471" spans="1:34" x14ac:dyDescent="0.25">
      <c r="A1471" t="s">
        <v>37</v>
      </c>
      <c r="B1471">
        <v>314304</v>
      </c>
      <c r="C1471">
        <v>29529394</v>
      </c>
      <c r="D1471" s="1">
        <v>531701198783</v>
      </c>
      <c r="E1471" t="s">
        <v>1772</v>
      </c>
      <c r="F1471" t="s">
        <v>1773</v>
      </c>
      <c r="G1471">
        <v>20170120</v>
      </c>
      <c r="H1471">
        <v>20170213</v>
      </c>
      <c r="I1471" t="s">
        <v>40</v>
      </c>
      <c r="L1471" t="s">
        <v>34</v>
      </c>
      <c r="M1471" t="s">
        <v>34</v>
      </c>
      <c r="N1471" t="s">
        <v>35</v>
      </c>
      <c r="O1471" t="s">
        <v>35</v>
      </c>
      <c r="P1471" t="s">
        <v>35</v>
      </c>
      <c r="Q1471" t="s">
        <v>35</v>
      </c>
      <c r="R1471" t="s">
        <v>35</v>
      </c>
      <c r="S1471" t="s">
        <v>34</v>
      </c>
      <c r="X1471" t="s">
        <v>35</v>
      </c>
      <c r="AD1471">
        <v>20170124</v>
      </c>
      <c r="AF1471" t="str">
        <f>IFERROR(VLOOKUP(RIGHT(TblFeedFile1[[#This Row],[Leave Type ]],6),LkupPayType[],2,FALSE),"TBD")</f>
        <v>TBD</v>
      </c>
      <c r="AG1471" t="str">
        <f>IFERROR(VLOOKUP(TblFeedFile1[[#This Row],[ Report Number ]],LkupPayrollCycle[],2,FALSE),"TBD")</f>
        <v>Bi-Weekly</v>
      </c>
      <c r="AH1471" t="str">
        <f>IF(TblFeedFile1[[#This Row],[Return to Work Date ]]="","","Y")</f>
        <v/>
      </c>
    </row>
    <row r="1472" spans="1:34" x14ac:dyDescent="0.25">
      <c r="A1472" t="s">
        <v>37</v>
      </c>
      <c r="B1472">
        <v>314304</v>
      </c>
      <c r="C1472">
        <v>29532211</v>
      </c>
      <c r="D1472" s="1" t="s">
        <v>1774</v>
      </c>
      <c r="E1472" t="s">
        <v>1775</v>
      </c>
      <c r="F1472" t="s">
        <v>1776</v>
      </c>
      <c r="G1472">
        <v>20170119</v>
      </c>
      <c r="H1472">
        <v>20170131</v>
      </c>
      <c r="I1472" t="s">
        <v>36</v>
      </c>
      <c r="L1472" t="s">
        <v>34</v>
      </c>
      <c r="M1472" t="s">
        <v>34</v>
      </c>
      <c r="N1472" t="s">
        <v>35</v>
      </c>
      <c r="O1472" t="s">
        <v>35</v>
      </c>
      <c r="P1472" t="s">
        <v>35</v>
      </c>
      <c r="Q1472" t="s">
        <v>35</v>
      </c>
      <c r="R1472" t="s">
        <v>35</v>
      </c>
      <c r="S1472" t="s">
        <v>34</v>
      </c>
      <c r="AD1472">
        <v>20170124</v>
      </c>
      <c r="AF1472" t="str">
        <f>IFERROR(VLOOKUP(RIGHT(TblFeedFile1[[#This Row],[Leave Type ]],6),LkupPayType[],2,FALSE),"TBD")</f>
        <v>TBD</v>
      </c>
      <c r="AG1472" t="str">
        <f>IFERROR(VLOOKUP(TblFeedFile1[[#This Row],[ Report Number ]],LkupPayrollCycle[],2,FALSE),"TBD")</f>
        <v>Bi-Weekly</v>
      </c>
      <c r="AH1472" t="str">
        <f>IF(TblFeedFile1[[#This Row],[Return to Work Date ]]="","","Y")</f>
        <v/>
      </c>
    </row>
    <row r="1473" spans="1:34" x14ac:dyDescent="0.25">
      <c r="A1473" t="s">
        <v>37</v>
      </c>
      <c r="B1473">
        <v>314301</v>
      </c>
      <c r="C1473">
        <v>29533652</v>
      </c>
      <c r="D1473" s="1" t="s">
        <v>1777</v>
      </c>
      <c r="E1473" t="s">
        <v>1778</v>
      </c>
      <c r="F1473" t="s">
        <v>1779</v>
      </c>
      <c r="G1473">
        <v>20170118</v>
      </c>
      <c r="H1473">
        <v>20170303</v>
      </c>
      <c r="I1473" t="s">
        <v>78</v>
      </c>
      <c r="K1473" t="s">
        <v>79</v>
      </c>
      <c r="L1473" t="s">
        <v>34</v>
      </c>
      <c r="M1473" t="s">
        <v>34</v>
      </c>
      <c r="N1473" t="s">
        <v>35</v>
      </c>
      <c r="O1473" t="s">
        <v>35</v>
      </c>
      <c r="P1473" t="s">
        <v>35</v>
      </c>
      <c r="Q1473" t="s">
        <v>35</v>
      </c>
      <c r="R1473" t="s">
        <v>35</v>
      </c>
      <c r="S1473" t="s">
        <v>34</v>
      </c>
      <c r="AD1473">
        <v>20170124</v>
      </c>
      <c r="AF1473" t="str">
        <f>IFERROR(VLOOKUP(RIGHT(TblFeedFile1[[#This Row],[Leave Type ]],6),LkupPayType[],2,FALSE),"TBD")</f>
        <v>TBD</v>
      </c>
      <c r="AG1473" t="str">
        <f>IFERROR(VLOOKUP(TblFeedFile1[[#This Row],[ Report Number ]],LkupPayrollCycle[],2,FALSE),"TBD")</f>
        <v>Semi-Monthly</v>
      </c>
      <c r="AH1473" t="str">
        <f>IF(TblFeedFile1[[#This Row],[Return to Work Date ]]="","","Y")</f>
        <v/>
      </c>
    </row>
    <row r="1474" spans="1:34" x14ac:dyDescent="0.25">
      <c r="A1474" t="s">
        <v>37</v>
      </c>
      <c r="B1474">
        <v>314301</v>
      </c>
      <c r="C1474">
        <v>29533652</v>
      </c>
      <c r="D1474" s="1">
        <v>541701228064</v>
      </c>
      <c r="E1474" t="s">
        <v>1778</v>
      </c>
      <c r="F1474" t="s">
        <v>1779</v>
      </c>
      <c r="G1474">
        <v>20170123</v>
      </c>
      <c r="H1474">
        <v>20170303</v>
      </c>
      <c r="I1474" t="s">
        <v>53</v>
      </c>
      <c r="L1474" t="s">
        <v>34</v>
      </c>
      <c r="M1474" t="s">
        <v>34</v>
      </c>
      <c r="N1474" t="s">
        <v>35</v>
      </c>
      <c r="O1474" t="s">
        <v>35</v>
      </c>
      <c r="P1474" t="s">
        <v>35</v>
      </c>
      <c r="Q1474" t="s">
        <v>35</v>
      </c>
      <c r="R1474" t="s">
        <v>35</v>
      </c>
      <c r="S1474" t="s">
        <v>34</v>
      </c>
      <c r="AD1474">
        <v>20170124</v>
      </c>
      <c r="AF1474" t="str">
        <f>IFERROR(VLOOKUP(RIGHT(TblFeedFile1[[#This Row],[Leave Type ]],6),LkupPayType[],2,FALSE),"TBD")</f>
        <v>TBD</v>
      </c>
      <c r="AG1474" t="str">
        <f>IFERROR(VLOOKUP(TblFeedFile1[[#This Row],[ Report Number ]],LkupPayrollCycle[],2,FALSE),"TBD")</f>
        <v>Semi-Monthly</v>
      </c>
      <c r="AH1474" t="str">
        <f>IF(TblFeedFile1[[#This Row],[Return to Work Date ]]="","","Y")</f>
        <v/>
      </c>
    </row>
    <row r="1475" spans="1:34" x14ac:dyDescent="0.25">
      <c r="A1475" t="s">
        <v>37</v>
      </c>
      <c r="B1475">
        <v>314301</v>
      </c>
      <c r="C1475">
        <v>29533652</v>
      </c>
      <c r="D1475" s="1">
        <v>541701228064</v>
      </c>
      <c r="E1475" t="s">
        <v>1778</v>
      </c>
      <c r="F1475" t="s">
        <v>1779</v>
      </c>
      <c r="G1475">
        <v>20170130</v>
      </c>
      <c r="H1475">
        <v>20170303</v>
      </c>
      <c r="I1475" t="s">
        <v>40</v>
      </c>
      <c r="L1475" t="s">
        <v>34</v>
      </c>
      <c r="M1475" t="s">
        <v>34</v>
      </c>
      <c r="N1475" t="s">
        <v>35</v>
      </c>
      <c r="O1475" t="s">
        <v>35</v>
      </c>
      <c r="P1475" t="s">
        <v>35</v>
      </c>
      <c r="Q1475" t="s">
        <v>35</v>
      </c>
      <c r="R1475" t="s">
        <v>35</v>
      </c>
      <c r="S1475" t="s">
        <v>34</v>
      </c>
      <c r="AD1475">
        <v>20170124</v>
      </c>
      <c r="AF1475" t="str">
        <f>IFERROR(VLOOKUP(RIGHT(TblFeedFile1[[#This Row],[Leave Type ]],6),LkupPayType[],2,FALSE),"TBD")</f>
        <v>TBD</v>
      </c>
      <c r="AG1475" t="str">
        <f>IFERROR(VLOOKUP(TblFeedFile1[[#This Row],[ Report Number ]],LkupPayrollCycle[],2,FALSE),"TBD")</f>
        <v>Semi-Monthly</v>
      </c>
      <c r="AH1475" t="str">
        <f>IF(TblFeedFile1[[#This Row],[Return to Work Date ]]="","","Y")</f>
        <v/>
      </c>
    </row>
    <row r="1476" spans="1:34" x14ac:dyDescent="0.25">
      <c r="A1476" t="s">
        <v>37</v>
      </c>
      <c r="B1476">
        <v>314305</v>
      </c>
      <c r="C1476">
        <v>29564965</v>
      </c>
      <c r="D1476" s="1">
        <v>521701238312</v>
      </c>
      <c r="E1476" t="s">
        <v>1780</v>
      </c>
      <c r="F1476" t="s">
        <v>1781</v>
      </c>
      <c r="G1476">
        <v>20170123</v>
      </c>
      <c r="H1476">
        <v>20170208</v>
      </c>
      <c r="I1476" t="s">
        <v>53</v>
      </c>
      <c r="L1476" t="s">
        <v>34</v>
      </c>
      <c r="M1476" t="s">
        <v>34</v>
      </c>
      <c r="N1476" t="s">
        <v>35</v>
      </c>
      <c r="O1476" t="s">
        <v>35</v>
      </c>
      <c r="P1476" t="s">
        <v>35</v>
      </c>
      <c r="Q1476" t="s">
        <v>35</v>
      </c>
      <c r="R1476" t="s">
        <v>35</v>
      </c>
      <c r="S1476" t="s">
        <v>34</v>
      </c>
      <c r="AD1476">
        <v>20170124</v>
      </c>
      <c r="AF1476" t="str">
        <f>IFERROR(VLOOKUP(RIGHT(TblFeedFile1[[#This Row],[Leave Type ]],6),LkupPayType[],2,FALSE),"TBD")</f>
        <v>TBD</v>
      </c>
      <c r="AG1476" t="str">
        <f>IFERROR(VLOOKUP(TblFeedFile1[[#This Row],[ Report Number ]],LkupPayrollCycle[],2,FALSE),"TBD")</f>
        <v>Bi-Weekly</v>
      </c>
      <c r="AH1476" t="str">
        <f>IF(TblFeedFile1[[#This Row],[Return to Work Date ]]="","","Y")</f>
        <v/>
      </c>
    </row>
    <row r="1477" spans="1:34" x14ac:dyDescent="0.25">
      <c r="A1477" t="s">
        <v>37</v>
      </c>
      <c r="B1477">
        <v>314304</v>
      </c>
      <c r="C1477">
        <v>29565920</v>
      </c>
      <c r="D1477" s="1">
        <v>531612278993</v>
      </c>
      <c r="E1477" t="s">
        <v>1782</v>
      </c>
      <c r="F1477" t="s">
        <v>637</v>
      </c>
      <c r="G1477">
        <v>20170106</v>
      </c>
      <c r="H1477">
        <v>20170106</v>
      </c>
      <c r="I1477" t="s">
        <v>43</v>
      </c>
      <c r="L1477" t="s">
        <v>34</v>
      </c>
      <c r="M1477" t="s">
        <v>34</v>
      </c>
      <c r="N1477" t="s">
        <v>35</v>
      </c>
      <c r="O1477" t="s">
        <v>35</v>
      </c>
      <c r="P1477" t="s">
        <v>35</v>
      </c>
      <c r="Q1477" t="s">
        <v>35</v>
      </c>
      <c r="R1477" t="s">
        <v>35</v>
      </c>
      <c r="S1477" t="s">
        <v>35</v>
      </c>
      <c r="AD1477">
        <v>20170124</v>
      </c>
      <c r="AF1477" t="str">
        <f>IFERROR(VLOOKUP(RIGHT(TblFeedFile1[[#This Row],[Leave Type ]],6),LkupPayType[],2,FALSE),"TBD")</f>
        <v>TBD</v>
      </c>
      <c r="AG1477" t="str">
        <f>IFERROR(VLOOKUP(TblFeedFile1[[#This Row],[ Report Number ]],LkupPayrollCycle[],2,FALSE),"TBD")</f>
        <v>Bi-Weekly</v>
      </c>
      <c r="AH1477" t="str">
        <f>IF(TblFeedFile1[[#This Row],[Return to Work Date ]]="","","Y")</f>
        <v/>
      </c>
    </row>
    <row r="1478" spans="1:34" x14ac:dyDescent="0.25">
      <c r="A1478" t="s">
        <v>29</v>
      </c>
      <c r="B1478">
        <v>314301</v>
      </c>
      <c r="C1478">
        <v>29585648</v>
      </c>
      <c r="D1478" s="1" t="s">
        <v>1783</v>
      </c>
      <c r="E1478" t="s">
        <v>1784</v>
      </c>
      <c r="F1478" t="s">
        <v>1785</v>
      </c>
      <c r="G1478">
        <v>20161114</v>
      </c>
      <c r="H1478">
        <v>20170113</v>
      </c>
      <c r="I1478" t="s">
        <v>223</v>
      </c>
      <c r="L1478" t="s">
        <v>34</v>
      </c>
      <c r="M1478" t="s">
        <v>34</v>
      </c>
      <c r="N1478" t="s">
        <v>35</v>
      </c>
      <c r="O1478" t="s">
        <v>35</v>
      </c>
      <c r="P1478" t="s">
        <v>35</v>
      </c>
      <c r="Q1478" t="s">
        <v>35</v>
      </c>
      <c r="R1478" t="s">
        <v>35</v>
      </c>
      <c r="S1478" t="s">
        <v>34</v>
      </c>
      <c r="AC1478" t="s">
        <v>35</v>
      </c>
      <c r="AD1478">
        <v>20170124</v>
      </c>
      <c r="AF1478" t="str">
        <f>IFERROR(VLOOKUP(RIGHT(TblFeedFile1[[#This Row],[Leave Type ]],6),LkupPayType[],2,FALSE),"TBD")</f>
        <v>TBD</v>
      </c>
      <c r="AG1478" t="str">
        <f>IFERROR(VLOOKUP(TblFeedFile1[[#This Row],[ Report Number ]],LkupPayrollCycle[],2,FALSE),"TBD")</f>
        <v>Semi-Monthly</v>
      </c>
      <c r="AH1478" t="str">
        <f>IF(TblFeedFile1[[#This Row],[Return to Work Date ]]="","","Y")</f>
        <v/>
      </c>
    </row>
    <row r="1479" spans="1:34" x14ac:dyDescent="0.25">
      <c r="A1479" t="s">
        <v>37</v>
      </c>
      <c r="B1479">
        <v>314301</v>
      </c>
      <c r="C1479">
        <v>29585648</v>
      </c>
      <c r="D1479" s="1" t="s">
        <v>1783</v>
      </c>
      <c r="E1479" t="s">
        <v>1784</v>
      </c>
      <c r="F1479" t="s">
        <v>1785</v>
      </c>
      <c r="G1479">
        <v>20161114</v>
      </c>
      <c r="H1479">
        <v>20170116</v>
      </c>
      <c r="I1479" t="s">
        <v>223</v>
      </c>
      <c r="L1479" t="s">
        <v>34</v>
      </c>
      <c r="M1479" t="s">
        <v>34</v>
      </c>
      <c r="N1479" t="s">
        <v>35</v>
      </c>
      <c r="O1479" t="s">
        <v>35</v>
      </c>
      <c r="P1479" t="s">
        <v>35</v>
      </c>
      <c r="Q1479" t="s">
        <v>35</v>
      </c>
      <c r="R1479" t="s">
        <v>35</v>
      </c>
      <c r="S1479" t="s">
        <v>34</v>
      </c>
      <c r="AC1479" t="s">
        <v>35</v>
      </c>
      <c r="AD1479">
        <v>20170124</v>
      </c>
      <c r="AF1479" t="str">
        <f>IFERROR(VLOOKUP(RIGHT(TblFeedFile1[[#This Row],[Leave Type ]],6),LkupPayType[],2,FALSE),"TBD")</f>
        <v>TBD</v>
      </c>
      <c r="AG1479" t="str">
        <f>IFERROR(VLOOKUP(TblFeedFile1[[#This Row],[ Report Number ]],LkupPayrollCycle[],2,FALSE),"TBD")</f>
        <v>Semi-Monthly</v>
      </c>
      <c r="AH1479" t="str">
        <f>IF(TblFeedFile1[[#This Row],[Return to Work Date ]]="","","Y")</f>
        <v/>
      </c>
    </row>
    <row r="1480" spans="1:34" x14ac:dyDescent="0.25">
      <c r="A1480" t="s">
        <v>37</v>
      </c>
      <c r="B1480">
        <v>314301</v>
      </c>
      <c r="C1480">
        <v>29631069</v>
      </c>
      <c r="D1480" s="1">
        <v>561612278046</v>
      </c>
      <c r="E1480" t="s">
        <v>1786</v>
      </c>
      <c r="F1480" t="s">
        <v>1787</v>
      </c>
      <c r="G1480">
        <v>20170120</v>
      </c>
      <c r="H1480">
        <v>20170511</v>
      </c>
      <c r="I1480" t="s">
        <v>53</v>
      </c>
      <c r="L1480" t="s">
        <v>34</v>
      </c>
      <c r="M1480" t="s">
        <v>34</v>
      </c>
      <c r="N1480" t="s">
        <v>35</v>
      </c>
      <c r="O1480" t="s">
        <v>35</v>
      </c>
      <c r="P1480" t="s">
        <v>35</v>
      </c>
      <c r="Q1480" t="s">
        <v>35</v>
      </c>
      <c r="R1480" t="s">
        <v>35</v>
      </c>
      <c r="S1480" t="s">
        <v>34</v>
      </c>
      <c r="AD1480">
        <v>20170124</v>
      </c>
      <c r="AF1480" t="str">
        <f>IFERROR(VLOOKUP(RIGHT(TblFeedFile1[[#This Row],[Leave Type ]],6),LkupPayType[],2,FALSE),"TBD")</f>
        <v>TBD</v>
      </c>
      <c r="AG1480" t="str">
        <f>IFERROR(VLOOKUP(TblFeedFile1[[#This Row],[ Report Number ]],LkupPayrollCycle[],2,FALSE),"TBD")</f>
        <v>Semi-Monthly</v>
      </c>
      <c r="AH1480" t="str">
        <f>IF(TblFeedFile1[[#This Row],[Return to Work Date ]]="","","Y")</f>
        <v/>
      </c>
    </row>
    <row r="1481" spans="1:34" x14ac:dyDescent="0.25">
      <c r="A1481" t="s">
        <v>37</v>
      </c>
      <c r="B1481">
        <v>314301</v>
      </c>
      <c r="C1481">
        <v>29631069</v>
      </c>
      <c r="D1481" s="1">
        <v>561612278046</v>
      </c>
      <c r="E1481" t="s">
        <v>1786</v>
      </c>
      <c r="F1481" t="s">
        <v>1787</v>
      </c>
      <c r="G1481">
        <v>20170127</v>
      </c>
      <c r="H1481">
        <v>20170511</v>
      </c>
      <c r="I1481" t="s">
        <v>40</v>
      </c>
      <c r="L1481" t="s">
        <v>34</v>
      </c>
      <c r="M1481" t="s">
        <v>34</v>
      </c>
      <c r="N1481" t="s">
        <v>35</v>
      </c>
      <c r="O1481" t="s">
        <v>35</v>
      </c>
      <c r="P1481" t="s">
        <v>35</v>
      </c>
      <c r="Q1481" t="s">
        <v>35</v>
      </c>
      <c r="R1481" t="s">
        <v>35</v>
      </c>
      <c r="S1481" t="s">
        <v>34</v>
      </c>
      <c r="AD1481">
        <v>20170124</v>
      </c>
      <c r="AF1481" t="str">
        <f>IFERROR(VLOOKUP(RIGHT(TblFeedFile1[[#This Row],[Leave Type ]],6),LkupPayType[],2,FALSE),"TBD")</f>
        <v>TBD</v>
      </c>
      <c r="AG1481" t="str">
        <f>IFERROR(VLOOKUP(TblFeedFile1[[#This Row],[ Report Number ]],LkupPayrollCycle[],2,FALSE),"TBD")</f>
        <v>Semi-Monthly</v>
      </c>
      <c r="AH1481" t="str">
        <f>IF(TblFeedFile1[[#This Row],[Return to Work Date ]]="","","Y")</f>
        <v/>
      </c>
    </row>
    <row r="1482" spans="1:34" x14ac:dyDescent="0.25">
      <c r="A1482" t="s">
        <v>29</v>
      </c>
      <c r="B1482">
        <v>314304</v>
      </c>
      <c r="C1482">
        <v>29648106</v>
      </c>
      <c r="D1482" s="1">
        <v>551612218475</v>
      </c>
      <c r="E1482" t="s">
        <v>1788</v>
      </c>
      <c r="F1482" t="s">
        <v>1789</v>
      </c>
      <c r="G1482">
        <v>20170109</v>
      </c>
      <c r="H1482">
        <v>20180109</v>
      </c>
      <c r="I1482" t="s">
        <v>53</v>
      </c>
      <c r="L1482" t="s">
        <v>34</v>
      </c>
      <c r="M1482" t="s">
        <v>34</v>
      </c>
      <c r="N1482" t="s">
        <v>35</v>
      </c>
      <c r="O1482" t="s">
        <v>35</v>
      </c>
      <c r="P1482" t="s">
        <v>35</v>
      </c>
      <c r="Q1482" t="s">
        <v>35</v>
      </c>
      <c r="R1482" t="s">
        <v>35</v>
      </c>
      <c r="S1482" t="s">
        <v>34</v>
      </c>
      <c r="AD1482">
        <v>20170124</v>
      </c>
      <c r="AF1482" t="str">
        <f>IFERROR(VLOOKUP(RIGHT(TblFeedFile1[[#This Row],[Leave Type ]],6),LkupPayType[],2,FALSE),"TBD")</f>
        <v>TBD</v>
      </c>
      <c r="AG1482" t="str">
        <f>IFERROR(VLOOKUP(TblFeedFile1[[#This Row],[ Report Number ]],LkupPayrollCycle[],2,FALSE),"TBD")</f>
        <v>Bi-Weekly</v>
      </c>
      <c r="AH1482" t="str">
        <f>IF(TblFeedFile1[[#This Row],[Return to Work Date ]]="","","Y")</f>
        <v/>
      </c>
    </row>
    <row r="1483" spans="1:34" x14ac:dyDescent="0.25">
      <c r="A1483" t="s">
        <v>37</v>
      </c>
      <c r="B1483">
        <v>314304</v>
      </c>
      <c r="C1483">
        <v>29648106</v>
      </c>
      <c r="D1483" s="1">
        <v>551612218475</v>
      </c>
      <c r="E1483" t="s">
        <v>1788</v>
      </c>
      <c r="F1483" t="s">
        <v>1789</v>
      </c>
      <c r="G1483">
        <v>20170109</v>
      </c>
      <c r="H1483">
        <v>20170430</v>
      </c>
      <c r="I1483" t="s">
        <v>53</v>
      </c>
      <c r="L1483" t="s">
        <v>34</v>
      </c>
      <c r="M1483" t="s">
        <v>34</v>
      </c>
      <c r="N1483" t="s">
        <v>35</v>
      </c>
      <c r="O1483" t="s">
        <v>35</v>
      </c>
      <c r="P1483" t="s">
        <v>35</v>
      </c>
      <c r="Q1483" t="s">
        <v>35</v>
      </c>
      <c r="R1483" t="s">
        <v>35</v>
      </c>
      <c r="S1483" t="s">
        <v>34</v>
      </c>
      <c r="AD1483">
        <v>20170124</v>
      </c>
      <c r="AF1483" t="str">
        <f>IFERROR(VLOOKUP(RIGHT(TblFeedFile1[[#This Row],[Leave Type ]],6),LkupPayType[],2,FALSE),"TBD")</f>
        <v>TBD</v>
      </c>
      <c r="AG1483" t="str">
        <f>IFERROR(VLOOKUP(TblFeedFile1[[#This Row],[ Report Number ]],LkupPayrollCycle[],2,FALSE),"TBD")</f>
        <v>Bi-Weekly</v>
      </c>
      <c r="AH1483" t="str">
        <f>IF(TblFeedFile1[[#This Row],[Return to Work Date ]]="","","Y")</f>
        <v/>
      </c>
    </row>
    <row r="1484" spans="1:34" x14ac:dyDescent="0.25">
      <c r="A1484" t="s">
        <v>37</v>
      </c>
      <c r="B1484">
        <v>314304</v>
      </c>
      <c r="C1484">
        <v>29648106</v>
      </c>
      <c r="D1484" s="1">
        <v>551612218475</v>
      </c>
      <c r="E1484" t="s">
        <v>1788</v>
      </c>
      <c r="F1484" t="s">
        <v>1789</v>
      </c>
      <c r="G1484">
        <v>20170116</v>
      </c>
      <c r="H1484">
        <v>20170430</v>
      </c>
      <c r="I1484" t="s">
        <v>40</v>
      </c>
      <c r="L1484" t="s">
        <v>34</v>
      </c>
      <c r="M1484" t="s">
        <v>34</v>
      </c>
      <c r="N1484" t="s">
        <v>35</v>
      </c>
      <c r="O1484" t="s">
        <v>35</v>
      </c>
      <c r="P1484" t="s">
        <v>35</v>
      </c>
      <c r="Q1484" t="s">
        <v>35</v>
      </c>
      <c r="R1484" t="s">
        <v>35</v>
      </c>
      <c r="S1484" t="s">
        <v>34</v>
      </c>
      <c r="AD1484">
        <v>20170124</v>
      </c>
      <c r="AF1484" t="str">
        <f>IFERROR(VLOOKUP(RIGHT(TblFeedFile1[[#This Row],[Leave Type ]],6),LkupPayType[],2,FALSE),"TBD")</f>
        <v>TBD</v>
      </c>
      <c r="AG1484" t="str">
        <f>IFERROR(VLOOKUP(TblFeedFile1[[#This Row],[ Report Number ]],LkupPayrollCycle[],2,FALSE),"TBD")</f>
        <v>Bi-Weekly</v>
      </c>
      <c r="AH1484" t="str">
        <f>IF(TblFeedFile1[[#This Row],[Return to Work Date ]]="","","Y")</f>
        <v/>
      </c>
    </row>
    <row r="1485" spans="1:34" x14ac:dyDescent="0.25">
      <c r="A1485" t="s">
        <v>37</v>
      </c>
      <c r="B1485">
        <v>314301</v>
      </c>
      <c r="C1485">
        <v>29671984</v>
      </c>
      <c r="D1485" s="1" t="s">
        <v>1790</v>
      </c>
      <c r="E1485" t="s">
        <v>299</v>
      </c>
      <c r="F1485" t="s">
        <v>1791</v>
      </c>
      <c r="G1485">
        <v>20170124</v>
      </c>
      <c r="H1485">
        <v>20170124</v>
      </c>
      <c r="I1485" t="s">
        <v>33</v>
      </c>
      <c r="L1485" t="s">
        <v>34</v>
      </c>
      <c r="M1485" t="s">
        <v>34</v>
      </c>
      <c r="N1485" t="s">
        <v>35</v>
      </c>
      <c r="O1485" t="s">
        <v>35</v>
      </c>
      <c r="P1485" t="s">
        <v>35</v>
      </c>
      <c r="Q1485" t="s">
        <v>35</v>
      </c>
      <c r="R1485" t="s">
        <v>35</v>
      </c>
      <c r="S1485" t="s">
        <v>34</v>
      </c>
      <c r="AC1485" t="s">
        <v>35</v>
      </c>
      <c r="AD1485">
        <v>20170124</v>
      </c>
      <c r="AF1485" t="str">
        <f>IFERROR(VLOOKUP(RIGHT(TblFeedFile1[[#This Row],[Leave Type ]],6),LkupPayType[],2,FALSE),"TBD")</f>
        <v>TBD</v>
      </c>
      <c r="AG1485" t="str">
        <f>IFERROR(VLOOKUP(TblFeedFile1[[#This Row],[ Report Number ]],LkupPayrollCycle[],2,FALSE),"TBD")</f>
        <v>Semi-Monthly</v>
      </c>
      <c r="AH1485" t="str">
        <f>IF(TblFeedFile1[[#This Row],[Return to Work Date ]]="","","Y")</f>
        <v/>
      </c>
    </row>
    <row r="1486" spans="1:34" x14ac:dyDescent="0.25">
      <c r="A1486" t="s">
        <v>37</v>
      </c>
      <c r="B1486">
        <v>314304</v>
      </c>
      <c r="C1486">
        <v>29672609</v>
      </c>
      <c r="D1486" s="1">
        <v>521701108032</v>
      </c>
      <c r="E1486" t="s">
        <v>307</v>
      </c>
      <c r="F1486" t="s">
        <v>1792</v>
      </c>
      <c r="G1486">
        <v>20170124</v>
      </c>
      <c r="H1486">
        <v>20180117</v>
      </c>
      <c r="I1486" t="s">
        <v>40</v>
      </c>
      <c r="L1486" t="s">
        <v>34</v>
      </c>
      <c r="M1486" t="s">
        <v>34</v>
      </c>
      <c r="N1486" t="s">
        <v>35</v>
      </c>
      <c r="O1486" t="s">
        <v>35</v>
      </c>
      <c r="P1486" t="s">
        <v>35</v>
      </c>
      <c r="Q1486" t="s">
        <v>35</v>
      </c>
      <c r="R1486" t="s">
        <v>35</v>
      </c>
      <c r="S1486" t="s">
        <v>34</v>
      </c>
      <c r="AD1486">
        <v>20170124</v>
      </c>
      <c r="AF1486" t="str">
        <f>IFERROR(VLOOKUP(RIGHT(TblFeedFile1[[#This Row],[Leave Type ]],6),LkupPayType[],2,FALSE),"TBD")</f>
        <v>TBD</v>
      </c>
      <c r="AG1486" t="str">
        <f>IFERROR(VLOOKUP(TblFeedFile1[[#This Row],[ Report Number ]],LkupPayrollCycle[],2,FALSE),"TBD")</f>
        <v>Bi-Weekly</v>
      </c>
      <c r="AH1486" t="str">
        <f>IF(TblFeedFile1[[#This Row],[Return to Work Date ]]="","","Y")</f>
        <v/>
      </c>
    </row>
    <row r="1487" spans="1:34" x14ac:dyDescent="0.25">
      <c r="A1487" t="s">
        <v>37</v>
      </c>
      <c r="B1487">
        <v>314304</v>
      </c>
      <c r="C1487">
        <v>29690034</v>
      </c>
      <c r="D1487" s="1" t="s">
        <v>1793</v>
      </c>
      <c r="E1487" t="s">
        <v>1794</v>
      </c>
      <c r="F1487" t="s">
        <v>1795</v>
      </c>
      <c r="G1487">
        <v>20161018</v>
      </c>
      <c r="H1487">
        <v>20170116</v>
      </c>
      <c r="I1487" t="s">
        <v>36</v>
      </c>
      <c r="L1487" t="s">
        <v>34</v>
      </c>
      <c r="M1487" t="s">
        <v>34</v>
      </c>
      <c r="N1487" t="s">
        <v>35</v>
      </c>
      <c r="O1487" t="s">
        <v>35</v>
      </c>
      <c r="P1487" t="s">
        <v>35</v>
      </c>
      <c r="Q1487" t="s">
        <v>35</v>
      </c>
      <c r="R1487" t="s">
        <v>35</v>
      </c>
      <c r="S1487" t="s">
        <v>34</v>
      </c>
      <c r="T1487">
        <v>20170117</v>
      </c>
      <c r="AD1487">
        <v>20170124</v>
      </c>
      <c r="AF1487" t="str">
        <f>IFERROR(VLOOKUP(RIGHT(TblFeedFile1[[#This Row],[Leave Type ]],6),LkupPayType[],2,FALSE),"TBD")</f>
        <v>TBD</v>
      </c>
      <c r="AG1487" t="str">
        <f>IFERROR(VLOOKUP(TblFeedFile1[[#This Row],[ Report Number ]],LkupPayrollCycle[],2,FALSE),"TBD")</f>
        <v>Bi-Weekly</v>
      </c>
      <c r="AH1487" t="str">
        <f>IF(TblFeedFile1[[#This Row],[Return to Work Date ]]="","","Y")</f>
        <v>Y</v>
      </c>
    </row>
    <row r="1488" spans="1:34" x14ac:dyDescent="0.25">
      <c r="A1488" t="s">
        <v>29</v>
      </c>
      <c r="B1488">
        <v>314305</v>
      </c>
      <c r="C1488">
        <v>29698539</v>
      </c>
      <c r="D1488" s="1">
        <v>511701128581</v>
      </c>
      <c r="E1488" t="s">
        <v>208</v>
      </c>
      <c r="F1488" t="s">
        <v>1796</v>
      </c>
      <c r="G1488">
        <v>20170112</v>
      </c>
      <c r="H1488">
        <v>20170205</v>
      </c>
      <c r="I1488" t="s">
        <v>40</v>
      </c>
      <c r="L1488" t="s">
        <v>35</v>
      </c>
      <c r="AD1488">
        <v>20170124</v>
      </c>
      <c r="AF1488" t="str">
        <f>IFERROR(VLOOKUP(RIGHT(TblFeedFile1[[#This Row],[Leave Type ]],6),LkupPayType[],2,FALSE),"TBD")</f>
        <v>TBD</v>
      </c>
      <c r="AG1488" t="str">
        <f>IFERROR(VLOOKUP(TblFeedFile1[[#This Row],[ Report Number ]],LkupPayrollCycle[],2,FALSE),"TBD")</f>
        <v>Bi-Weekly</v>
      </c>
      <c r="AH1488" t="str">
        <f>IF(TblFeedFile1[[#This Row],[Return to Work Date ]]="","","Y")</f>
        <v/>
      </c>
    </row>
    <row r="1489" spans="1:34" x14ac:dyDescent="0.25">
      <c r="A1489" t="s">
        <v>37</v>
      </c>
      <c r="B1489">
        <v>314305</v>
      </c>
      <c r="C1489">
        <v>29698539</v>
      </c>
      <c r="D1489" s="1" t="s">
        <v>1797</v>
      </c>
      <c r="E1489" t="s">
        <v>208</v>
      </c>
      <c r="F1489" t="s">
        <v>1796</v>
      </c>
      <c r="G1489">
        <v>20160411</v>
      </c>
      <c r="H1489">
        <v>20160729</v>
      </c>
      <c r="I1489" t="s">
        <v>36</v>
      </c>
      <c r="L1489" t="s">
        <v>34</v>
      </c>
      <c r="M1489" t="s">
        <v>34</v>
      </c>
      <c r="N1489" t="s">
        <v>35</v>
      </c>
      <c r="O1489" t="s">
        <v>35</v>
      </c>
      <c r="P1489" t="s">
        <v>35</v>
      </c>
      <c r="Q1489" t="s">
        <v>35</v>
      </c>
      <c r="R1489" t="s">
        <v>35</v>
      </c>
      <c r="S1489" t="s">
        <v>34</v>
      </c>
      <c r="AD1489">
        <v>20170124</v>
      </c>
      <c r="AF1489" t="str">
        <f>IFERROR(VLOOKUP(RIGHT(TblFeedFile1[[#This Row],[Leave Type ]],6),LkupPayType[],2,FALSE),"TBD")</f>
        <v>TBD</v>
      </c>
      <c r="AG1489" t="str">
        <f>IFERROR(VLOOKUP(TblFeedFile1[[#This Row],[ Report Number ]],LkupPayrollCycle[],2,FALSE),"TBD")</f>
        <v>Bi-Weekly</v>
      </c>
      <c r="AH1489" t="str">
        <f>IF(TblFeedFile1[[#This Row],[Return to Work Date ]]="","","Y")</f>
        <v/>
      </c>
    </row>
    <row r="1490" spans="1:34" x14ac:dyDescent="0.25">
      <c r="A1490" t="s">
        <v>37</v>
      </c>
      <c r="B1490">
        <v>314305</v>
      </c>
      <c r="C1490">
        <v>29698539</v>
      </c>
      <c r="D1490" s="1" t="s">
        <v>1798</v>
      </c>
      <c r="E1490" t="s">
        <v>208</v>
      </c>
      <c r="F1490" t="s">
        <v>1796</v>
      </c>
      <c r="G1490">
        <v>20170112</v>
      </c>
      <c r="H1490">
        <v>20170205</v>
      </c>
      <c r="I1490" t="s">
        <v>36</v>
      </c>
      <c r="L1490" t="s">
        <v>35</v>
      </c>
      <c r="AD1490">
        <v>20170124</v>
      </c>
      <c r="AF1490" t="str">
        <f>IFERROR(VLOOKUP(RIGHT(TblFeedFile1[[#This Row],[Leave Type ]],6),LkupPayType[],2,FALSE),"TBD")</f>
        <v>TBD</v>
      </c>
      <c r="AG1490" t="str">
        <f>IFERROR(VLOOKUP(TblFeedFile1[[#This Row],[ Report Number ]],LkupPayrollCycle[],2,FALSE),"TBD")</f>
        <v>Bi-Weekly</v>
      </c>
      <c r="AH1490" t="str">
        <f>IF(TblFeedFile1[[#This Row],[Return to Work Date ]]="","","Y")</f>
        <v/>
      </c>
    </row>
    <row r="1491" spans="1:34" x14ac:dyDescent="0.25">
      <c r="A1491" t="s">
        <v>37</v>
      </c>
      <c r="B1491">
        <v>314304</v>
      </c>
      <c r="C1491">
        <v>29730220</v>
      </c>
      <c r="D1491" s="1" t="s">
        <v>1799</v>
      </c>
      <c r="E1491" t="s">
        <v>1338</v>
      </c>
      <c r="F1491" t="s">
        <v>1800</v>
      </c>
      <c r="G1491">
        <v>20170123</v>
      </c>
      <c r="H1491">
        <v>20170512</v>
      </c>
      <c r="I1491" t="s">
        <v>223</v>
      </c>
      <c r="L1491" t="s">
        <v>34</v>
      </c>
      <c r="M1491" t="s">
        <v>34</v>
      </c>
      <c r="N1491" t="s">
        <v>35</v>
      </c>
      <c r="O1491" t="s">
        <v>35</v>
      </c>
      <c r="P1491" t="s">
        <v>35</v>
      </c>
      <c r="Q1491" t="s">
        <v>35</v>
      </c>
      <c r="R1491" t="s">
        <v>35</v>
      </c>
      <c r="S1491" t="s">
        <v>34</v>
      </c>
      <c r="AD1491">
        <v>20170124</v>
      </c>
      <c r="AF1491" t="str">
        <f>IFERROR(VLOOKUP(RIGHT(TblFeedFile1[[#This Row],[Leave Type ]],6),LkupPayType[],2,FALSE),"TBD")</f>
        <v>TBD</v>
      </c>
      <c r="AG1491" t="str">
        <f>IFERROR(VLOOKUP(TblFeedFile1[[#This Row],[ Report Number ]],LkupPayrollCycle[],2,FALSE),"TBD")</f>
        <v>Bi-Weekly</v>
      </c>
      <c r="AH1491" t="str">
        <f>IF(TblFeedFile1[[#This Row],[Return to Work Date ]]="","","Y")</f>
        <v/>
      </c>
    </row>
    <row r="1492" spans="1:34" x14ac:dyDescent="0.25">
      <c r="A1492" t="s">
        <v>37</v>
      </c>
      <c r="B1492">
        <v>314301</v>
      </c>
      <c r="C1492">
        <v>29741181</v>
      </c>
      <c r="D1492" s="1" t="s">
        <v>1801</v>
      </c>
      <c r="E1492" t="s">
        <v>1802</v>
      </c>
      <c r="F1492" t="s">
        <v>1803</v>
      </c>
      <c r="G1492">
        <v>20170124</v>
      </c>
      <c r="H1492">
        <v>20170224</v>
      </c>
      <c r="I1492" t="s">
        <v>49</v>
      </c>
      <c r="L1492" t="s">
        <v>34</v>
      </c>
      <c r="M1492" t="s">
        <v>34</v>
      </c>
      <c r="N1492" t="s">
        <v>35</v>
      </c>
      <c r="O1492" t="s">
        <v>35</v>
      </c>
      <c r="P1492" t="s">
        <v>35</v>
      </c>
      <c r="Q1492" t="s">
        <v>35</v>
      </c>
      <c r="R1492" t="s">
        <v>35</v>
      </c>
      <c r="S1492" t="s">
        <v>34</v>
      </c>
      <c r="AD1492">
        <v>20170124</v>
      </c>
      <c r="AF1492" t="str">
        <f>IFERROR(VLOOKUP(RIGHT(TblFeedFile1[[#This Row],[Leave Type ]],6),LkupPayType[],2,FALSE),"TBD")</f>
        <v>TBD</v>
      </c>
      <c r="AG1492" t="str">
        <f>IFERROR(VLOOKUP(TblFeedFile1[[#This Row],[ Report Number ]],LkupPayrollCycle[],2,FALSE),"TBD")</f>
        <v>Semi-Monthly</v>
      </c>
      <c r="AH1492" t="str">
        <f>IF(TblFeedFile1[[#This Row],[Return to Work Date ]]="","","Y")</f>
        <v/>
      </c>
    </row>
    <row r="1493" spans="1:34" x14ac:dyDescent="0.25">
      <c r="A1493" t="s">
        <v>37</v>
      </c>
      <c r="B1493">
        <v>314304</v>
      </c>
      <c r="C1493">
        <v>29747329</v>
      </c>
      <c r="D1493" s="1" t="s">
        <v>1804</v>
      </c>
      <c r="E1493" t="s">
        <v>818</v>
      </c>
      <c r="F1493" t="s">
        <v>1805</v>
      </c>
      <c r="G1493">
        <v>20170122</v>
      </c>
      <c r="H1493">
        <v>20170519</v>
      </c>
      <c r="I1493" t="s">
        <v>127</v>
      </c>
      <c r="L1493" t="s">
        <v>35</v>
      </c>
      <c r="AD1493">
        <v>20170124</v>
      </c>
      <c r="AF1493" t="str">
        <f>IFERROR(VLOOKUP(RIGHT(TblFeedFile1[[#This Row],[Leave Type ]],6),LkupPayType[],2,FALSE),"TBD")</f>
        <v>TBD</v>
      </c>
      <c r="AG1493" t="str">
        <f>IFERROR(VLOOKUP(TblFeedFile1[[#This Row],[ Report Number ]],LkupPayrollCycle[],2,FALSE),"TBD")</f>
        <v>Bi-Weekly</v>
      </c>
      <c r="AH1493" t="str">
        <f>IF(TblFeedFile1[[#This Row],[Return to Work Date ]]="","","Y")</f>
        <v/>
      </c>
    </row>
    <row r="1494" spans="1:34" x14ac:dyDescent="0.25">
      <c r="A1494" t="s">
        <v>29</v>
      </c>
      <c r="B1494">
        <v>314304</v>
      </c>
      <c r="C1494">
        <v>29750894</v>
      </c>
      <c r="D1494" s="1">
        <v>501701178260</v>
      </c>
      <c r="E1494" t="s">
        <v>1806</v>
      </c>
      <c r="F1494" t="s">
        <v>1807</v>
      </c>
      <c r="G1494">
        <v>20170102</v>
      </c>
      <c r="H1494">
        <v>20170102</v>
      </c>
      <c r="I1494" t="s">
        <v>43</v>
      </c>
      <c r="L1494" t="s">
        <v>34</v>
      </c>
      <c r="M1494" t="s">
        <v>34</v>
      </c>
      <c r="N1494" t="s">
        <v>35</v>
      </c>
      <c r="O1494" t="s">
        <v>35</v>
      </c>
      <c r="P1494" t="s">
        <v>35</v>
      </c>
      <c r="Q1494" t="s">
        <v>35</v>
      </c>
      <c r="R1494" t="s">
        <v>35</v>
      </c>
      <c r="S1494" t="s">
        <v>34</v>
      </c>
      <c r="AD1494">
        <v>20170124</v>
      </c>
      <c r="AF1494" t="str">
        <f>IFERROR(VLOOKUP(RIGHT(TblFeedFile1[[#This Row],[Leave Type ]],6),LkupPayType[],2,FALSE),"TBD")</f>
        <v>TBD</v>
      </c>
      <c r="AG1494" t="str">
        <f>IFERROR(VLOOKUP(TblFeedFile1[[#This Row],[ Report Number ]],LkupPayrollCycle[],2,FALSE),"TBD")</f>
        <v>Bi-Weekly</v>
      </c>
      <c r="AH1494" t="str">
        <f>IF(TblFeedFile1[[#This Row],[Return to Work Date ]]="","","Y")</f>
        <v/>
      </c>
    </row>
    <row r="1495" spans="1:34" x14ac:dyDescent="0.25">
      <c r="A1495" t="s">
        <v>37</v>
      </c>
      <c r="B1495">
        <v>314304</v>
      </c>
      <c r="C1495">
        <v>29771072</v>
      </c>
      <c r="D1495" s="1" t="s">
        <v>1808</v>
      </c>
      <c r="E1495" t="s">
        <v>1809</v>
      </c>
      <c r="F1495" t="s">
        <v>1810</v>
      </c>
      <c r="G1495">
        <v>20161227</v>
      </c>
      <c r="H1495">
        <v>20170207</v>
      </c>
      <c r="I1495" t="s">
        <v>78</v>
      </c>
      <c r="K1495" t="s">
        <v>79</v>
      </c>
      <c r="L1495" t="s">
        <v>34</v>
      </c>
      <c r="M1495" t="s">
        <v>34</v>
      </c>
      <c r="N1495" t="s">
        <v>35</v>
      </c>
      <c r="O1495" t="s">
        <v>35</v>
      </c>
      <c r="P1495" t="s">
        <v>35</v>
      </c>
      <c r="Q1495" t="s">
        <v>35</v>
      </c>
      <c r="R1495" t="s">
        <v>35</v>
      </c>
      <c r="S1495" t="s">
        <v>34</v>
      </c>
      <c r="AD1495">
        <v>20170124</v>
      </c>
      <c r="AF1495" t="str">
        <f>IFERROR(VLOOKUP(RIGHT(TblFeedFile1[[#This Row],[Leave Type ]],6),LkupPayType[],2,FALSE),"TBD")</f>
        <v>TBD</v>
      </c>
      <c r="AG1495" t="str">
        <f>IFERROR(VLOOKUP(TblFeedFile1[[#This Row],[ Report Number ]],LkupPayrollCycle[],2,FALSE),"TBD")</f>
        <v>Bi-Weekly</v>
      </c>
      <c r="AH1495" t="str">
        <f>IF(TblFeedFile1[[#This Row],[Return to Work Date ]]="","","Y")</f>
        <v/>
      </c>
    </row>
    <row r="1496" spans="1:34" x14ac:dyDescent="0.25">
      <c r="A1496" t="s">
        <v>37</v>
      </c>
      <c r="B1496">
        <v>314304</v>
      </c>
      <c r="C1496">
        <v>29771072</v>
      </c>
      <c r="D1496" s="1">
        <v>561701238356</v>
      </c>
      <c r="E1496" t="s">
        <v>1809</v>
      </c>
      <c r="F1496" t="s">
        <v>1810</v>
      </c>
      <c r="G1496">
        <v>20170105</v>
      </c>
      <c r="H1496">
        <v>20170207</v>
      </c>
      <c r="I1496" t="s">
        <v>53</v>
      </c>
      <c r="L1496" t="s">
        <v>34</v>
      </c>
      <c r="M1496" t="s">
        <v>34</v>
      </c>
      <c r="N1496" t="s">
        <v>35</v>
      </c>
      <c r="O1496" t="s">
        <v>35</v>
      </c>
      <c r="P1496" t="s">
        <v>35</v>
      </c>
      <c r="Q1496" t="s">
        <v>35</v>
      </c>
      <c r="R1496" t="s">
        <v>35</v>
      </c>
      <c r="S1496" t="s">
        <v>34</v>
      </c>
      <c r="AD1496">
        <v>20170124</v>
      </c>
      <c r="AF1496" t="str">
        <f>IFERROR(VLOOKUP(RIGHT(TblFeedFile1[[#This Row],[Leave Type ]],6),LkupPayType[],2,FALSE),"TBD")</f>
        <v>TBD</v>
      </c>
      <c r="AG1496" t="str">
        <f>IFERROR(VLOOKUP(TblFeedFile1[[#This Row],[ Report Number ]],LkupPayrollCycle[],2,FALSE),"TBD")</f>
        <v>Bi-Weekly</v>
      </c>
      <c r="AH1496" t="str">
        <f>IF(TblFeedFile1[[#This Row],[Return to Work Date ]]="","","Y")</f>
        <v/>
      </c>
    </row>
    <row r="1497" spans="1:34" x14ac:dyDescent="0.25">
      <c r="A1497" t="s">
        <v>37</v>
      </c>
      <c r="B1497">
        <v>314304</v>
      </c>
      <c r="C1497">
        <v>29771072</v>
      </c>
      <c r="D1497" s="1" t="s">
        <v>1808</v>
      </c>
      <c r="E1497" t="s">
        <v>1809</v>
      </c>
      <c r="F1497" t="s">
        <v>1810</v>
      </c>
      <c r="G1497">
        <v>20170106</v>
      </c>
      <c r="H1497">
        <v>20170106</v>
      </c>
      <c r="I1497" t="s">
        <v>33</v>
      </c>
      <c r="L1497" t="s">
        <v>34</v>
      </c>
      <c r="M1497" t="s">
        <v>34</v>
      </c>
      <c r="N1497" t="s">
        <v>35</v>
      </c>
      <c r="O1497" t="s">
        <v>35</v>
      </c>
      <c r="P1497" t="s">
        <v>35</v>
      </c>
      <c r="Q1497" t="s">
        <v>35</v>
      </c>
      <c r="R1497" t="s">
        <v>35</v>
      </c>
      <c r="S1497" t="s">
        <v>34</v>
      </c>
      <c r="AD1497">
        <v>20170124</v>
      </c>
      <c r="AF1497" t="str">
        <f>IFERROR(VLOOKUP(RIGHT(TblFeedFile1[[#This Row],[Leave Type ]],6),LkupPayType[],2,FALSE),"TBD")</f>
        <v>TBD</v>
      </c>
      <c r="AG1497" t="str">
        <f>IFERROR(VLOOKUP(TblFeedFile1[[#This Row],[ Report Number ]],LkupPayrollCycle[],2,FALSE),"TBD")</f>
        <v>Bi-Weekly</v>
      </c>
      <c r="AH1497" t="str">
        <f>IF(TblFeedFile1[[#This Row],[Return to Work Date ]]="","","Y")</f>
        <v/>
      </c>
    </row>
    <row r="1498" spans="1:34" x14ac:dyDescent="0.25">
      <c r="A1498" t="s">
        <v>37</v>
      </c>
      <c r="B1498">
        <v>314304</v>
      </c>
      <c r="C1498">
        <v>29771072</v>
      </c>
      <c r="D1498" s="1">
        <v>561701238356</v>
      </c>
      <c r="E1498" t="s">
        <v>1809</v>
      </c>
      <c r="F1498" t="s">
        <v>1810</v>
      </c>
      <c r="G1498">
        <v>20170112</v>
      </c>
      <c r="H1498">
        <v>20170207</v>
      </c>
      <c r="I1498" t="s">
        <v>40</v>
      </c>
      <c r="L1498" t="s">
        <v>34</v>
      </c>
      <c r="M1498" t="s">
        <v>34</v>
      </c>
      <c r="N1498" t="s">
        <v>35</v>
      </c>
      <c r="O1498" t="s">
        <v>35</v>
      </c>
      <c r="P1498" t="s">
        <v>35</v>
      </c>
      <c r="Q1498" t="s">
        <v>35</v>
      </c>
      <c r="R1498" t="s">
        <v>35</v>
      </c>
      <c r="S1498" t="s">
        <v>34</v>
      </c>
      <c r="AD1498">
        <v>20170124</v>
      </c>
      <c r="AF1498" t="str">
        <f>IFERROR(VLOOKUP(RIGHT(TblFeedFile1[[#This Row],[Leave Type ]],6),LkupPayType[],2,FALSE),"TBD")</f>
        <v>TBD</v>
      </c>
      <c r="AG1498" t="str">
        <f>IFERROR(VLOOKUP(TblFeedFile1[[#This Row],[ Report Number ]],LkupPayrollCycle[],2,FALSE),"TBD")</f>
        <v>Bi-Weekly</v>
      </c>
      <c r="AH1498" t="str">
        <f>IF(TblFeedFile1[[#This Row],[Return to Work Date ]]="","","Y")</f>
        <v/>
      </c>
    </row>
    <row r="1499" spans="1:34" x14ac:dyDescent="0.25">
      <c r="A1499" t="s">
        <v>37</v>
      </c>
      <c r="B1499">
        <v>314304</v>
      </c>
      <c r="C1499">
        <v>29775956</v>
      </c>
      <c r="D1499" s="1" t="s">
        <v>1811</v>
      </c>
      <c r="E1499" t="s">
        <v>112</v>
      </c>
      <c r="F1499" t="s">
        <v>344</v>
      </c>
      <c r="G1499">
        <v>20170117</v>
      </c>
      <c r="H1499">
        <v>20170213</v>
      </c>
      <c r="I1499" t="s">
        <v>78</v>
      </c>
      <c r="K1499" t="s">
        <v>79</v>
      </c>
      <c r="L1499" t="s">
        <v>34</v>
      </c>
      <c r="M1499" t="s">
        <v>34</v>
      </c>
      <c r="N1499" t="s">
        <v>35</v>
      </c>
      <c r="O1499" t="s">
        <v>35</v>
      </c>
      <c r="P1499" t="s">
        <v>35</v>
      </c>
      <c r="Q1499" t="s">
        <v>35</v>
      </c>
      <c r="R1499" t="s">
        <v>35</v>
      </c>
      <c r="S1499" t="s">
        <v>34</v>
      </c>
      <c r="AD1499">
        <v>20170124</v>
      </c>
      <c r="AF1499" t="str">
        <f>IFERROR(VLOOKUP(RIGHT(TblFeedFile1[[#This Row],[Leave Type ]],6),LkupPayType[],2,FALSE),"TBD")</f>
        <v>TBD</v>
      </c>
      <c r="AG1499" t="str">
        <f>IFERROR(VLOOKUP(TblFeedFile1[[#This Row],[ Report Number ]],LkupPayrollCycle[],2,FALSE),"TBD")</f>
        <v>Bi-Weekly</v>
      </c>
      <c r="AH1499" t="str">
        <f>IF(TblFeedFile1[[#This Row],[Return to Work Date ]]="","","Y")</f>
        <v/>
      </c>
    </row>
    <row r="1500" spans="1:34" x14ac:dyDescent="0.25">
      <c r="A1500" t="s">
        <v>37</v>
      </c>
      <c r="B1500">
        <v>314304</v>
      </c>
      <c r="C1500">
        <v>29775956</v>
      </c>
      <c r="D1500" s="1" t="s">
        <v>1812</v>
      </c>
      <c r="E1500" t="s">
        <v>112</v>
      </c>
      <c r="F1500" t="s">
        <v>344</v>
      </c>
      <c r="G1500">
        <v>20170117</v>
      </c>
      <c r="H1500">
        <v>20170213</v>
      </c>
      <c r="I1500" t="s">
        <v>36</v>
      </c>
      <c r="L1500" t="s">
        <v>34</v>
      </c>
      <c r="M1500" t="s">
        <v>34</v>
      </c>
      <c r="N1500" t="s">
        <v>35</v>
      </c>
      <c r="O1500" t="s">
        <v>35</v>
      </c>
      <c r="P1500" t="s">
        <v>35</v>
      </c>
      <c r="Q1500" t="s">
        <v>35</v>
      </c>
      <c r="R1500" t="s">
        <v>35</v>
      </c>
      <c r="S1500" t="s">
        <v>34</v>
      </c>
      <c r="AD1500">
        <v>20170124</v>
      </c>
      <c r="AF1500" t="str">
        <f>IFERROR(VLOOKUP(RIGHT(TblFeedFile1[[#This Row],[Leave Type ]],6),LkupPayType[],2,FALSE),"TBD")</f>
        <v>TBD</v>
      </c>
      <c r="AG1500" t="str">
        <f>IFERROR(VLOOKUP(TblFeedFile1[[#This Row],[ Report Number ]],LkupPayrollCycle[],2,FALSE),"TBD")</f>
        <v>Bi-Weekly</v>
      </c>
      <c r="AH1500" t="str">
        <f>IF(TblFeedFile1[[#This Row],[Return to Work Date ]]="","","Y")</f>
        <v/>
      </c>
    </row>
    <row r="1501" spans="1:34" x14ac:dyDescent="0.25">
      <c r="A1501" t="s">
        <v>37</v>
      </c>
      <c r="B1501">
        <v>314304</v>
      </c>
      <c r="C1501">
        <v>29775956</v>
      </c>
      <c r="D1501" s="1">
        <v>571701248487</v>
      </c>
      <c r="E1501" t="s">
        <v>112</v>
      </c>
      <c r="F1501" t="s">
        <v>344</v>
      </c>
      <c r="G1501">
        <v>20170117</v>
      </c>
      <c r="I1501" t="s">
        <v>53</v>
      </c>
      <c r="L1501" t="s">
        <v>34</v>
      </c>
      <c r="M1501" t="s">
        <v>34</v>
      </c>
      <c r="N1501" t="s">
        <v>35</v>
      </c>
      <c r="O1501" t="s">
        <v>35</v>
      </c>
      <c r="P1501" t="s">
        <v>35</v>
      </c>
      <c r="Q1501" t="s">
        <v>35</v>
      </c>
      <c r="R1501" t="s">
        <v>35</v>
      </c>
      <c r="S1501" t="s">
        <v>34</v>
      </c>
      <c r="AD1501">
        <v>20170124</v>
      </c>
      <c r="AF1501" t="str">
        <f>IFERROR(VLOOKUP(RIGHT(TblFeedFile1[[#This Row],[Leave Type ]],6),LkupPayType[],2,FALSE),"TBD")</f>
        <v>TBD</v>
      </c>
      <c r="AG1501" t="str">
        <f>IFERROR(VLOOKUP(TblFeedFile1[[#This Row],[ Report Number ]],LkupPayrollCycle[],2,FALSE),"TBD")</f>
        <v>Bi-Weekly</v>
      </c>
      <c r="AH1501" t="str">
        <f>IF(TblFeedFile1[[#This Row],[Return to Work Date ]]="","","Y")</f>
        <v/>
      </c>
    </row>
    <row r="1502" spans="1:34" x14ac:dyDescent="0.25">
      <c r="A1502" t="s">
        <v>29</v>
      </c>
      <c r="B1502">
        <v>314304</v>
      </c>
      <c r="C1502">
        <v>29791038</v>
      </c>
      <c r="D1502" s="1">
        <v>551701048075</v>
      </c>
      <c r="E1502" t="s">
        <v>323</v>
      </c>
      <c r="F1502" t="s">
        <v>1813</v>
      </c>
      <c r="G1502">
        <v>20170116</v>
      </c>
      <c r="H1502">
        <v>20170308</v>
      </c>
      <c r="I1502" t="s">
        <v>40</v>
      </c>
      <c r="L1502" t="s">
        <v>34</v>
      </c>
      <c r="M1502" t="s">
        <v>34</v>
      </c>
      <c r="N1502" t="s">
        <v>35</v>
      </c>
      <c r="O1502" t="s">
        <v>35</v>
      </c>
      <c r="P1502" t="s">
        <v>35</v>
      </c>
      <c r="Q1502" t="s">
        <v>35</v>
      </c>
      <c r="R1502" t="s">
        <v>35</v>
      </c>
      <c r="S1502" t="s">
        <v>34</v>
      </c>
      <c r="AD1502">
        <v>20170124</v>
      </c>
      <c r="AF1502" t="str">
        <f>IFERROR(VLOOKUP(RIGHT(TblFeedFile1[[#This Row],[Leave Type ]],6),LkupPayType[],2,FALSE),"TBD")</f>
        <v>TBD</v>
      </c>
      <c r="AG1502" t="str">
        <f>IFERROR(VLOOKUP(TblFeedFile1[[#This Row],[ Report Number ]],LkupPayrollCycle[],2,FALSE),"TBD")</f>
        <v>Bi-Weekly</v>
      </c>
      <c r="AH1502" t="str">
        <f>IF(TblFeedFile1[[#This Row],[Return to Work Date ]]="","","Y")</f>
        <v/>
      </c>
    </row>
    <row r="1503" spans="1:34" x14ac:dyDescent="0.25">
      <c r="A1503" t="s">
        <v>37</v>
      </c>
      <c r="B1503">
        <v>314304</v>
      </c>
      <c r="C1503">
        <v>29791038</v>
      </c>
      <c r="D1503" s="1" t="s">
        <v>1814</v>
      </c>
      <c r="E1503" t="s">
        <v>323</v>
      </c>
      <c r="F1503" t="s">
        <v>1813</v>
      </c>
      <c r="G1503">
        <v>20170116</v>
      </c>
      <c r="H1503">
        <v>20170224</v>
      </c>
      <c r="I1503" t="s">
        <v>36</v>
      </c>
      <c r="L1503" t="s">
        <v>34</v>
      </c>
      <c r="M1503" t="s">
        <v>34</v>
      </c>
      <c r="N1503" t="s">
        <v>35</v>
      </c>
      <c r="O1503" t="s">
        <v>35</v>
      </c>
      <c r="P1503" t="s">
        <v>35</v>
      </c>
      <c r="Q1503" t="s">
        <v>35</v>
      </c>
      <c r="R1503" t="s">
        <v>35</v>
      </c>
      <c r="S1503" t="s">
        <v>34</v>
      </c>
      <c r="AD1503">
        <v>20170124</v>
      </c>
      <c r="AF1503" t="str">
        <f>IFERROR(VLOOKUP(RIGHT(TblFeedFile1[[#This Row],[Leave Type ]],6),LkupPayType[],2,FALSE),"TBD")</f>
        <v>TBD</v>
      </c>
      <c r="AG1503" t="str">
        <f>IFERROR(VLOOKUP(TblFeedFile1[[#This Row],[ Report Number ]],LkupPayrollCycle[],2,FALSE),"TBD")</f>
        <v>Bi-Weekly</v>
      </c>
      <c r="AH1503" t="str">
        <f>IF(TblFeedFile1[[#This Row],[Return to Work Date ]]="","","Y")</f>
        <v/>
      </c>
    </row>
    <row r="1504" spans="1:34" x14ac:dyDescent="0.25">
      <c r="A1504" t="s">
        <v>37</v>
      </c>
      <c r="B1504">
        <v>314304</v>
      </c>
      <c r="C1504">
        <v>29803352</v>
      </c>
      <c r="D1504" s="1" t="s">
        <v>1815</v>
      </c>
      <c r="E1504" t="s">
        <v>1112</v>
      </c>
      <c r="F1504" t="s">
        <v>1816</v>
      </c>
      <c r="G1504">
        <v>20170113</v>
      </c>
      <c r="H1504">
        <v>20170205</v>
      </c>
      <c r="I1504" t="s">
        <v>36</v>
      </c>
      <c r="L1504" t="s">
        <v>34</v>
      </c>
      <c r="M1504" t="s">
        <v>34</v>
      </c>
      <c r="N1504" t="s">
        <v>35</v>
      </c>
      <c r="O1504" t="s">
        <v>35</v>
      </c>
      <c r="P1504" t="s">
        <v>35</v>
      </c>
      <c r="Q1504" t="s">
        <v>35</v>
      </c>
      <c r="R1504" t="s">
        <v>35</v>
      </c>
      <c r="S1504" t="s">
        <v>34</v>
      </c>
      <c r="AD1504">
        <v>20170124</v>
      </c>
      <c r="AF1504" t="str">
        <f>IFERROR(VLOOKUP(RIGHT(TblFeedFile1[[#This Row],[Leave Type ]],6),LkupPayType[],2,FALSE),"TBD")</f>
        <v>TBD</v>
      </c>
      <c r="AG1504" t="str">
        <f>IFERROR(VLOOKUP(TblFeedFile1[[#This Row],[ Report Number ]],LkupPayrollCycle[],2,FALSE),"TBD")</f>
        <v>Bi-Weekly</v>
      </c>
      <c r="AH1504" t="str">
        <f>IF(TblFeedFile1[[#This Row],[Return to Work Date ]]="","","Y")</f>
        <v/>
      </c>
    </row>
    <row r="1505" spans="1:34" x14ac:dyDescent="0.25">
      <c r="A1505" t="s">
        <v>29</v>
      </c>
      <c r="B1505">
        <v>314301</v>
      </c>
      <c r="C1505">
        <v>29808844</v>
      </c>
      <c r="D1505" s="1" t="s">
        <v>1817</v>
      </c>
      <c r="E1505" t="s">
        <v>895</v>
      </c>
      <c r="F1505" t="s">
        <v>1818</v>
      </c>
      <c r="G1505">
        <v>20161214</v>
      </c>
      <c r="H1505">
        <v>20170124</v>
      </c>
      <c r="I1505" t="s">
        <v>223</v>
      </c>
      <c r="L1505" t="s">
        <v>34</v>
      </c>
      <c r="M1505" t="s">
        <v>34</v>
      </c>
      <c r="N1505" t="s">
        <v>35</v>
      </c>
      <c r="O1505" t="s">
        <v>35</v>
      </c>
      <c r="P1505" t="s">
        <v>35</v>
      </c>
      <c r="Q1505" t="s">
        <v>35</v>
      </c>
      <c r="R1505" t="s">
        <v>35</v>
      </c>
      <c r="S1505" t="s">
        <v>34</v>
      </c>
      <c r="AC1505" t="s">
        <v>35</v>
      </c>
      <c r="AD1505">
        <v>20170124</v>
      </c>
      <c r="AF1505" t="str">
        <f>IFERROR(VLOOKUP(RIGHT(TblFeedFile1[[#This Row],[Leave Type ]],6),LkupPayType[],2,FALSE),"TBD")</f>
        <v>TBD</v>
      </c>
      <c r="AG1505" t="str">
        <f>IFERROR(VLOOKUP(TblFeedFile1[[#This Row],[ Report Number ]],LkupPayrollCycle[],2,FALSE),"TBD")</f>
        <v>Semi-Monthly</v>
      </c>
      <c r="AH1505" t="str">
        <f>IF(TblFeedFile1[[#This Row],[Return to Work Date ]]="","","Y")</f>
        <v/>
      </c>
    </row>
    <row r="1506" spans="1:34" x14ac:dyDescent="0.25">
      <c r="A1506" t="s">
        <v>37</v>
      </c>
      <c r="B1506">
        <v>314301</v>
      </c>
      <c r="C1506">
        <v>29808844</v>
      </c>
      <c r="D1506" s="1" t="s">
        <v>1817</v>
      </c>
      <c r="E1506" t="s">
        <v>895</v>
      </c>
      <c r="F1506" t="s">
        <v>1818</v>
      </c>
      <c r="G1506">
        <v>20161214</v>
      </c>
      <c r="H1506">
        <v>20170129</v>
      </c>
      <c r="I1506" t="s">
        <v>223</v>
      </c>
      <c r="L1506" t="s">
        <v>34</v>
      </c>
      <c r="M1506" t="s">
        <v>34</v>
      </c>
      <c r="N1506" t="s">
        <v>35</v>
      </c>
      <c r="O1506" t="s">
        <v>35</v>
      </c>
      <c r="P1506" t="s">
        <v>35</v>
      </c>
      <c r="Q1506" t="s">
        <v>35</v>
      </c>
      <c r="R1506" t="s">
        <v>35</v>
      </c>
      <c r="S1506" t="s">
        <v>34</v>
      </c>
      <c r="AC1506" t="s">
        <v>35</v>
      </c>
      <c r="AD1506">
        <v>20170124</v>
      </c>
      <c r="AF1506" t="str">
        <f>IFERROR(VLOOKUP(RIGHT(TblFeedFile1[[#This Row],[Leave Type ]],6),LkupPayType[],2,FALSE),"TBD")</f>
        <v>TBD</v>
      </c>
      <c r="AG1506" t="str">
        <f>IFERROR(VLOOKUP(TblFeedFile1[[#This Row],[ Report Number ]],LkupPayrollCycle[],2,FALSE),"TBD")</f>
        <v>Semi-Monthly</v>
      </c>
      <c r="AH1506" t="str">
        <f>IF(TblFeedFile1[[#This Row],[Return to Work Date ]]="","","Y")</f>
        <v/>
      </c>
    </row>
    <row r="1507" spans="1:34" x14ac:dyDescent="0.25">
      <c r="A1507" t="s">
        <v>29</v>
      </c>
      <c r="B1507">
        <v>314301</v>
      </c>
      <c r="C1507">
        <v>29813483</v>
      </c>
      <c r="D1507" s="1" t="s">
        <v>1819</v>
      </c>
      <c r="E1507" t="s">
        <v>1820</v>
      </c>
      <c r="F1507" t="s">
        <v>1821</v>
      </c>
      <c r="G1507">
        <v>20161019</v>
      </c>
      <c r="H1507">
        <v>20170207</v>
      </c>
      <c r="I1507" t="s">
        <v>223</v>
      </c>
      <c r="L1507" t="s">
        <v>34</v>
      </c>
      <c r="M1507" t="s">
        <v>34</v>
      </c>
      <c r="N1507" t="s">
        <v>35</v>
      </c>
      <c r="O1507" t="s">
        <v>35</v>
      </c>
      <c r="P1507" t="s">
        <v>35</v>
      </c>
      <c r="Q1507" t="s">
        <v>35</v>
      </c>
      <c r="R1507" t="s">
        <v>35</v>
      </c>
      <c r="S1507" t="s">
        <v>34</v>
      </c>
      <c r="AC1507" t="s">
        <v>35</v>
      </c>
      <c r="AD1507">
        <v>20170124</v>
      </c>
      <c r="AF1507" t="str">
        <f>IFERROR(VLOOKUP(RIGHT(TblFeedFile1[[#This Row],[Leave Type ]],6),LkupPayType[],2,FALSE),"TBD")</f>
        <v>TBD</v>
      </c>
      <c r="AG1507" t="str">
        <f>IFERROR(VLOOKUP(TblFeedFile1[[#This Row],[ Report Number ]],LkupPayrollCycle[],2,FALSE),"TBD")</f>
        <v>Semi-Monthly</v>
      </c>
      <c r="AH1507" t="str">
        <f>IF(TblFeedFile1[[#This Row],[Return to Work Date ]]="","","Y")</f>
        <v/>
      </c>
    </row>
    <row r="1508" spans="1:34" x14ac:dyDescent="0.25">
      <c r="A1508" t="s">
        <v>37</v>
      </c>
      <c r="B1508">
        <v>314301</v>
      </c>
      <c r="C1508">
        <v>29813483</v>
      </c>
      <c r="D1508" s="1" t="s">
        <v>1819</v>
      </c>
      <c r="E1508" t="s">
        <v>1820</v>
      </c>
      <c r="F1508" t="s">
        <v>1821</v>
      </c>
      <c r="G1508">
        <v>20161019</v>
      </c>
      <c r="H1508">
        <v>20170418</v>
      </c>
      <c r="I1508" t="s">
        <v>223</v>
      </c>
      <c r="L1508" t="s">
        <v>34</v>
      </c>
      <c r="M1508" t="s">
        <v>34</v>
      </c>
      <c r="N1508" t="s">
        <v>35</v>
      </c>
      <c r="O1508" t="s">
        <v>35</v>
      </c>
      <c r="P1508" t="s">
        <v>35</v>
      </c>
      <c r="Q1508" t="s">
        <v>35</v>
      </c>
      <c r="R1508" t="s">
        <v>35</v>
      </c>
      <c r="S1508" t="s">
        <v>34</v>
      </c>
      <c r="AC1508" t="s">
        <v>35</v>
      </c>
      <c r="AD1508">
        <v>20170124</v>
      </c>
      <c r="AF1508" t="str">
        <f>IFERROR(VLOOKUP(RIGHT(TblFeedFile1[[#This Row],[Leave Type ]],6),LkupPayType[],2,FALSE),"TBD")</f>
        <v>TBD</v>
      </c>
      <c r="AG1508" t="str">
        <f>IFERROR(VLOOKUP(TblFeedFile1[[#This Row],[ Report Number ]],LkupPayrollCycle[],2,FALSE),"TBD")</f>
        <v>Semi-Monthly</v>
      </c>
      <c r="AH1508" t="str">
        <f>IF(TblFeedFile1[[#This Row],[Return to Work Date ]]="","","Y")</f>
        <v/>
      </c>
    </row>
    <row r="1509" spans="1:34" x14ac:dyDescent="0.25">
      <c r="A1509" t="s">
        <v>29</v>
      </c>
      <c r="B1509">
        <v>314304</v>
      </c>
      <c r="C1509">
        <v>29816540</v>
      </c>
      <c r="D1509" s="1" t="s">
        <v>1822</v>
      </c>
      <c r="E1509" t="s">
        <v>1823</v>
      </c>
      <c r="F1509" t="s">
        <v>230</v>
      </c>
      <c r="G1509">
        <v>20170109</v>
      </c>
      <c r="H1509">
        <v>20170123</v>
      </c>
      <c r="I1509" t="s">
        <v>127</v>
      </c>
      <c r="L1509" t="s">
        <v>35</v>
      </c>
      <c r="AD1509">
        <v>20170124</v>
      </c>
      <c r="AF1509" t="str">
        <f>IFERROR(VLOOKUP(RIGHT(TblFeedFile1[[#This Row],[Leave Type ]],6),LkupPayType[],2,FALSE),"TBD")</f>
        <v>TBD</v>
      </c>
      <c r="AG1509" t="str">
        <f>IFERROR(VLOOKUP(TblFeedFile1[[#This Row],[ Report Number ]],LkupPayrollCycle[],2,FALSE),"TBD")</f>
        <v>Bi-Weekly</v>
      </c>
      <c r="AH1509" t="str">
        <f>IF(TblFeedFile1[[#This Row],[Return to Work Date ]]="","","Y")</f>
        <v/>
      </c>
    </row>
    <row r="1510" spans="1:34" x14ac:dyDescent="0.25">
      <c r="A1510" t="s">
        <v>37</v>
      </c>
      <c r="B1510">
        <v>314304</v>
      </c>
      <c r="C1510">
        <v>29816540</v>
      </c>
      <c r="D1510" s="1" t="s">
        <v>1822</v>
      </c>
      <c r="E1510" t="s">
        <v>1823</v>
      </c>
      <c r="F1510" t="s">
        <v>230</v>
      </c>
      <c r="G1510">
        <v>20170109</v>
      </c>
      <c r="H1510">
        <v>20170116</v>
      </c>
      <c r="I1510" t="s">
        <v>127</v>
      </c>
      <c r="L1510" t="s">
        <v>35</v>
      </c>
      <c r="AD1510">
        <v>20170124</v>
      </c>
      <c r="AF1510" t="str">
        <f>IFERROR(VLOOKUP(RIGHT(TblFeedFile1[[#This Row],[Leave Type ]],6),LkupPayType[],2,FALSE),"TBD")</f>
        <v>TBD</v>
      </c>
      <c r="AG1510" t="str">
        <f>IFERROR(VLOOKUP(TblFeedFile1[[#This Row],[ Report Number ]],LkupPayrollCycle[],2,FALSE),"TBD")</f>
        <v>Bi-Weekly</v>
      </c>
      <c r="AH1510" t="str">
        <f>IF(TblFeedFile1[[#This Row],[Return to Work Date ]]="","","Y")</f>
        <v/>
      </c>
    </row>
    <row r="1511" spans="1:34" x14ac:dyDescent="0.25">
      <c r="A1511" t="s">
        <v>37</v>
      </c>
      <c r="B1511">
        <v>314304</v>
      </c>
      <c r="C1511">
        <v>29816540</v>
      </c>
      <c r="D1511" s="1" t="s">
        <v>1822</v>
      </c>
      <c r="E1511" t="s">
        <v>1823</v>
      </c>
      <c r="F1511" t="s">
        <v>230</v>
      </c>
      <c r="G1511">
        <v>20170117</v>
      </c>
      <c r="H1511">
        <v>20170117</v>
      </c>
      <c r="I1511" t="s">
        <v>33</v>
      </c>
      <c r="L1511" t="s">
        <v>35</v>
      </c>
      <c r="AD1511">
        <v>20170124</v>
      </c>
      <c r="AF1511" t="str">
        <f>IFERROR(VLOOKUP(RIGHT(TblFeedFile1[[#This Row],[Leave Type ]],6),LkupPayType[],2,FALSE),"TBD")</f>
        <v>TBD</v>
      </c>
      <c r="AG1511" t="str">
        <f>IFERROR(VLOOKUP(TblFeedFile1[[#This Row],[ Report Number ]],LkupPayrollCycle[],2,FALSE),"TBD")</f>
        <v>Bi-Weekly</v>
      </c>
      <c r="AH1511" t="str">
        <f>IF(TblFeedFile1[[#This Row],[Return to Work Date ]]="","","Y")</f>
        <v/>
      </c>
    </row>
    <row r="1512" spans="1:34" x14ac:dyDescent="0.25">
      <c r="A1512" t="s">
        <v>37</v>
      </c>
      <c r="B1512">
        <v>314301</v>
      </c>
      <c r="C1512">
        <v>29819941</v>
      </c>
      <c r="D1512" s="1">
        <v>511701238239</v>
      </c>
      <c r="E1512" t="s">
        <v>1824</v>
      </c>
      <c r="F1512" t="s">
        <v>1825</v>
      </c>
      <c r="G1512">
        <v>20170117</v>
      </c>
      <c r="H1512">
        <v>20170217</v>
      </c>
      <c r="I1512" t="s">
        <v>53</v>
      </c>
      <c r="L1512" t="s">
        <v>34</v>
      </c>
      <c r="M1512" t="s">
        <v>34</v>
      </c>
      <c r="N1512" t="s">
        <v>35</v>
      </c>
      <c r="O1512" t="s">
        <v>35</v>
      </c>
      <c r="P1512" t="s">
        <v>35</v>
      </c>
      <c r="Q1512" t="s">
        <v>35</v>
      </c>
      <c r="R1512" t="s">
        <v>35</v>
      </c>
      <c r="S1512" t="s">
        <v>34</v>
      </c>
      <c r="AD1512">
        <v>20170124</v>
      </c>
      <c r="AF1512" t="str">
        <f>IFERROR(VLOOKUP(RIGHT(TblFeedFile1[[#This Row],[Leave Type ]],6),LkupPayType[],2,FALSE),"TBD")</f>
        <v>TBD</v>
      </c>
      <c r="AG1512" t="str">
        <f>IFERROR(VLOOKUP(TblFeedFile1[[#This Row],[ Report Number ]],LkupPayrollCycle[],2,FALSE),"TBD")</f>
        <v>Semi-Monthly</v>
      </c>
      <c r="AH1512" t="str">
        <f>IF(TblFeedFile1[[#This Row],[Return to Work Date ]]="","","Y")</f>
        <v/>
      </c>
    </row>
    <row r="1513" spans="1:34" x14ac:dyDescent="0.25">
      <c r="A1513" t="s">
        <v>37</v>
      </c>
      <c r="B1513">
        <v>314301</v>
      </c>
      <c r="C1513">
        <v>29819941</v>
      </c>
      <c r="D1513" s="1">
        <v>511701238239</v>
      </c>
      <c r="E1513" t="s">
        <v>1824</v>
      </c>
      <c r="F1513" t="s">
        <v>1825</v>
      </c>
      <c r="G1513">
        <v>20170124</v>
      </c>
      <c r="H1513">
        <v>20170217</v>
      </c>
      <c r="I1513" t="s">
        <v>40</v>
      </c>
      <c r="L1513" t="s">
        <v>34</v>
      </c>
      <c r="M1513" t="s">
        <v>34</v>
      </c>
      <c r="N1513" t="s">
        <v>35</v>
      </c>
      <c r="O1513" t="s">
        <v>35</v>
      </c>
      <c r="P1513" t="s">
        <v>35</v>
      </c>
      <c r="Q1513" t="s">
        <v>35</v>
      </c>
      <c r="R1513" t="s">
        <v>35</v>
      </c>
      <c r="S1513" t="s">
        <v>34</v>
      </c>
      <c r="AD1513">
        <v>20170124</v>
      </c>
      <c r="AF1513" t="str">
        <f>IFERROR(VLOOKUP(RIGHT(TblFeedFile1[[#This Row],[Leave Type ]],6),LkupPayType[],2,FALSE),"TBD")</f>
        <v>TBD</v>
      </c>
      <c r="AG1513" t="str">
        <f>IFERROR(VLOOKUP(TblFeedFile1[[#This Row],[ Report Number ]],LkupPayrollCycle[],2,FALSE),"TBD")</f>
        <v>Semi-Monthly</v>
      </c>
      <c r="AH1513" t="str">
        <f>IF(TblFeedFile1[[#This Row],[Return to Work Date ]]="","","Y")</f>
        <v/>
      </c>
    </row>
    <row r="1514" spans="1:34" x14ac:dyDescent="0.25">
      <c r="A1514" t="s">
        <v>29</v>
      </c>
      <c r="B1514">
        <v>314304</v>
      </c>
      <c r="C1514">
        <v>29878900</v>
      </c>
      <c r="D1514" s="1" t="s">
        <v>1826</v>
      </c>
      <c r="E1514" t="s">
        <v>415</v>
      </c>
      <c r="F1514" t="s">
        <v>1827</v>
      </c>
      <c r="G1514">
        <v>20160229</v>
      </c>
      <c r="H1514">
        <v>20170120</v>
      </c>
      <c r="I1514" t="s">
        <v>36</v>
      </c>
      <c r="L1514" t="s">
        <v>34</v>
      </c>
      <c r="M1514" t="s">
        <v>34</v>
      </c>
      <c r="N1514" t="s">
        <v>35</v>
      </c>
      <c r="O1514" t="s">
        <v>35</v>
      </c>
      <c r="P1514" t="s">
        <v>35</v>
      </c>
      <c r="Q1514" t="s">
        <v>35</v>
      </c>
      <c r="R1514" t="s">
        <v>35</v>
      </c>
      <c r="S1514" t="s">
        <v>34</v>
      </c>
      <c r="AC1514" t="s">
        <v>35</v>
      </c>
      <c r="AD1514">
        <v>20170124</v>
      </c>
      <c r="AF1514" t="str">
        <f>IFERROR(VLOOKUP(RIGHT(TblFeedFile1[[#This Row],[Leave Type ]],6),LkupPayType[],2,FALSE),"TBD")</f>
        <v>TBD</v>
      </c>
      <c r="AG1514" t="str">
        <f>IFERROR(VLOOKUP(TblFeedFile1[[#This Row],[ Report Number ]],LkupPayrollCycle[],2,FALSE),"TBD")</f>
        <v>Bi-Weekly</v>
      </c>
      <c r="AH1514" t="str">
        <f>IF(TblFeedFile1[[#This Row],[Return to Work Date ]]="","","Y")</f>
        <v/>
      </c>
    </row>
    <row r="1515" spans="1:34" x14ac:dyDescent="0.25">
      <c r="A1515" t="s">
        <v>37</v>
      </c>
      <c r="B1515">
        <v>314304</v>
      </c>
      <c r="C1515">
        <v>29878900</v>
      </c>
      <c r="D1515" s="1" t="s">
        <v>1826</v>
      </c>
      <c r="E1515" t="s">
        <v>415</v>
      </c>
      <c r="F1515" t="s">
        <v>1827</v>
      </c>
      <c r="G1515">
        <v>20160229</v>
      </c>
      <c r="H1515">
        <v>20170305</v>
      </c>
      <c r="I1515" t="s">
        <v>36</v>
      </c>
      <c r="L1515" t="s">
        <v>34</v>
      </c>
      <c r="M1515" t="s">
        <v>34</v>
      </c>
      <c r="N1515" t="s">
        <v>35</v>
      </c>
      <c r="O1515" t="s">
        <v>35</v>
      </c>
      <c r="P1515" t="s">
        <v>35</v>
      </c>
      <c r="Q1515" t="s">
        <v>35</v>
      </c>
      <c r="R1515" t="s">
        <v>35</v>
      </c>
      <c r="S1515" t="s">
        <v>34</v>
      </c>
      <c r="AC1515" t="s">
        <v>35</v>
      </c>
      <c r="AD1515">
        <v>20170124</v>
      </c>
      <c r="AF1515" t="str">
        <f>IFERROR(VLOOKUP(RIGHT(TblFeedFile1[[#This Row],[Leave Type ]],6),LkupPayType[],2,FALSE),"TBD")</f>
        <v>TBD</v>
      </c>
      <c r="AG1515" t="str">
        <f>IFERROR(VLOOKUP(TblFeedFile1[[#This Row],[ Report Number ]],LkupPayrollCycle[],2,FALSE),"TBD")</f>
        <v>Bi-Weekly</v>
      </c>
      <c r="AH1515" t="str">
        <f>IF(TblFeedFile1[[#This Row],[Return to Work Date ]]="","","Y")</f>
        <v/>
      </c>
    </row>
    <row r="1516" spans="1:34" x14ac:dyDescent="0.25">
      <c r="A1516" t="s">
        <v>37</v>
      </c>
      <c r="B1516">
        <v>314301</v>
      </c>
      <c r="C1516">
        <v>29890554</v>
      </c>
      <c r="D1516" s="1" t="s">
        <v>1828</v>
      </c>
      <c r="E1516" t="s">
        <v>418</v>
      </c>
      <c r="F1516" t="s">
        <v>1829</v>
      </c>
      <c r="G1516">
        <v>20170121</v>
      </c>
      <c r="H1516">
        <v>20170128</v>
      </c>
      <c r="I1516" t="s">
        <v>36</v>
      </c>
      <c r="L1516" t="s">
        <v>34</v>
      </c>
      <c r="M1516" t="s">
        <v>34</v>
      </c>
      <c r="N1516" t="s">
        <v>35</v>
      </c>
      <c r="O1516" t="s">
        <v>35</v>
      </c>
      <c r="P1516" t="s">
        <v>35</v>
      </c>
      <c r="Q1516" t="s">
        <v>35</v>
      </c>
      <c r="R1516" t="s">
        <v>35</v>
      </c>
      <c r="S1516" t="s">
        <v>34</v>
      </c>
      <c r="X1516" t="s">
        <v>35</v>
      </c>
      <c r="AD1516">
        <v>20170124</v>
      </c>
      <c r="AF1516" t="str">
        <f>IFERROR(VLOOKUP(RIGHT(TblFeedFile1[[#This Row],[Leave Type ]],6),LkupPayType[],2,FALSE),"TBD")</f>
        <v>TBD</v>
      </c>
      <c r="AG1516" t="str">
        <f>IFERROR(VLOOKUP(TblFeedFile1[[#This Row],[ Report Number ]],LkupPayrollCycle[],2,FALSE),"TBD")</f>
        <v>Semi-Monthly</v>
      </c>
      <c r="AH1516" t="str">
        <f>IF(TblFeedFile1[[#This Row],[Return to Work Date ]]="","","Y")</f>
        <v/>
      </c>
    </row>
    <row r="1517" spans="1:34" x14ac:dyDescent="0.25">
      <c r="A1517" t="s">
        <v>37</v>
      </c>
      <c r="B1517">
        <v>314301</v>
      </c>
      <c r="C1517">
        <v>29890554</v>
      </c>
      <c r="D1517" s="1" t="s">
        <v>1830</v>
      </c>
      <c r="E1517" t="s">
        <v>418</v>
      </c>
      <c r="F1517" t="s">
        <v>1829</v>
      </c>
      <c r="G1517">
        <v>20170121</v>
      </c>
      <c r="H1517">
        <v>20170121</v>
      </c>
      <c r="I1517" t="s">
        <v>33</v>
      </c>
      <c r="L1517" t="s">
        <v>34</v>
      </c>
      <c r="M1517" t="s">
        <v>34</v>
      </c>
      <c r="N1517" t="s">
        <v>35</v>
      </c>
      <c r="O1517" t="s">
        <v>35</v>
      </c>
      <c r="P1517" t="s">
        <v>35</v>
      </c>
      <c r="Q1517" t="s">
        <v>35</v>
      </c>
      <c r="R1517" t="s">
        <v>35</v>
      </c>
      <c r="S1517" t="s">
        <v>34</v>
      </c>
      <c r="AD1517">
        <v>20170124</v>
      </c>
      <c r="AF1517" t="str">
        <f>IFERROR(VLOOKUP(RIGHT(TblFeedFile1[[#This Row],[Leave Type ]],6),LkupPayType[],2,FALSE),"TBD")</f>
        <v>TBD</v>
      </c>
      <c r="AG1517" t="str">
        <f>IFERROR(VLOOKUP(TblFeedFile1[[#This Row],[ Report Number ]],LkupPayrollCycle[],2,FALSE),"TBD")</f>
        <v>Semi-Monthly</v>
      </c>
      <c r="AH1517" t="str">
        <f>IF(TblFeedFile1[[#This Row],[Return to Work Date ]]="","","Y")</f>
        <v/>
      </c>
    </row>
    <row r="1518" spans="1:34" x14ac:dyDescent="0.25">
      <c r="A1518" t="s">
        <v>37</v>
      </c>
      <c r="B1518">
        <v>314304</v>
      </c>
      <c r="C1518">
        <v>29916077</v>
      </c>
      <c r="D1518" s="1">
        <v>521701138652</v>
      </c>
      <c r="E1518" t="s">
        <v>421</v>
      </c>
      <c r="F1518" t="s">
        <v>1831</v>
      </c>
      <c r="G1518">
        <v>20170124</v>
      </c>
      <c r="H1518">
        <v>20170203</v>
      </c>
      <c r="I1518" t="s">
        <v>40</v>
      </c>
      <c r="L1518" t="s">
        <v>34</v>
      </c>
      <c r="M1518" t="s">
        <v>34</v>
      </c>
      <c r="N1518" t="s">
        <v>35</v>
      </c>
      <c r="O1518" t="s">
        <v>35</v>
      </c>
      <c r="P1518" t="s">
        <v>35</v>
      </c>
      <c r="Q1518" t="s">
        <v>35</v>
      </c>
      <c r="R1518" t="s">
        <v>35</v>
      </c>
      <c r="S1518" t="s">
        <v>34</v>
      </c>
      <c r="AD1518">
        <v>20170124</v>
      </c>
      <c r="AF1518" t="str">
        <f>IFERROR(VLOOKUP(RIGHT(TblFeedFile1[[#This Row],[Leave Type ]],6),LkupPayType[],2,FALSE),"TBD")</f>
        <v>TBD</v>
      </c>
      <c r="AG1518" t="str">
        <f>IFERROR(VLOOKUP(TblFeedFile1[[#This Row],[ Report Number ]],LkupPayrollCycle[],2,FALSE),"TBD")</f>
        <v>Bi-Weekly</v>
      </c>
      <c r="AH1518" t="str">
        <f>IF(TblFeedFile1[[#This Row],[Return to Work Date ]]="","","Y")</f>
        <v/>
      </c>
    </row>
    <row r="1519" spans="1:34" x14ac:dyDescent="0.25">
      <c r="A1519" t="s">
        <v>37</v>
      </c>
      <c r="B1519">
        <v>314304</v>
      </c>
      <c r="C1519">
        <v>29931814</v>
      </c>
      <c r="D1519" s="1">
        <v>501701238328</v>
      </c>
      <c r="E1519" t="s">
        <v>1832</v>
      </c>
      <c r="F1519" t="s">
        <v>1089</v>
      </c>
      <c r="G1519">
        <v>20170124</v>
      </c>
      <c r="H1519">
        <v>20170210</v>
      </c>
      <c r="I1519" t="s">
        <v>53</v>
      </c>
      <c r="L1519" t="s">
        <v>34</v>
      </c>
      <c r="M1519" t="s">
        <v>34</v>
      </c>
      <c r="N1519" t="s">
        <v>35</v>
      </c>
      <c r="O1519" t="s">
        <v>35</v>
      </c>
      <c r="P1519" t="s">
        <v>35</v>
      </c>
      <c r="Q1519" t="s">
        <v>35</v>
      </c>
      <c r="R1519" t="s">
        <v>35</v>
      </c>
      <c r="S1519" t="s">
        <v>34</v>
      </c>
      <c r="AD1519">
        <v>20170124</v>
      </c>
      <c r="AF1519" t="str">
        <f>IFERROR(VLOOKUP(RIGHT(TblFeedFile1[[#This Row],[Leave Type ]],6),LkupPayType[],2,FALSE),"TBD")</f>
        <v>TBD</v>
      </c>
      <c r="AG1519" t="str">
        <f>IFERROR(VLOOKUP(TblFeedFile1[[#This Row],[ Report Number ]],LkupPayrollCycle[],2,FALSE),"TBD")</f>
        <v>Bi-Weekly</v>
      </c>
      <c r="AH1519" t="str">
        <f>IF(TblFeedFile1[[#This Row],[Return to Work Date ]]="","","Y")</f>
        <v/>
      </c>
    </row>
    <row r="1520" spans="1:34" x14ac:dyDescent="0.25">
      <c r="A1520" t="s">
        <v>37</v>
      </c>
      <c r="B1520">
        <v>314304</v>
      </c>
      <c r="C1520">
        <v>29949412</v>
      </c>
      <c r="D1520" s="1" t="s">
        <v>1833</v>
      </c>
      <c r="E1520" t="s">
        <v>1445</v>
      </c>
      <c r="F1520" t="s">
        <v>1834</v>
      </c>
      <c r="G1520">
        <v>20170113</v>
      </c>
      <c r="H1520">
        <v>20170126</v>
      </c>
      <c r="I1520" t="s">
        <v>78</v>
      </c>
      <c r="K1520" t="s">
        <v>79</v>
      </c>
      <c r="L1520" t="s">
        <v>34</v>
      </c>
      <c r="M1520" t="s">
        <v>34</v>
      </c>
      <c r="N1520" t="s">
        <v>35</v>
      </c>
      <c r="O1520" t="s">
        <v>35</v>
      </c>
      <c r="P1520" t="s">
        <v>35</v>
      </c>
      <c r="Q1520" t="s">
        <v>35</v>
      </c>
      <c r="R1520" t="s">
        <v>35</v>
      </c>
      <c r="S1520" t="s">
        <v>34</v>
      </c>
      <c r="AD1520">
        <v>20170124</v>
      </c>
      <c r="AF1520" t="str">
        <f>IFERROR(VLOOKUP(RIGHT(TblFeedFile1[[#This Row],[Leave Type ]],6),LkupPayType[],2,FALSE),"TBD")</f>
        <v>TBD</v>
      </c>
      <c r="AG1520" t="str">
        <f>IFERROR(VLOOKUP(TblFeedFile1[[#This Row],[ Report Number ]],LkupPayrollCycle[],2,FALSE),"TBD")</f>
        <v>Bi-Weekly</v>
      </c>
      <c r="AH1520" t="str">
        <f>IF(TblFeedFile1[[#This Row],[Return to Work Date ]]="","","Y")</f>
        <v/>
      </c>
    </row>
    <row r="1521" spans="1:34" x14ac:dyDescent="0.25">
      <c r="A1521" t="s">
        <v>29</v>
      </c>
      <c r="B1521">
        <v>314301</v>
      </c>
      <c r="C1521">
        <v>29957923</v>
      </c>
      <c r="D1521" s="1" t="s">
        <v>1835</v>
      </c>
      <c r="E1521" t="s">
        <v>385</v>
      </c>
      <c r="F1521" t="s">
        <v>1836</v>
      </c>
      <c r="G1521">
        <v>20161014</v>
      </c>
      <c r="H1521">
        <v>20170202</v>
      </c>
      <c r="I1521" t="s">
        <v>223</v>
      </c>
      <c r="L1521" t="s">
        <v>34</v>
      </c>
      <c r="M1521" t="s">
        <v>34</v>
      </c>
      <c r="N1521" t="s">
        <v>35</v>
      </c>
      <c r="O1521" t="s">
        <v>35</v>
      </c>
      <c r="P1521" t="s">
        <v>35</v>
      </c>
      <c r="Q1521" t="s">
        <v>35</v>
      </c>
      <c r="R1521" t="s">
        <v>35</v>
      </c>
      <c r="S1521" t="s">
        <v>34</v>
      </c>
      <c r="AC1521" t="s">
        <v>35</v>
      </c>
      <c r="AD1521">
        <v>20170124</v>
      </c>
      <c r="AF1521" t="str">
        <f>IFERROR(VLOOKUP(RIGHT(TblFeedFile1[[#This Row],[Leave Type ]],6),LkupPayType[],2,FALSE),"TBD")</f>
        <v>TBD</v>
      </c>
      <c r="AG1521" t="str">
        <f>IFERROR(VLOOKUP(TblFeedFile1[[#This Row],[ Report Number ]],LkupPayrollCycle[],2,FALSE),"TBD")</f>
        <v>Semi-Monthly</v>
      </c>
      <c r="AH1521" t="str">
        <f>IF(TblFeedFile1[[#This Row],[Return to Work Date ]]="","","Y")</f>
        <v/>
      </c>
    </row>
    <row r="1522" spans="1:34" x14ac:dyDescent="0.25">
      <c r="A1522" t="s">
        <v>37</v>
      </c>
      <c r="B1522">
        <v>314301</v>
      </c>
      <c r="C1522">
        <v>29957923</v>
      </c>
      <c r="D1522" s="1" t="s">
        <v>1835</v>
      </c>
      <c r="E1522" t="s">
        <v>385</v>
      </c>
      <c r="F1522" t="s">
        <v>1836</v>
      </c>
      <c r="G1522">
        <v>20161014</v>
      </c>
      <c r="H1522">
        <v>20170207</v>
      </c>
      <c r="I1522" t="s">
        <v>223</v>
      </c>
      <c r="L1522" t="s">
        <v>34</v>
      </c>
      <c r="M1522" t="s">
        <v>34</v>
      </c>
      <c r="N1522" t="s">
        <v>35</v>
      </c>
      <c r="O1522" t="s">
        <v>35</v>
      </c>
      <c r="P1522" t="s">
        <v>35</v>
      </c>
      <c r="Q1522" t="s">
        <v>35</v>
      </c>
      <c r="R1522" t="s">
        <v>35</v>
      </c>
      <c r="S1522" t="s">
        <v>34</v>
      </c>
      <c r="AC1522" t="s">
        <v>35</v>
      </c>
      <c r="AD1522">
        <v>20170124</v>
      </c>
      <c r="AF1522" t="str">
        <f>IFERROR(VLOOKUP(RIGHT(TblFeedFile1[[#This Row],[Leave Type ]],6),LkupPayType[],2,FALSE),"TBD")</f>
        <v>TBD</v>
      </c>
      <c r="AG1522" t="str">
        <f>IFERROR(VLOOKUP(TblFeedFile1[[#This Row],[ Report Number ]],LkupPayrollCycle[],2,FALSE),"TBD")</f>
        <v>Semi-Monthly</v>
      </c>
      <c r="AH1522" t="str">
        <f>IF(TblFeedFile1[[#This Row],[Return to Work Date ]]="","","Y")</f>
        <v/>
      </c>
    </row>
    <row r="1523" spans="1:34" x14ac:dyDescent="0.25">
      <c r="A1523" t="s">
        <v>37</v>
      </c>
      <c r="B1523">
        <v>314304</v>
      </c>
      <c r="C1523">
        <v>29958742</v>
      </c>
      <c r="D1523" s="1">
        <v>531701188563</v>
      </c>
      <c r="E1523" t="s">
        <v>1837</v>
      </c>
      <c r="F1523" t="s">
        <v>1838</v>
      </c>
      <c r="G1523">
        <v>20170124</v>
      </c>
      <c r="H1523">
        <v>20170214</v>
      </c>
      <c r="I1523" t="s">
        <v>53</v>
      </c>
      <c r="L1523" t="s">
        <v>35</v>
      </c>
      <c r="AD1523">
        <v>20170124</v>
      </c>
      <c r="AF1523" t="str">
        <f>IFERROR(VLOOKUP(RIGHT(TblFeedFile1[[#This Row],[Leave Type ]],6),LkupPayType[],2,FALSE),"TBD")</f>
        <v>TBD</v>
      </c>
      <c r="AG1523" t="str">
        <f>IFERROR(VLOOKUP(TblFeedFile1[[#This Row],[ Report Number ]],LkupPayrollCycle[],2,FALSE),"TBD")</f>
        <v>Bi-Weekly</v>
      </c>
      <c r="AH1523" t="str">
        <f>IF(TblFeedFile1[[#This Row],[Return to Work Date ]]="","","Y")</f>
        <v/>
      </c>
    </row>
    <row r="1524" spans="1:34" x14ac:dyDescent="0.25">
      <c r="A1524" t="s">
        <v>29</v>
      </c>
      <c r="B1524">
        <v>314304</v>
      </c>
      <c r="C1524">
        <v>29960234</v>
      </c>
      <c r="D1524" s="1" t="s">
        <v>1839</v>
      </c>
      <c r="E1524" t="s">
        <v>1840</v>
      </c>
      <c r="F1524" t="s">
        <v>563</v>
      </c>
      <c r="G1524">
        <v>20170109</v>
      </c>
      <c r="H1524">
        <v>20170116</v>
      </c>
      <c r="I1524" t="s">
        <v>36</v>
      </c>
      <c r="L1524" t="s">
        <v>34</v>
      </c>
      <c r="M1524" t="s">
        <v>34</v>
      </c>
      <c r="N1524" t="s">
        <v>35</v>
      </c>
      <c r="O1524" t="s">
        <v>35</v>
      </c>
      <c r="P1524" t="s">
        <v>35</v>
      </c>
      <c r="Q1524" t="s">
        <v>35</v>
      </c>
      <c r="R1524" t="s">
        <v>35</v>
      </c>
      <c r="S1524" t="s">
        <v>34</v>
      </c>
      <c r="AD1524">
        <v>20170124</v>
      </c>
      <c r="AF1524" t="str">
        <f>IFERROR(VLOOKUP(RIGHT(TblFeedFile1[[#This Row],[Leave Type ]],6),LkupPayType[],2,FALSE),"TBD")</f>
        <v>TBD</v>
      </c>
      <c r="AG1524" t="str">
        <f>IFERROR(VLOOKUP(TblFeedFile1[[#This Row],[ Report Number ]],LkupPayrollCycle[],2,FALSE),"TBD")</f>
        <v>Bi-Weekly</v>
      </c>
      <c r="AH1524" t="str">
        <f>IF(TblFeedFile1[[#This Row],[Return to Work Date ]]="","","Y")</f>
        <v/>
      </c>
    </row>
    <row r="1525" spans="1:34" x14ac:dyDescent="0.25">
      <c r="A1525" t="s">
        <v>37</v>
      </c>
      <c r="B1525">
        <v>314304</v>
      </c>
      <c r="C1525">
        <v>29960234</v>
      </c>
      <c r="D1525" s="1">
        <v>551701238375</v>
      </c>
      <c r="E1525" t="s">
        <v>1840</v>
      </c>
      <c r="F1525" t="s">
        <v>563</v>
      </c>
      <c r="G1525">
        <v>20170108</v>
      </c>
      <c r="I1525" t="s">
        <v>53</v>
      </c>
      <c r="L1525" t="s">
        <v>34</v>
      </c>
      <c r="M1525" t="s">
        <v>34</v>
      </c>
      <c r="N1525" t="s">
        <v>35</v>
      </c>
      <c r="O1525" t="s">
        <v>35</v>
      </c>
      <c r="P1525" t="s">
        <v>35</v>
      </c>
      <c r="Q1525" t="s">
        <v>35</v>
      </c>
      <c r="R1525" t="s">
        <v>35</v>
      </c>
      <c r="S1525" t="s">
        <v>34</v>
      </c>
      <c r="AD1525">
        <v>20170124</v>
      </c>
      <c r="AF1525" t="str">
        <f>IFERROR(VLOOKUP(RIGHT(TblFeedFile1[[#This Row],[Leave Type ]],6),LkupPayType[],2,FALSE),"TBD")</f>
        <v>TBD</v>
      </c>
      <c r="AG1525" t="str">
        <f>IFERROR(VLOOKUP(TblFeedFile1[[#This Row],[ Report Number ]],LkupPayrollCycle[],2,FALSE),"TBD")</f>
        <v>Bi-Weekly</v>
      </c>
      <c r="AH1525" t="str">
        <f>IF(TblFeedFile1[[#This Row],[Return to Work Date ]]="","","Y")</f>
        <v/>
      </c>
    </row>
    <row r="1526" spans="1:34" x14ac:dyDescent="0.25">
      <c r="A1526" t="s">
        <v>37</v>
      </c>
      <c r="B1526">
        <v>314304</v>
      </c>
      <c r="C1526">
        <v>29960234</v>
      </c>
      <c r="D1526" s="1" t="s">
        <v>1839</v>
      </c>
      <c r="E1526" t="s">
        <v>1840</v>
      </c>
      <c r="F1526" t="s">
        <v>563</v>
      </c>
      <c r="G1526">
        <v>20170109</v>
      </c>
      <c r="H1526">
        <v>20170116</v>
      </c>
      <c r="I1526" t="s">
        <v>78</v>
      </c>
      <c r="K1526" t="s">
        <v>79</v>
      </c>
      <c r="L1526" t="s">
        <v>34</v>
      </c>
      <c r="M1526" t="s">
        <v>34</v>
      </c>
      <c r="N1526" t="s">
        <v>35</v>
      </c>
      <c r="O1526" t="s">
        <v>35</v>
      </c>
      <c r="P1526" t="s">
        <v>35</v>
      </c>
      <c r="Q1526" t="s">
        <v>35</v>
      </c>
      <c r="R1526" t="s">
        <v>35</v>
      </c>
      <c r="S1526" t="s">
        <v>34</v>
      </c>
      <c r="AD1526">
        <v>20170124</v>
      </c>
      <c r="AF1526" t="str">
        <f>IFERROR(VLOOKUP(RIGHT(TblFeedFile1[[#This Row],[Leave Type ]],6),LkupPayType[],2,FALSE),"TBD")</f>
        <v>TBD</v>
      </c>
      <c r="AG1526" t="str">
        <f>IFERROR(VLOOKUP(TblFeedFile1[[#This Row],[ Report Number ]],LkupPayrollCycle[],2,FALSE),"TBD")</f>
        <v>Bi-Weekly</v>
      </c>
      <c r="AH1526" t="str">
        <f>IF(TblFeedFile1[[#This Row],[Return to Work Date ]]="","","Y")</f>
        <v/>
      </c>
    </row>
    <row r="1527" spans="1:34" x14ac:dyDescent="0.25">
      <c r="A1527" t="s">
        <v>37</v>
      </c>
      <c r="B1527">
        <v>314304</v>
      </c>
      <c r="C1527">
        <v>29962317</v>
      </c>
      <c r="D1527" s="1">
        <v>521701248562</v>
      </c>
      <c r="E1527" t="s">
        <v>1841</v>
      </c>
      <c r="F1527" t="s">
        <v>1842</v>
      </c>
      <c r="G1527">
        <v>20170117</v>
      </c>
      <c r="I1527" t="s">
        <v>53</v>
      </c>
      <c r="L1527" t="s">
        <v>34</v>
      </c>
      <c r="M1527" t="s">
        <v>34</v>
      </c>
      <c r="N1527" t="s">
        <v>35</v>
      </c>
      <c r="O1527" t="s">
        <v>35</v>
      </c>
      <c r="P1527" t="s">
        <v>35</v>
      </c>
      <c r="Q1527" t="s">
        <v>35</v>
      </c>
      <c r="R1527" t="s">
        <v>35</v>
      </c>
      <c r="S1527" t="s">
        <v>34</v>
      </c>
      <c r="AD1527">
        <v>20170124</v>
      </c>
      <c r="AF1527" t="str">
        <f>IFERROR(VLOOKUP(RIGHT(TblFeedFile1[[#This Row],[Leave Type ]],6),LkupPayType[],2,FALSE),"TBD")</f>
        <v>TBD</v>
      </c>
      <c r="AG1527" t="str">
        <f>IFERROR(VLOOKUP(TblFeedFile1[[#This Row],[ Report Number ]],LkupPayrollCycle[],2,FALSE),"TBD")</f>
        <v>Bi-Weekly</v>
      </c>
      <c r="AH1527" t="str">
        <f>IF(TblFeedFile1[[#This Row],[Return to Work Date ]]="","","Y")</f>
        <v/>
      </c>
    </row>
    <row r="1528" spans="1:34" x14ac:dyDescent="0.25">
      <c r="A1528" t="s">
        <v>37</v>
      </c>
      <c r="B1528">
        <v>314301</v>
      </c>
      <c r="C1528">
        <v>29969035</v>
      </c>
      <c r="D1528" s="1" t="s">
        <v>1843</v>
      </c>
      <c r="E1528" t="s">
        <v>556</v>
      </c>
      <c r="F1528" t="s">
        <v>1844</v>
      </c>
      <c r="G1528">
        <v>20160919</v>
      </c>
      <c r="H1528">
        <v>20170108</v>
      </c>
      <c r="I1528" t="s">
        <v>185</v>
      </c>
      <c r="L1528" t="s">
        <v>34</v>
      </c>
      <c r="M1528" t="s">
        <v>34</v>
      </c>
      <c r="N1528" t="s">
        <v>35</v>
      </c>
      <c r="O1528" t="s">
        <v>35</v>
      </c>
      <c r="P1528" t="s">
        <v>35</v>
      </c>
      <c r="Q1528" t="s">
        <v>35</v>
      </c>
      <c r="R1528" t="s">
        <v>35</v>
      </c>
      <c r="S1528" t="s">
        <v>34</v>
      </c>
      <c r="AC1528" t="s">
        <v>35</v>
      </c>
      <c r="AD1528">
        <v>20170124</v>
      </c>
      <c r="AF1528" t="str">
        <f>IFERROR(VLOOKUP(RIGHT(TblFeedFile1[[#This Row],[Leave Type ]],6),LkupPayType[],2,FALSE),"TBD")</f>
        <v>TBD</v>
      </c>
      <c r="AG1528" t="str">
        <f>IFERROR(VLOOKUP(TblFeedFile1[[#This Row],[ Report Number ]],LkupPayrollCycle[],2,FALSE),"TBD")</f>
        <v>Semi-Monthly</v>
      </c>
      <c r="AH1528" t="str">
        <f>IF(TblFeedFile1[[#This Row],[Return to Work Date ]]="","","Y")</f>
        <v/>
      </c>
    </row>
    <row r="1529" spans="1:34" x14ac:dyDescent="0.25">
      <c r="A1529" t="s">
        <v>37</v>
      </c>
      <c r="B1529">
        <v>314304</v>
      </c>
      <c r="C1529">
        <v>29974412</v>
      </c>
      <c r="D1529" s="1">
        <v>521701248502</v>
      </c>
      <c r="E1529" t="s">
        <v>1845</v>
      </c>
      <c r="F1529" t="s">
        <v>1846</v>
      </c>
      <c r="G1529">
        <v>20170114</v>
      </c>
      <c r="I1529" t="s">
        <v>53</v>
      </c>
      <c r="L1529" t="s">
        <v>34</v>
      </c>
      <c r="M1529" t="s">
        <v>34</v>
      </c>
      <c r="N1529" t="s">
        <v>34</v>
      </c>
      <c r="O1529" t="s">
        <v>35</v>
      </c>
      <c r="P1529" t="s">
        <v>35</v>
      </c>
      <c r="Q1529" t="s">
        <v>35</v>
      </c>
      <c r="R1529" t="s">
        <v>35</v>
      </c>
      <c r="S1529" t="s">
        <v>35</v>
      </c>
      <c r="AD1529">
        <v>20170124</v>
      </c>
      <c r="AF1529" t="str">
        <f>IFERROR(VLOOKUP(RIGHT(TblFeedFile1[[#This Row],[Leave Type ]],6),LkupPayType[],2,FALSE),"TBD")</f>
        <v>TBD</v>
      </c>
      <c r="AG1529" t="str">
        <f>IFERROR(VLOOKUP(TblFeedFile1[[#This Row],[ Report Number ]],LkupPayrollCycle[],2,FALSE),"TBD")</f>
        <v>Bi-Weekly</v>
      </c>
      <c r="AH1529" t="str">
        <f>IF(TblFeedFile1[[#This Row],[Return to Work Date ]]="","","Y")</f>
        <v/>
      </c>
    </row>
    <row r="1530" spans="1:34" x14ac:dyDescent="0.25">
      <c r="A1530" t="s">
        <v>37</v>
      </c>
      <c r="B1530">
        <v>314304</v>
      </c>
      <c r="C1530">
        <v>29974412</v>
      </c>
      <c r="D1530" s="1" t="s">
        <v>1847</v>
      </c>
      <c r="E1530" t="s">
        <v>1845</v>
      </c>
      <c r="F1530" t="s">
        <v>1846</v>
      </c>
      <c r="G1530">
        <v>20170117</v>
      </c>
      <c r="H1530">
        <v>20170124</v>
      </c>
      <c r="I1530" t="s">
        <v>78</v>
      </c>
      <c r="K1530" t="s">
        <v>79</v>
      </c>
      <c r="L1530" t="s">
        <v>34</v>
      </c>
      <c r="M1530" t="s">
        <v>34</v>
      </c>
      <c r="N1530" t="s">
        <v>34</v>
      </c>
      <c r="O1530" t="s">
        <v>35</v>
      </c>
      <c r="P1530" t="s">
        <v>35</v>
      </c>
      <c r="Q1530" t="s">
        <v>35</v>
      </c>
      <c r="R1530" t="s">
        <v>35</v>
      </c>
      <c r="S1530" t="s">
        <v>35</v>
      </c>
      <c r="AD1530">
        <v>20170124</v>
      </c>
      <c r="AF1530" t="str">
        <f>IFERROR(VLOOKUP(RIGHT(TblFeedFile1[[#This Row],[Leave Type ]],6),LkupPayType[],2,FALSE),"TBD")</f>
        <v>TBD</v>
      </c>
      <c r="AG1530" t="str">
        <f>IFERROR(VLOOKUP(TblFeedFile1[[#This Row],[ Report Number ]],LkupPayrollCycle[],2,FALSE),"TBD")</f>
        <v>Bi-Weekly</v>
      </c>
      <c r="AH1530" t="str">
        <f>IF(TblFeedFile1[[#This Row],[Return to Work Date ]]="","","Y")</f>
        <v/>
      </c>
    </row>
    <row r="1531" spans="1:34" x14ac:dyDescent="0.25">
      <c r="A1531" t="s">
        <v>29</v>
      </c>
      <c r="B1531">
        <v>314304</v>
      </c>
      <c r="C1531">
        <v>29991855</v>
      </c>
      <c r="D1531" s="1" t="s">
        <v>1848</v>
      </c>
      <c r="E1531" t="s">
        <v>208</v>
      </c>
      <c r="F1531" t="s">
        <v>1849</v>
      </c>
      <c r="G1531">
        <v>20170107</v>
      </c>
      <c r="H1531">
        <v>20170107</v>
      </c>
      <c r="I1531" t="s">
        <v>33</v>
      </c>
      <c r="L1531" t="s">
        <v>34</v>
      </c>
      <c r="M1531" t="s">
        <v>34</v>
      </c>
      <c r="N1531" t="s">
        <v>35</v>
      </c>
      <c r="O1531" t="s">
        <v>35</v>
      </c>
      <c r="P1531" t="s">
        <v>35</v>
      </c>
      <c r="Q1531" t="s">
        <v>35</v>
      </c>
      <c r="R1531" t="s">
        <v>35</v>
      </c>
      <c r="S1531" t="s">
        <v>34</v>
      </c>
      <c r="AC1531" t="s">
        <v>35</v>
      </c>
      <c r="AD1531">
        <v>20170124</v>
      </c>
      <c r="AF1531" t="str">
        <f>IFERROR(VLOOKUP(RIGHT(TblFeedFile1[[#This Row],[Leave Type ]],6),LkupPayType[],2,FALSE),"TBD")</f>
        <v>TBD</v>
      </c>
      <c r="AG1531" t="str">
        <f>IFERROR(VLOOKUP(TblFeedFile1[[#This Row],[ Report Number ]],LkupPayrollCycle[],2,FALSE),"TBD")</f>
        <v>Bi-Weekly</v>
      </c>
      <c r="AH1531" t="str">
        <f>IF(TblFeedFile1[[#This Row],[Return to Work Date ]]="","","Y")</f>
        <v/>
      </c>
    </row>
    <row r="1532" spans="1:34" x14ac:dyDescent="0.25">
      <c r="A1532" t="s">
        <v>29</v>
      </c>
      <c r="B1532">
        <v>314304</v>
      </c>
      <c r="C1532">
        <v>29991855</v>
      </c>
      <c r="D1532" s="1" t="s">
        <v>1848</v>
      </c>
      <c r="E1532" t="s">
        <v>208</v>
      </c>
      <c r="F1532" t="s">
        <v>1849</v>
      </c>
      <c r="G1532">
        <v>20100508</v>
      </c>
      <c r="H1532">
        <v>20170106</v>
      </c>
      <c r="I1532" t="s">
        <v>423</v>
      </c>
      <c r="L1532" t="s">
        <v>34</v>
      </c>
      <c r="M1532" t="s">
        <v>34</v>
      </c>
      <c r="N1532" t="s">
        <v>35</v>
      </c>
      <c r="O1532" t="s">
        <v>35</v>
      </c>
      <c r="P1532" t="s">
        <v>35</v>
      </c>
      <c r="Q1532" t="s">
        <v>35</v>
      </c>
      <c r="R1532" t="s">
        <v>35</v>
      </c>
      <c r="S1532" t="s">
        <v>34</v>
      </c>
      <c r="AC1532" t="s">
        <v>35</v>
      </c>
      <c r="AD1532">
        <v>20170124</v>
      </c>
      <c r="AF1532" t="str">
        <f>IFERROR(VLOOKUP(RIGHT(TblFeedFile1[[#This Row],[Leave Type ]],6),LkupPayType[],2,FALSE),"TBD")</f>
        <v>TBD</v>
      </c>
      <c r="AG1532" t="str">
        <f>IFERROR(VLOOKUP(TblFeedFile1[[#This Row],[ Report Number ]],LkupPayrollCycle[],2,FALSE),"TBD")</f>
        <v>Bi-Weekly</v>
      </c>
      <c r="AH1532" t="str">
        <f>IF(TblFeedFile1[[#This Row],[Return to Work Date ]]="","","Y")</f>
        <v/>
      </c>
    </row>
    <row r="1533" spans="1:34" x14ac:dyDescent="0.25">
      <c r="A1533" t="s">
        <v>29</v>
      </c>
      <c r="B1533">
        <v>314304</v>
      </c>
      <c r="C1533">
        <v>29991855</v>
      </c>
      <c r="D1533" s="1" t="s">
        <v>1848</v>
      </c>
      <c r="E1533" t="s">
        <v>208</v>
      </c>
      <c r="F1533" t="s">
        <v>1849</v>
      </c>
      <c r="G1533">
        <v>20100508</v>
      </c>
      <c r="H1533">
        <v>20170106</v>
      </c>
      <c r="I1533" t="s">
        <v>537</v>
      </c>
      <c r="L1533" t="s">
        <v>34</v>
      </c>
      <c r="M1533" t="s">
        <v>34</v>
      </c>
      <c r="N1533" t="s">
        <v>35</v>
      </c>
      <c r="O1533" t="s">
        <v>35</v>
      </c>
      <c r="P1533" t="s">
        <v>35</v>
      </c>
      <c r="Q1533" t="s">
        <v>35</v>
      </c>
      <c r="R1533" t="s">
        <v>35</v>
      </c>
      <c r="S1533" t="s">
        <v>34</v>
      </c>
      <c r="AC1533" t="s">
        <v>35</v>
      </c>
      <c r="AD1533">
        <v>20170124</v>
      </c>
      <c r="AF1533" t="str">
        <f>IFERROR(VLOOKUP(RIGHT(TblFeedFile1[[#This Row],[Leave Type ]],6),LkupPayType[],2,FALSE),"TBD")</f>
        <v>TBD</v>
      </c>
      <c r="AG1533" t="str">
        <f>IFERROR(VLOOKUP(TblFeedFile1[[#This Row],[ Report Number ]],LkupPayrollCycle[],2,FALSE),"TBD")</f>
        <v>Bi-Weekly</v>
      </c>
      <c r="AH1533" t="str">
        <f>IF(TblFeedFile1[[#This Row],[Return to Work Date ]]="","","Y")</f>
        <v/>
      </c>
    </row>
    <row r="1534" spans="1:34" x14ac:dyDescent="0.25">
      <c r="A1534" t="s">
        <v>29</v>
      </c>
      <c r="B1534">
        <v>314304</v>
      </c>
      <c r="C1534">
        <v>29991855</v>
      </c>
      <c r="D1534" s="1" t="s">
        <v>1848</v>
      </c>
      <c r="E1534" t="s">
        <v>208</v>
      </c>
      <c r="F1534" t="s">
        <v>1849</v>
      </c>
      <c r="G1534">
        <v>20100508</v>
      </c>
      <c r="H1534">
        <v>20170106</v>
      </c>
      <c r="I1534" t="s">
        <v>303</v>
      </c>
      <c r="L1534" t="s">
        <v>34</v>
      </c>
      <c r="M1534" t="s">
        <v>34</v>
      </c>
      <c r="N1534" t="s">
        <v>35</v>
      </c>
      <c r="O1534" t="s">
        <v>35</v>
      </c>
      <c r="P1534" t="s">
        <v>35</v>
      </c>
      <c r="Q1534" t="s">
        <v>35</v>
      </c>
      <c r="R1534" t="s">
        <v>35</v>
      </c>
      <c r="S1534" t="s">
        <v>34</v>
      </c>
      <c r="AC1534" t="s">
        <v>35</v>
      </c>
      <c r="AD1534">
        <v>20170124</v>
      </c>
      <c r="AF1534" t="str">
        <f>IFERROR(VLOOKUP(RIGHT(TblFeedFile1[[#This Row],[Leave Type ]],6),LkupPayType[],2,FALSE),"TBD")</f>
        <v>TBD</v>
      </c>
      <c r="AG1534" t="str">
        <f>IFERROR(VLOOKUP(TblFeedFile1[[#This Row],[ Report Number ]],LkupPayrollCycle[],2,FALSE),"TBD")</f>
        <v>Bi-Weekly</v>
      </c>
      <c r="AH1534" t="str">
        <f>IF(TblFeedFile1[[#This Row],[Return to Work Date ]]="","","Y")</f>
        <v/>
      </c>
    </row>
    <row r="1535" spans="1:34" x14ac:dyDescent="0.25">
      <c r="A1535" t="s">
        <v>29</v>
      </c>
      <c r="B1535">
        <v>314304</v>
      </c>
      <c r="C1535">
        <v>29991855</v>
      </c>
      <c r="D1535" s="1" t="s">
        <v>1848</v>
      </c>
      <c r="E1535" t="s">
        <v>208</v>
      </c>
      <c r="F1535" t="s">
        <v>1849</v>
      </c>
      <c r="G1535">
        <v>20100508</v>
      </c>
      <c r="H1535">
        <v>20170106</v>
      </c>
      <c r="I1535" t="s">
        <v>201</v>
      </c>
      <c r="L1535" t="s">
        <v>34</v>
      </c>
      <c r="M1535" t="s">
        <v>34</v>
      </c>
      <c r="N1535" t="s">
        <v>35</v>
      </c>
      <c r="O1535" t="s">
        <v>35</v>
      </c>
      <c r="P1535" t="s">
        <v>35</v>
      </c>
      <c r="Q1535" t="s">
        <v>35</v>
      </c>
      <c r="R1535" t="s">
        <v>35</v>
      </c>
      <c r="S1535" t="s">
        <v>34</v>
      </c>
      <c r="AC1535" t="s">
        <v>35</v>
      </c>
      <c r="AD1535">
        <v>20170124</v>
      </c>
      <c r="AF1535" t="str">
        <f>IFERROR(VLOOKUP(RIGHT(TblFeedFile1[[#This Row],[Leave Type ]],6),LkupPayType[],2,FALSE),"TBD")</f>
        <v>TBD</v>
      </c>
      <c r="AG1535" t="str">
        <f>IFERROR(VLOOKUP(TblFeedFile1[[#This Row],[ Report Number ]],LkupPayrollCycle[],2,FALSE),"TBD")</f>
        <v>Bi-Weekly</v>
      </c>
      <c r="AH1535" t="str">
        <f>IF(TblFeedFile1[[#This Row],[Return to Work Date ]]="","","Y")</f>
        <v/>
      </c>
    </row>
    <row r="1536" spans="1:34" x14ac:dyDescent="0.25">
      <c r="A1536" t="s">
        <v>37</v>
      </c>
      <c r="B1536">
        <v>314304</v>
      </c>
      <c r="C1536">
        <v>29991855</v>
      </c>
      <c r="D1536" s="1" t="s">
        <v>1848</v>
      </c>
      <c r="E1536" t="s">
        <v>208</v>
      </c>
      <c r="F1536" t="s">
        <v>1849</v>
      </c>
      <c r="G1536">
        <v>20100508</v>
      </c>
      <c r="H1536">
        <v>20170507</v>
      </c>
      <c r="I1536" t="s">
        <v>423</v>
      </c>
      <c r="L1536" t="s">
        <v>34</v>
      </c>
      <c r="M1536" t="s">
        <v>34</v>
      </c>
      <c r="N1536" t="s">
        <v>35</v>
      </c>
      <c r="O1536" t="s">
        <v>35</v>
      </c>
      <c r="P1536" t="s">
        <v>35</v>
      </c>
      <c r="Q1536" t="s">
        <v>35</v>
      </c>
      <c r="R1536" t="s">
        <v>35</v>
      </c>
      <c r="S1536" t="s">
        <v>34</v>
      </c>
      <c r="AC1536" t="s">
        <v>35</v>
      </c>
      <c r="AD1536">
        <v>20170124</v>
      </c>
      <c r="AF1536" t="str">
        <f>IFERROR(VLOOKUP(RIGHT(TblFeedFile1[[#This Row],[Leave Type ]],6),LkupPayType[],2,FALSE),"TBD")</f>
        <v>TBD</v>
      </c>
      <c r="AG1536" t="str">
        <f>IFERROR(VLOOKUP(TblFeedFile1[[#This Row],[ Report Number ]],LkupPayrollCycle[],2,FALSE),"TBD")</f>
        <v>Bi-Weekly</v>
      </c>
      <c r="AH1536" t="str">
        <f>IF(TblFeedFile1[[#This Row],[Return to Work Date ]]="","","Y")</f>
        <v/>
      </c>
    </row>
    <row r="1537" spans="1:34" x14ac:dyDescent="0.25">
      <c r="A1537" t="s">
        <v>37</v>
      </c>
      <c r="B1537">
        <v>314304</v>
      </c>
      <c r="C1537">
        <v>29991855</v>
      </c>
      <c r="D1537" s="1" t="s">
        <v>1848</v>
      </c>
      <c r="E1537" t="s">
        <v>208</v>
      </c>
      <c r="F1537" t="s">
        <v>1849</v>
      </c>
      <c r="G1537">
        <v>20100607</v>
      </c>
      <c r="H1537">
        <v>20170507</v>
      </c>
      <c r="I1537" t="s">
        <v>303</v>
      </c>
      <c r="L1537" t="s">
        <v>34</v>
      </c>
      <c r="M1537" t="s">
        <v>34</v>
      </c>
      <c r="N1537" t="s">
        <v>35</v>
      </c>
      <c r="O1537" t="s">
        <v>35</v>
      </c>
      <c r="P1537" t="s">
        <v>35</v>
      </c>
      <c r="Q1537" t="s">
        <v>35</v>
      </c>
      <c r="R1537" t="s">
        <v>35</v>
      </c>
      <c r="S1537" t="s">
        <v>34</v>
      </c>
      <c r="AC1537" t="s">
        <v>35</v>
      </c>
      <c r="AD1537">
        <v>20170124</v>
      </c>
      <c r="AF1537" t="str">
        <f>IFERROR(VLOOKUP(RIGHT(TblFeedFile1[[#This Row],[Leave Type ]],6),LkupPayType[],2,FALSE),"TBD")</f>
        <v>TBD</v>
      </c>
      <c r="AG1537" t="str">
        <f>IFERROR(VLOOKUP(TblFeedFile1[[#This Row],[ Report Number ]],LkupPayrollCycle[],2,FALSE),"TBD")</f>
        <v>Bi-Weekly</v>
      </c>
      <c r="AH1537" t="str">
        <f>IF(TblFeedFile1[[#This Row],[Return to Work Date ]]="","","Y")</f>
        <v/>
      </c>
    </row>
    <row r="1538" spans="1:34" x14ac:dyDescent="0.25">
      <c r="A1538" t="s">
        <v>37</v>
      </c>
      <c r="B1538">
        <v>314304</v>
      </c>
      <c r="C1538">
        <v>29991855</v>
      </c>
      <c r="D1538" s="1" t="s">
        <v>1848</v>
      </c>
      <c r="E1538" t="s">
        <v>208</v>
      </c>
      <c r="F1538" t="s">
        <v>1849</v>
      </c>
      <c r="G1538">
        <v>20100806</v>
      </c>
      <c r="H1538">
        <v>20170507</v>
      </c>
      <c r="I1538" t="s">
        <v>537</v>
      </c>
      <c r="L1538" t="s">
        <v>34</v>
      </c>
      <c r="M1538" t="s">
        <v>34</v>
      </c>
      <c r="N1538" t="s">
        <v>35</v>
      </c>
      <c r="O1538" t="s">
        <v>35</v>
      </c>
      <c r="P1538" t="s">
        <v>35</v>
      </c>
      <c r="Q1538" t="s">
        <v>35</v>
      </c>
      <c r="R1538" t="s">
        <v>35</v>
      </c>
      <c r="S1538" t="s">
        <v>34</v>
      </c>
      <c r="AC1538" t="s">
        <v>35</v>
      </c>
      <c r="AD1538">
        <v>20170124</v>
      </c>
      <c r="AF1538" t="str">
        <f>IFERROR(VLOOKUP(RIGHT(TblFeedFile1[[#This Row],[Leave Type ]],6),LkupPayType[],2,FALSE),"TBD")</f>
        <v>TBD</v>
      </c>
      <c r="AG1538" t="str">
        <f>IFERROR(VLOOKUP(TblFeedFile1[[#This Row],[ Report Number ]],LkupPayrollCycle[],2,FALSE),"TBD")</f>
        <v>Bi-Weekly</v>
      </c>
      <c r="AH1538" t="str">
        <f>IF(TblFeedFile1[[#This Row],[Return to Work Date ]]="","","Y")</f>
        <v/>
      </c>
    </row>
    <row r="1539" spans="1:34" x14ac:dyDescent="0.25">
      <c r="A1539" t="s">
        <v>37</v>
      </c>
      <c r="B1539">
        <v>314304</v>
      </c>
      <c r="C1539">
        <v>29991855</v>
      </c>
      <c r="D1539" s="1" t="s">
        <v>1848</v>
      </c>
      <c r="E1539" t="s">
        <v>208</v>
      </c>
      <c r="F1539" t="s">
        <v>1849</v>
      </c>
      <c r="G1539">
        <v>20110508</v>
      </c>
      <c r="H1539">
        <v>20170507</v>
      </c>
      <c r="I1539" t="s">
        <v>201</v>
      </c>
      <c r="L1539" t="s">
        <v>34</v>
      </c>
      <c r="M1539" t="s">
        <v>34</v>
      </c>
      <c r="N1539" t="s">
        <v>35</v>
      </c>
      <c r="O1539" t="s">
        <v>35</v>
      </c>
      <c r="P1539" t="s">
        <v>35</v>
      </c>
      <c r="Q1539" t="s">
        <v>35</v>
      </c>
      <c r="R1539" t="s">
        <v>35</v>
      </c>
      <c r="S1539" t="s">
        <v>34</v>
      </c>
      <c r="AC1539" t="s">
        <v>35</v>
      </c>
      <c r="AD1539">
        <v>20170124</v>
      </c>
      <c r="AF1539" t="str">
        <f>IFERROR(VLOOKUP(RIGHT(TblFeedFile1[[#This Row],[Leave Type ]],6),LkupPayType[],2,FALSE),"TBD")</f>
        <v>TBD</v>
      </c>
      <c r="AG1539" t="str">
        <f>IFERROR(VLOOKUP(TblFeedFile1[[#This Row],[ Report Number ]],LkupPayrollCycle[],2,FALSE),"TBD")</f>
        <v>Bi-Weekly</v>
      </c>
      <c r="AH1539" t="str">
        <f>IF(TblFeedFile1[[#This Row],[Return to Work Date ]]="","","Y")</f>
        <v/>
      </c>
    </row>
    <row r="1540" spans="1:34" x14ac:dyDescent="0.25">
      <c r="A1540" t="s">
        <v>29</v>
      </c>
      <c r="B1540">
        <v>314305</v>
      </c>
      <c r="C1540">
        <v>29994561</v>
      </c>
      <c r="D1540" s="1">
        <v>541701098634</v>
      </c>
      <c r="E1540" t="s">
        <v>100</v>
      </c>
      <c r="F1540" t="s">
        <v>324</v>
      </c>
      <c r="G1540">
        <v>20170116</v>
      </c>
      <c r="H1540">
        <v>20170130</v>
      </c>
      <c r="I1540" t="s">
        <v>40</v>
      </c>
      <c r="L1540" t="s">
        <v>35</v>
      </c>
      <c r="AD1540">
        <v>20170124</v>
      </c>
      <c r="AF1540" t="str">
        <f>IFERROR(VLOOKUP(RIGHT(TblFeedFile1[[#This Row],[Leave Type ]],6),LkupPayType[],2,FALSE),"TBD")</f>
        <v>TBD</v>
      </c>
      <c r="AG1540" t="str">
        <f>IFERROR(VLOOKUP(TblFeedFile1[[#This Row],[ Report Number ]],LkupPayrollCycle[],2,FALSE),"TBD")</f>
        <v>Bi-Weekly</v>
      </c>
      <c r="AH1540" t="str">
        <f>IF(TblFeedFile1[[#This Row],[Return to Work Date ]]="","","Y")</f>
        <v/>
      </c>
    </row>
    <row r="1541" spans="1:34" x14ac:dyDescent="0.25">
      <c r="A1541" t="s">
        <v>37</v>
      </c>
      <c r="B1541">
        <v>314305</v>
      </c>
      <c r="C1541">
        <v>29994561</v>
      </c>
      <c r="D1541" s="1">
        <v>541701098634</v>
      </c>
      <c r="E1541" t="s">
        <v>100</v>
      </c>
      <c r="F1541" t="s">
        <v>324</v>
      </c>
      <c r="G1541">
        <v>20170116</v>
      </c>
      <c r="H1541">
        <v>20170125</v>
      </c>
      <c r="I1541" t="s">
        <v>40</v>
      </c>
      <c r="L1541" t="s">
        <v>35</v>
      </c>
      <c r="AD1541">
        <v>20170124</v>
      </c>
      <c r="AF1541" t="str">
        <f>IFERROR(VLOOKUP(RIGHT(TblFeedFile1[[#This Row],[Leave Type ]],6),LkupPayType[],2,FALSE),"TBD")</f>
        <v>TBD</v>
      </c>
      <c r="AG1541" t="str">
        <f>IFERROR(VLOOKUP(TblFeedFile1[[#This Row],[ Report Number ]],LkupPayrollCycle[],2,FALSE),"TBD")</f>
        <v>Bi-Weekly</v>
      </c>
      <c r="AH1541" t="str">
        <f>IF(TblFeedFile1[[#This Row],[Return to Work Date ]]="","","Y")</f>
        <v/>
      </c>
    </row>
    <row r="1542" spans="1:34" x14ac:dyDescent="0.25">
      <c r="A1542" t="s">
        <v>29</v>
      </c>
      <c r="B1542">
        <v>314304</v>
      </c>
      <c r="C1542">
        <v>29999729</v>
      </c>
      <c r="D1542" s="1" t="s">
        <v>1850</v>
      </c>
      <c r="E1542" t="s">
        <v>1041</v>
      </c>
      <c r="F1542" t="s">
        <v>1851</v>
      </c>
      <c r="G1542">
        <v>20150206</v>
      </c>
      <c r="H1542">
        <v>20160410</v>
      </c>
      <c r="I1542" t="s">
        <v>36</v>
      </c>
      <c r="L1542" t="s">
        <v>34</v>
      </c>
      <c r="M1542" t="s">
        <v>34</v>
      </c>
      <c r="N1542" t="s">
        <v>35</v>
      </c>
      <c r="O1542" t="s">
        <v>35</v>
      </c>
      <c r="P1542" t="s">
        <v>35</v>
      </c>
      <c r="Q1542" t="s">
        <v>35</v>
      </c>
      <c r="R1542" t="s">
        <v>35</v>
      </c>
      <c r="S1542" t="s">
        <v>34</v>
      </c>
      <c r="AC1542" t="s">
        <v>35</v>
      </c>
      <c r="AD1542">
        <v>20170124</v>
      </c>
      <c r="AF1542" t="str">
        <f>IFERROR(VLOOKUP(RIGHT(TblFeedFile1[[#This Row],[Leave Type ]],6),LkupPayType[],2,FALSE),"TBD")</f>
        <v>TBD</v>
      </c>
      <c r="AG1542" t="str">
        <f>IFERROR(VLOOKUP(TblFeedFile1[[#This Row],[ Report Number ]],LkupPayrollCycle[],2,FALSE),"TBD")</f>
        <v>Bi-Weekly</v>
      </c>
      <c r="AH1542" t="str">
        <f>IF(TblFeedFile1[[#This Row],[Return to Work Date ]]="","","Y")</f>
        <v/>
      </c>
    </row>
    <row r="1543" spans="1:34" x14ac:dyDescent="0.25">
      <c r="A1543" t="s">
        <v>37</v>
      </c>
      <c r="B1543">
        <v>314304</v>
      </c>
      <c r="C1543">
        <v>29999729</v>
      </c>
      <c r="D1543" s="1" t="s">
        <v>1850</v>
      </c>
      <c r="E1543" t="s">
        <v>1041</v>
      </c>
      <c r="F1543" t="s">
        <v>1851</v>
      </c>
      <c r="G1543">
        <v>20141203</v>
      </c>
      <c r="H1543">
        <v>20160410</v>
      </c>
      <c r="I1543" t="s">
        <v>36</v>
      </c>
      <c r="L1543" t="s">
        <v>34</v>
      </c>
      <c r="M1543" t="s">
        <v>34</v>
      </c>
      <c r="N1543" t="s">
        <v>35</v>
      </c>
      <c r="O1543" t="s">
        <v>35</v>
      </c>
      <c r="P1543" t="s">
        <v>35</v>
      </c>
      <c r="Q1543" t="s">
        <v>35</v>
      </c>
      <c r="R1543" t="s">
        <v>35</v>
      </c>
      <c r="S1543" t="s">
        <v>34</v>
      </c>
      <c r="AD1543">
        <v>20170124</v>
      </c>
      <c r="AF1543" t="str">
        <f>IFERROR(VLOOKUP(RIGHT(TblFeedFile1[[#This Row],[Leave Type ]],6),LkupPayType[],2,FALSE),"TBD")</f>
        <v>TBD</v>
      </c>
      <c r="AG1543" t="str">
        <f>IFERROR(VLOOKUP(TblFeedFile1[[#This Row],[ Report Number ]],LkupPayrollCycle[],2,FALSE),"TBD")</f>
        <v>Bi-Weekly</v>
      </c>
      <c r="AH1543" t="str">
        <f>IF(TblFeedFile1[[#This Row],[Return to Work Date ]]="","","Y")</f>
        <v/>
      </c>
    </row>
    <row r="1544" spans="1:34" x14ac:dyDescent="0.25">
      <c r="A1544" t="s">
        <v>37</v>
      </c>
      <c r="B1544">
        <v>314304</v>
      </c>
      <c r="C1544">
        <v>30019805</v>
      </c>
      <c r="D1544" s="1" t="s">
        <v>1852</v>
      </c>
      <c r="E1544" t="s">
        <v>1853</v>
      </c>
      <c r="F1544" t="s">
        <v>1854</v>
      </c>
      <c r="G1544">
        <v>20170120</v>
      </c>
      <c r="H1544">
        <v>20170319</v>
      </c>
      <c r="I1544" t="s">
        <v>78</v>
      </c>
      <c r="K1544" t="s">
        <v>79</v>
      </c>
      <c r="L1544" t="s">
        <v>34</v>
      </c>
      <c r="M1544" t="s">
        <v>34</v>
      </c>
      <c r="N1544" t="s">
        <v>35</v>
      </c>
      <c r="O1544" t="s">
        <v>35</v>
      </c>
      <c r="P1544" t="s">
        <v>35</v>
      </c>
      <c r="Q1544" t="s">
        <v>35</v>
      </c>
      <c r="R1544" t="s">
        <v>35</v>
      </c>
      <c r="S1544" t="s">
        <v>34</v>
      </c>
      <c r="AD1544">
        <v>20170124</v>
      </c>
      <c r="AF1544" t="str">
        <f>IFERROR(VLOOKUP(RIGHT(TblFeedFile1[[#This Row],[Leave Type ]],6),LkupPayType[],2,FALSE),"TBD")</f>
        <v>TBD</v>
      </c>
      <c r="AG1544" t="str">
        <f>IFERROR(VLOOKUP(TblFeedFile1[[#This Row],[ Report Number ]],LkupPayrollCycle[],2,FALSE),"TBD")</f>
        <v>Bi-Weekly</v>
      </c>
      <c r="AH1544" t="str">
        <f>IF(TblFeedFile1[[#This Row],[Return to Work Date ]]="","","Y")</f>
        <v/>
      </c>
    </row>
    <row r="1545" spans="1:34" x14ac:dyDescent="0.25">
      <c r="A1545" t="s">
        <v>37</v>
      </c>
      <c r="B1545">
        <v>314304</v>
      </c>
      <c r="C1545">
        <v>30019805</v>
      </c>
      <c r="D1545" s="1">
        <v>541701238214</v>
      </c>
      <c r="E1545" t="s">
        <v>1853</v>
      </c>
      <c r="F1545" t="s">
        <v>1854</v>
      </c>
      <c r="G1545">
        <v>20170123</v>
      </c>
      <c r="H1545">
        <v>20170319</v>
      </c>
      <c r="I1545" t="s">
        <v>53</v>
      </c>
      <c r="L1545" t="s">
        <v>34</v>
      </c>
      <c r="M1545" t="s">
        <v>34</v>
      </c>
      <c r="N1545" t="s">
        <v>35</v>
      </c>
      <c r="O1545" t="s">
        <v>35</v>
      </c>
      <c r="P1545" t="s">
        <v>35</v>
      </c>
      <c r="Q1545" t="s">
        <v>35</v>
      </c>
      <c r="R1545" t="s">
        <v>35</v>
      </c>
      <c r="S1545" t="s">
        <v>34</v>
      </c>
      <c r="AD1545">
        <v>20170124</v>
      </c>
      <c r="AF1545" t="str">
        <f>IFERROR(VLOOKUP(RIGHT(TblFeedFile1[[#This Row],[Leave Type ]],6),LkupPayType[],2,FALSE),"TBD")</f>
        <v>TBD</v>
      </c>
      <c r="AG1545" t="str">
        <f>IFERROR(VLOOKUP(TblFeedFile1[[#This Row],[ Report Number ]],LkupPayrollCycle[],2,FALSE),"TBD")</f>
        <v>Bi-Weekly</v>
      </c>
      <c r="AH1545" t="str">
        <f>IF(TblFeedFile1[[#This Row],[Return to Work Date ]]="","","Y")</f>
        <v/>
      </c>
    </row>
    <row r="1546" spans="1:34" x14ac:dyDescent="0.25">
      <c r="A1546" t="s">
        <v>37</v>
      </c>
      <c r="B1546">
        <v>314304</v>
      </c>
      <c r="C1546">
        <v>30056819</v>
      </c>
      <c r="D1546" s="1">
        <v>571701128627</v>
      </c>
      <c r="E1546" t="s">
        <v>82</v>
      </c>
      <c r="F1546" t="s">
        <v>1855</v>
      </c>
      <c r="G1546">
        <v>20170123</v>
      </c>
      <c r="H1546">
        <v>20170203</v>
      </c>
      <c r="I1546" t="s">
        <v>40</v>
      </c>
      <c r="L1546" t="s">
        <v>34</v>
      </c>
      <c r="M1546" t="s">
        <v>34</v>
      </c>
      <c r="N1546" t="s">
        <v>35</v>
      </c>
      <c r="O1546" t="s">
        <v>35</v>
      </c>
      <c r="P1546" t="s">
        <v>35</v>
      </c>
      <c r="Q1546" t="s">
        <v>35</v>
      </c>
      <c r="R1546" t="s">
        <v>35</v>
      </c>
      <c r="S1546" t="s">
        <v>34</v>
      </c>
      <c r="AD1546">
        <v>20170124</v>
      </c>
      <c r="AF1546" t="str">
        <f>IFERROR(VLOOKUP(RIGHT(TblFeedFile1[[#This Row],[Leave Type ]],6),LkupPayType[],2,FALSE),"TBD")</f>
        <v>TBD</v>
      </c>
      <c r="AG1546" t="str">
        <f>IFERROR(VLOOKUP(TblFeedFile1[[#This Row],[ Report Number ]],LkupPayrollCycle[],2,FALSE),"TBD")</f>
        <v>Bi-Weekly</v>
      </c>
      <c r="AH1546" t="str">
        <f>IF(TblFeedFile1[[#This Row],[Return to Work Date ]]="","","Y")</f>
        <v/>
      </c>
    </row>
    <row r="1547" spans="1:34" x14ac:dyDescent="0.25">
      <c r="A1547" t="s">
        <v>29</v>
      </c>
      <c r="B1547">
        <v>314304</v>
      </c>
      <c r="C1547">
        <v>30127298</v>
      </c>
      <c r="D1547" s="1" t="s">
        <v>1856</v>
      </c>
      <c r="E1547" t="s">
        <v>178</v>
      </c>
      <c r="F1547" t="s">
        <v>1857</v>
      </c>
      <c r="G1547">
        <v>20161228</v>
      </c>
      <c r="H1547">
        <v>20161228</v>
      </c>
      <c r="I1547" t="s">
        <v>33</v>
      </c>
      <c r="L1547" t="s">
        <v>34</v>
      </c>
      <c r="M1547" t="s">
        <v>34</v>
      </c>
      <c r="N1547" t="s">
        <v>35</v>
      </c>
      <c r="O1547" t="s">
        <v>35</v>
      </c>
      <c r="P1547" t="s">
        <v>35</v>
      </c>
      <c r="Q1547" t="s">
        <v>35</v>
      </c>
      <c r="R1547" t="s">
        <v>35</v>
      </c>
      <c r="S1547" t="s">
        <v>34</v>
      </c>
      <c r="AC1547" t="s">
        <v>35</v>
      </c>
      <c r="AD1547">
        <v>20170124</v>
      </c>
      <c r="AF1547" t="str">
        <f>IFERROR(VLOOKUP(RIGHT(TblFeedFile1[[#This Row],[Leave Type ]],6),LkupPayType[],2,FALSE),"TBD")</f>
        <v>TBD</v>
      </c>
      <c r="AG1547" t="str">
        <f>IFERROR(VLOOKUP(TblFeedFile1[[#This Row],[ Report Number ]],LkupPayrollCycle[],2,FALSE),"TBD")</f>
        <v>Bi-Weekly</v>
      </c>
      <c r="AH1547" t="str">
        <f>IF(TblFeedFile1[[#This Row],[Return to Work Date ]]="","","Y")</f>
        <v/>
      </c>
    </row>
    <row r="1548" spans="1:34" x14ac:dyDescent="0.25">
      <c r="A1548" t="s">
        <v>29</v>
      </c>
      <c r="B1548">
        <v>314304</v>
      </c>
      <c r="C1548">
        <v>30127298</v>
      </c>
      <c r="D1548" s="1" t="s">
        <v>1856</v>
      </c>
      <c r="E1548" t="s">
        <v>178</v>
      </c>
      <c r="F1548" t="s">
        <v>1857</v>
      </c>
      <c r="G1548">
        <v>20160907</v>
      </c>
      <c r="H1548">
        <v>20161227</v>
      </c>
      <c r="I1548" t="s">
        <v>223</v>
      </c>
      <c r="L1548" t="s">
        <v>34</v>
      </c>
      <c r="M1548" t="s">
        <v>34</v>
      </c>
      <c r="N1548" t="s">
        <v>35</v>
      </c>
      <c r="O1548" t="s">
        <v>35</v>
      </c>
      <c r="P1548" t="s">
        <v>35</v>
      </c>
      <c r="Q1548" t="s">
        <v>35</v>
      </c>
      <c r="R1548" t="s">
        <v>35</v>
      </c>
      <c r="S1548" t="s">
        <v>34</v>
      </c>
      <c r="AC1548" t="s">
        <v>35</v>
      </c>
      <c r="AD1548">
        <v>20170124</v>
      </c>
      <c r="AF1548" t="str">
        <f>IFERROR(VLOOKUP(RIGHT(TblFeedFile1[[#This Row],[Leave Type ]],6),LkupPayType[],2,FALSE),"TBD")</f>
        <v>TBD</v>
      </c>
      <c r="AG1548" t="str">
        <f>IFERROR(VLOOKUP(TblFeedFile1[[#This Row],[ Report Number ]],LkupPayrollCycle[],2,FALSE),"TBD")</f>
        <v>Bi-Weekly</v>
      </c>
      <c r="AH1548" t="str">
        <f>IF(TblFeedFile1[[#This Row],[Return to Work Date ]]="","","Y")</f>
        <v/>
      </c>
    </row>
    <row r="1549" spans="1:34" x14ac:dyDescent="0.25">
      <c r="A1549" t="s">
        <v>37</v>
      </c>
      <c r="B1549">
        <v>314304</v>
      </c>
      <c r="C1549">
        <v>30127298</v>
      </c>
      <c r="D1549" s="1" t="s">
        <v>1856</v>
      </c>
      <c r="E1549" t="s">
        <v>178</v>
      </c>
      <c r="F1549" t="s">
        <v>1857</v>
      </c>
      <c r="G1549">
        <v>20160907</v>
      </c>
      <c r="H1549">
        <v>20170103</v>
      </c>
      <c r="I1549" t="s">
        <v>223</v>
      </c>
      <c r="L1549" t="s">
        <v>34</v>
      </c>
      <c r="M1549" t="s">
        <v>34</v>
      </c>
      <c r="N1549" t="s">
        <v>35</v>
      </c>
      <c r="O1549" t="s">
        <v>35</v>
      </c>
      <c r="P1549" t="s">
        <v>35</v>
      </c>
      <c r="Q1549" t="s">
        <v>35</v>
      </c>
      <c r="R1549" t="s">
        <v>35</v>
      </c>
      <c r="S1549" t="s">
        <v>34</v>
      </c>
      <c r="AC1549" t="s">
        <v>35</v>
      </c>
      <c r="AD1549">
        <v>20170124</v>
      </c>
      <c r="AF1549" t="str">
        <f>IFERROR(VLOOKUP(RIGHT(TblFeedFile1[[#This Row],[Leave Type ]],6),LkupPayType[],2,FALSE),"TBD")</f>
        <v>TBD</v>
      </c>
      <c r="AG1549" t="str">
        <f>IFERROR(VLOOKUP(TblFeedFile1[[#This Row],[ Report Number ]],LkupPayrollCycle[],2,FALSE),"TBD")</f>
        <v>Bi-Weekly</v>
      </c>
      <c r="AH1549" t="str">
        <f>IF(TblFeedFile1[[#This Row],[Return to Work Date ]]="","","Y")</f>
        <v/>
      </c>
    </row>
    <row r="1550" spans="1:34" x14ac:dyDescent="0.25">
      <c r="A1550" t="s">
        <v>37</v>
      </c>
      <c r="B1550">
        <v>314304</v>
      </c>
      <c r="C1550">
        <v>30127298</v>
      </c>
      <c r="D1550" s="1" t="s">
        <v>1856</v>
      </c>
      <c r="E1550" t="s">
        <v>178</v>
      </c>
      <c r="F1550" t="s">
        <v>1857</v>
      </c>
      <c r="G1550">
        <v>20160907</v>
      </c>
      <c r="H1550">
        <v>20170103</v>
      </c>
      <c r="I1550" t="s">
        <v>185</v>
      </c>
      <c r="L1550" t="s">
        <v>34</v>
      </c>
      <c r="M1550" t="s">
        <v>34</v>
      </c>
      <c r="N1550" t="s">
        <v>35</v>
      </c>
      <c r="O1550" t="s">
        <v>35</v>
      </c>
      <c r="P1550" t="s">
        <v>35</v>
      </c>
      <c r="Q1550" t="s">
        <v>35</v>
      </c>
      <c r="R1550" t="s">
        <v>35</v>
      </c>
      <c r="S1550" t="s">
        <v>34</v>
      </c>
      <c r="AC1550" t="s">
        <v>35</v>
      </c>
      <c r="AD1550">
        <v>20170124</v>
      </c>
      <c r="AF1550" t="str">
        <f>IFERROR(VLOOKUP(RIGHT(TblFeedFile1[[#This Row],[Leave Type ]],6),LkupPayType[],2,FALSE),"TBD")</f>
        <v>TBD</v>
      </c>
      <c r="AG1550" t="str">
        <f>IFERROR(VLOOKUP(TblFeedFile1[[#This Row],[ Report Number ]],LkupPayrollCycle[],2,FALSE),"TBD")</f>
        <v>Bi-Weekly</v>
      </c>
      <c r="AH1550" t="str">
        <f>IF(TblFeedFile1[[#This Row],[Return to Work Date ]]="","","Y")</f>
        <v/>
      </c>
    </row>
    <row r="1551" spans="1:34" x14ac:dyDescent="0.25">
      <c r="A1551" t="s">
        <v>37</v>
      </c>
      <c r="B1551">
        <v>314304</v>
      </c>
      <c r="C1551">
        <v>30127298</v>
      </c>
      <c r="D1551" s="1" t="s">
        <v>1856</v>
      </c>
      <c r="E1551" t="s">
        <v>178</v>
      </c>
      <c r="F1551" t="s">
        <v>1857</v>
      </c>
      <c r="G1551">
        <v>20161228</v>
      </c>
      <c r="H1551">
        <v>20170103</v>
      </c>
      <c r="I1551" t="s">
        <v>78</v>
      </c>
      <c r="K1551" t="s">
        <v>219</v>
      </c>
      <c r="L1551" t="s">
        <v>34</v>
      </c>
      <c r="M1551" t="s">
        <v>34</v>
      </c>
      <c r="N1551" t="s">
        <v>35</v>
      </c>
      <c r="O1551" t="s">
        <v>35</v>
      </c>
      <c r="P1551" t="s">
        <v>35</v>
      </c>
      <c r="Q1551" t="s">
        <v>35</v>
      </c>
      <c r="R1551" t="s">
        <v>35</v>
      </c>
      <c r="S1551" t="s">
        <v>34</v>
      </c>
      <c r="AC1551" t="s">
        <v>35</v>
      </c>
      <c r="AD1551">
        <v>20170124</v>
      </c>
      <c r="AF1551" t="str">
        <f>IFERROR(VLOOKUP(RIGHT(TblFeedFile1[[#This Row],[Leave Type ]],6),LkupPayType[],2,FALSE),"TBD")</f>
        <v>TBD</v>
      </c>
      <c r="AG1551" t="str">
        <f>IFERROR(VLOOKUP(TblFeedFile1[[#This Row],[ Report Number ]],LkupPayrollCycle[],2,FALSE),"TBD")</f>
        <v>Bi-Weekly</v>
      </c>
      <c r="AH1551" t="str">
        <f>IF(TblFeedFile1[[#This Row],[Return to Work Date ]]="","","Y")</f>
        <v/>
      </c>
    </row>
    <row r="1552" spans="1:34" x14ac:dyDescent="0.25">
      <c r="A1552" t="s">
        <v>37</v>
      </c>
      <c r="B1552">
        <v>314304</v>
      </c>
      <c r="C1552">
        <v>30127298</v>
      </c>
      <c r="D1552" s="1" t="s">
        <v>1856</v>
      </c>
      <c r="E1552" t="s">
        <v>178</v>
      </c>
      <c r="F1552" t="s">
        <v>1857</v>
      </c>
      <c r="G1552">
        <v>20170104</v>
      </c>
      <c r="H1552">
        <v>20170104</v>
      </c>
      <c r="I1552" t="s">
        <v>33</v>
      </c>
      <c r="L1552" t="s">
        <v>34</v>
      </c>
      <c r="M1552" t="s">
        <v>34</v>
      </c>
      <c r="N1552" t="s">
        <v>35</v>
      </c>
      <c r="O1552" t="s">
        <v>35</v>
      </c>
      <c r="P1552" t="s">
        <v>35</v>
      </c>
      <c r="Q1552" t="s">
        <v>35</v>
      </c>
      <c r="R1552" t="s">
        <v>35</v>
      </c>
      <c r="S1552" t="s">
        <v>34</v>
      </c>
      <c r="AC1552" t="s">
        <v>35</v>
      </c>
      <c r="AD1552">
        <v>20170124</v>
      </c>
      <c r="AF1552" t="str">
        <f>IFERROR(VLOOKUP(RIGHT(TblFeedFile1[[#This Row],[Leave Type ]],6),LkupPayType[],2,FALSE),"TBD")</f>
        <v>TBD</v>
      </c>
      <c r="AG1552" t="str">
        <f>IFERROR(VLOOKUP(TblFeedFile1[[#This Row],[ Report Number ]],LkupPayrollCycle[],2,FALSE),"TBD")</f>
        <v>Bi-Weekly</v>
      </c>
      <c r="AH1552" t="str">
        <f>IF(TblFeedFile1[[#This Row],[Return to Work Date ]]="","","Y")</f>
        <v/>
      </c>
    </row>
    <row r="1553" spans="1:34" x14ac:dyDescent="0.25">
      <c r="A1553" t="s">
        <v>29</v>
      </c>
      <c r="B1553">
        <v>314304</v>
      </c>
      <c r="C1553">
        <v>30172496</v>
      </c>
      <c r="D1553" s="1" t="s">
        <v>1858</v>
      </c>
      <c r="E1553" t="s">
        <v>1571</v>
      </c>
      <c r="F1553" t="s">
        <v>1763</v>
      </c>
      <c r="G1553">
        <v>20161216</v>
      </c>
      <c r="H1553">
        <v>20170314</v>
      </c>
      <c r="I1553" t="s">
        <v>49</v>
      </c>
      <c r="L1553" t="s">
        <v>34</v>
      </c>
      <c r="M1553" t="s">
        <v>34</v>
      </c>
      <c r="N1553" t="s">
        <v>35</v>
      </c>
      <c r="O1553" t="s">
        <v>35</v>
      </c>
      <c r="P1553" t="s">
        <v>35</v>
      </c>
      <c r="Q1553" t="s">
        <v>35</v>
      </c>
      <c r="R1553" t="s">
        <v>35</v>
      </c>
      <c r="S1553" t="s">
        <v>34</v>
      </c>
      <c r="AC1553" t="s">
        <v>35</v>
      </c>
      <c r="AD1553">
        <v>20170124</v>
      </c>
      <c r="AF1553" t="str">
        <f>IFERROR(VLOOKUP(RIGHT(TblFeedFile1[[#This Row],[Leave Type ]],6),LkupPayType[],2,FALSE),"TBD")</f>
        <v>TBD</v>
      </c>
      <c r="AG1553" t="str">
        <f>IFERROR(VLOOKUP(TblFeedFile1[[#This Row],[ Report Number ]],LkupPayrollCycle[],2,FALSE),"TBD")</f>
        <v>Bi-Weekly</v>
      </c>
      <c r="AH1553" t="str">
        <f>IF(TblFeedFile1[[#This Row],[Return to Work Date ]]="","","Y")</f>
        <v/>
      </c>
    </row>
    <row r="1554" spans="1:34" x14ac:dyDescent="0.25">
      <c r="A1554" t="s">
        <v>37</v>
      </c>
      <c r="B1554">
        <v>314304</v>
      </c>
      <c r="C1554">
        <v>30172496</v>
      </c>
      <c r="D1554" s="1" t="s">
        <v>1858</v>
      </c>
      <c r="E1554" t="s">
        <v>1571</v>
      </c>
      <c r="F1554" t="s">
        <v>1763</v>
      </c>
      <c r="G1554">
        <v>20161216</v>
      </c>
      <c r="H1554">
        <v>20170123</v>
      </c>
      <c r="I1554" t="s">
        <v>49</v>
      </c>
      <c r="L1554" t="s">
        <v>34</v>
      </c>
      <c r="M1554" t="s">
        <v>34</v>
      </c>
      <c r="N1554" t="s">
        <v>35</v>
      </c>
      <c r="O1554" t="s">
        <v>35</v>
      </c>
      <c r="P1554" t="s">
        <v>35</v>
      </c>
      <c r="Q1554" t="s">
        <v>35</v>
      </c>
      <c r="R1554" t="s">
        <v>35</v>
      </c>
      <c r="S1554" t="s">
        <v>34</v>
      </c>
      <c r="AC1554" t="s">
        <v>35</v>
      </c>
      <c r="AD1554">
        <v>20170124</v>
      </c>
      <c r="AF1554" t="str">
        <f>IFERROR(VLOOKUP(RIGHT(TblFeedFile1[[#This Row],[Leave Type ]],6),LkupPayType[],2,FALSE),"TBD")</f>
        <v>TBD</v>
      </c>
      <c r="AG1554" t="str">
        <f>IFERROR(VLOOKUP(TblFeedFile1[[#This Row],[ Report Number ]],LkupPayrollCycle[],2,FALSE),"TBD")</f>
        <v>Bi-Weekly</v>
      </c>
      <c r="AH1554" t="str">
        <f>IF(TblFeedFile1[[#This Row],[Return to Work Date ]]="","","Y")</f>
        <v/>
      </c>
    </row>
    <row r="1555" spans="1:34" x14ac:dyDescent="0.25">
      <c r="A1555" t="s">
        <v>37</v>
      </c>
      <c r="B1555">
        <v>314304</v>
      </c>
      <c r="C1555">
        <v>30172496</v>
      </c>
      <c r="D1555" s="1" t="s">
        <v>1858</v>
      </c>
      <c r="E1555" t="s">
        <v>1571</v>
      </c>
      <c r="F1555" t="s">
        <v>1763</v>
      </c>
      <c r="G1555">
        <v>20170124</v>
      </c>
      <c r="H1555">
        <v>20170124</v>
      </c>
      <c r="I1555" t="s">
        <v>33</v>
      </c>
      <c r="L1555" t="s">
        <v>34</v>
      </c>
      <c r="M1555" t="s">
        <v>34</v>
      </c>
      <c r="N1555" t="s">
        <v>35</v>
      </c>
      <c r="O1555" t="s">
        <v>35</v>
      </c>
      <c r="P1555" t="s">
        <v>35</v>
      </c>
      <c r="Q1555" t="s">
        <v>35</v>
      </c>
      <c r="R1555" t="s">
        <v>35</v>
      </c>
      <c r="S1555" t="s">
        <v>34</v>
      </c>
      <c r="AC1555" t="s">
        <v>35</v>
      </c>
      <c r="AD1555">
        <v>20170124</v>
      </c>
      <c r="AF1555" t="str">
        <f>IFERROR(VLOOKUP(RIGHT(TblFeedFile1[[#This Row],[Leave Type ]],6),LkupPayType[],2,FALSE),"TBD")</f>
        <v>TBD</v>
      </c>
      <c r="AG1555" t="str">
        <f>IFERROR(VLOOKUP(TblFeedFile1[[#This Row],[ Report Number ]],LkupPayrollCycle[],2,FALSE),"TBD")</f>
        <v>Bi-Weekly</v>
      </c>
      <c r="AH1555" t="str">
        <f>IF(TblFeedFile1[[#This Row],[Return to Work Date ]]="","","Y")</f>
        <v/>
      </c>
    </row>
    <row r="1556" spans="1:34" x14ac:dyDescent="0.25">
      <c r="A1556" t="s">
        <v>37</v>
      </c>
      <c r="B1556">
        <v>314301</v>
      </c>
      <c r="C1556">
        <v>30177210</v>
      </c>
      <c r="D1556" s="1" t="s">
        <v>1859</v>
      </c>
      <c r="E1556" t="s">
        <v>1860</v>
      </c>
      <c r="F1556" t="s">
        <v>263</v>
      </c>
      <c r="G1556">
        <v>20160621</v>
      </c>
      <c r="H1556">
        <v>20160916</v>
      </c>
      <c r="I1556" t="s">
        <v>36</v>
      </c>
      <c r="L1556" t="s">
        <v>34</v>
      </c>
      <c r="M1556" t="s">
        <v>34</v>
      </c>
      <c r="N1556" t="s">
        <v>35</v>
      </c>
      <c r="O1556" t="s">
        <v>35</v>
      </c>
      <c r="P1556" t="s">
        <v>35</v>
      </c>
      <c r="Q1556" t="s">
        <v>35</v>
      </c>
      <c r="R1556" t="s">
        <v>35</v>
      </c>
      <c r="S1556" t="s">
        <v>34</v>
      </c>
      <c r="AD1556">
        <v>20170124</v>
      </c>
      <c r="AF1556" t="str">
        <f>IFERROR(VLOOKUP(RIGHT(TblFeedFile1[[#This Row],[Leave Type ]],6),LkupPayType[],2,FALSE),"TBD")</f>
        <v>TBD</v>
      </c>
      <c r="AG1556" t="str">
        <f>IFERROR(VLOOKUP(TblFeedFile1[[#This Row],[ Report Number ]],LkupPayrollCycle[],2,FALSE),"TBD")</f>
        <v>Semi-Monthly</v>
      </c>
      <c r="AH1556" t="str">
        <f>IF(TblFeedFile1[[#This Row],[Return to Work Date ]]="","","Y")</f>
        <v/>
      </c>
    </row>
    <row r="1557" spans="1:34" x14ac:dyDescent="0.25">
      <c r="A1557" t="s">
        <v>37</v>
      </c>
      <c r="B1557">
        <v>314304</v>
      </c>
      <c r="C1557">
        <v>30205465</v>
      </c>
      <c r="D1557" s="1">
        <v>521701238302</v>
      </c>
      <c r="E1557" t="s">
        <v>418</v>
      </c>
      <c r="F1557" t="s">
        <v>1861</v>
      </c>
      <c r="G1557">
        <v>20170119</v>
      </c>
      <c r="H1557">
        <v>20170219</v>
      </c>
      <c r="I1557" t="s">
        <v>53</v>
      </c>
      <c r="L1557" t="s">
        <v>34</v>
      </c>
      <c r="M1557" t="s">
        <v>34</v>
      </c>
      <c r="N1557" t="s">
        <v>35</v>
      </c>
      <c r="O1557" t="s">
        <v>35</v>
      </c>
      <c r="P1557" t="s">
        <v>35</v>
      </c>
      <c r="Q1557" t="s">
        <v>35</v>
      </c>
      <c r="R1557" t="s">
        <v>35</v>
      </c>
      <c r="S1557" t="s">
        <v>34</v>
      </c>
      <c r="AD1557">
        <v>20170124</v>
      </c>
      <c r="AF1557" t="str">
        <f>IFERROR(VLOOKUP(RIGHT(TblFeedFile1[[#This Row],[Leave Type ]],6),LkupPayType[],2,FALSE),"TBD")</f>
        <v>TBD</v>
      </c>
      <c r="AG1557" t="str">
        <f>IFERROR(VLOOKUP(TblFeedFile1[[#This Row],[ Report Number ]],LkupPayrollCycle[],2,FALSE),"TBD")</f>
        <v>Bi-Weekly</v>
      </c>
      <c r="AH1557" t="str">
        <f>IF(TblFeedFile1[[#This Row],[Return to Work Date ]]="","","Y")</f>
        <v/>
      </c>
    </row>
    <row r="1558" spans="1:34" x14ac:dyDescent="0.25">
      <c r="A1558" t="s">
        <v>29</v>
      </c>
      <c r="B1558">
        <v>314304</v>
      </c>
      <c r="C1558">
        <v>30225776</v>
      </c>
      <c r="D1558" s="1">
        <v>561701038596</v>
      </c>
      <c r="E1558" t="s">
        <v>1862</v>
      </c>
      <c r="F1558" t="s">
        <v>1863</v>
      </c>
      <c r="G1558">
        <v>20170116</v>
      </c>
      <c r="H1558">
        <v>20170503</v>
      </c>
      <c r="I1558" t="s">
        <v>53</v>
      </c>
      <c r="L1558" t="s">
        <v>34</v>
      </c>
      <c r="M1558" t="s">
        <v>34</v>
      </c>
      <c r="N1558" t="s">
        <v>35</v>
      </c>
      <c r="O1558" t="s">
        <v>35</v>
      </c>
      <c r="P1558" t="s">
        <v>35</v>
      </c>
      <c r="Q1558" t="s">
        <v>35</v>
      </c>
      <c r="R1558" t="s">
        <v>35</v>
      </c>
      <c r="S1558" t="s">
        <v>34</v>
      </c>
      <c r="AD1558">
        <v>20170124</v>
      </c>
      <c r="AF1558" t="str">
        <f>IFERROR(VLOOKUP(RIGHT(TblFeedFile1[[#This Row],[Leave Type ]],6),LkupPayType[],2,FALSE),"TBD")</f>
        <v>TBD</v>
      </c>
      <c r="AG1558" t="str">
        <f>IFERROR(VLOOKUP(TblFeedFile1[[#This Row],[ Report Number ]],LkupPayrollCycle[],2,FALSE),"TBD")</f>
        <v>Bi-Weekly</v>
      </c>
      <c r="AH1558" t="str">
        <f>IF(TblFeedFile1[[#This Row],[Return to Work Date ]]="","","Y")</f>
        <v/>
      </c>
    </row>
    <row r="1559" spans="1:34" x14ac:dyDescent="0.25">
      <c r="A1559" t="s">
        <v>37</v>
      </c>
      <c r="B1559">
        <v>314304</v>
      </c>
      <c r="C1559">
        <v>30225776</v>
      </c>
      <c r="D1559" s="1">
        <v>561701038596</v>
      </c>
      <c r="E1559" t="s">
        <v>1862</v>
      </c>
      <c r="F1559" t="s">
        <v>1863</v>
      </c>
      <c r="G1559">
        <v>20170116</v>
      </c>
      <c r="H1559">
        <v>20170506</v>
      </c>
      <c r="I1559" t="s">
        <v>155</v>
      </c>
      <c r="L1559" t="s">
        <v>34</v>
      </c>
      <c r="M1559" t="s">
        <v>34</v>
      </c>
      <c r="N1559" t="s">
        <v>35</v>
      </c>
      <c r="O1559" t="s">
        <v>35</v>
      </c>
      <c r="P1559" t="s">
        <v>35</v>
      </c>
      <c r="Q1559" t="s">
        <v>35</v>
      </c>
      <c r="R1559" t="s">
        <v>35</v>
      </c>
      <c r="S1559" t="s">
        <v>34</v>
      </c>
      <c r="AD1559">
        <v>20170124</v>
      </c>
      <c r="AF1559" t="str">
        <f>IFERROR(VLOOKUP(RIGHT(TblFeedFile1[[#This Row],[Leave Type ]],6),LkupPayType[],2,FALSE),"TBD")</f>
        <v>TBD</v>
      </c>
      <c r="AG1559" t="str">
        <f>IFERROR(VLOOKUP(TblFeedFile1[[#This Row],[ Report Number ]],LkupPayrollCycle[],2,FALSE),"TBD")</f>
        <v>Bi-Weekly</v>
      </c>
      <c r="AH1559" t="str">
        <f>IF(TblFeedFile1[[#This Row],[Return to Work Date ]]="","","Y")</f>
        <v/>
      </c>
    </row>
    <row r="1560" spans="1:34" x14ac:dyDescent="0.25">
      <c r="A1560" t="s">
        <v>37</v>
      </c>
      <c r="B1560">
        <v>314304</v>
      </c>
      <c r="C1560">
        <v>30225776</v>
      </c>
      <c r="D1560" s="1">
        <v>561701038596</v>
      </c>
      <c r="E1560" t="s">
        <v>1862</v>
      </c>
      <c r="F1560" t="s">
        <v>1863</v>
      </c>
      <c r="G1560">
        <v>20170123</v>
      </c>
      <c r="H1560">
        <v>20170506</v>
      </c>
      <c r="I1560" t="s">
        <v>459</v>
      </c>
      <c r="L1560" t="s">
        <v>34</v>
      </c>
      <c r="M1560" t="s">
        <v>34</v>
      </c>
      <c r="N1560" t="s">
        <v>35</v>
      </c>
      <c r="O1560" t="s">
        <v>35</v>
      </c>
      <c r="P1560" t="s">
        <v>35</v>
      </c>
      <c r="Q1560" t="s">
        <v>35</v>
      </c>
      <c r="R1560" t="s">
        <v>35</v>
      </c>
      <c r="S1560" t="s">
        <v>34</v>
      </c>
      <c r="AD1560">
        <v>20170124</v>
      </c>
      <c r="AF1560" t="str">
        <f>IFERROR(VLOOKUP(RIGHT(TblFeedFile1[[#This Row],[Leave Type ]],6),LkupPayType[],2,FALSE),"TBD")</f>
        <v>TBD</v>
      </c>
      <c r="AG1560" t="str">
        <f>IFERROR(VLOOKUP(TblFeedFile1[[#This Row],[ Report Number ]],LkupPayrollCycle[],2,FALSE),"TBD")</f>
        <v>Bi-Weekly</v>
      </c>
      <c r="AH1560" t="str">
        <f>IF(TblFeedFile1[[#This Row],[Return to Work Date ]]="","","Y")</f>
        <v/>
      </c>
    </row>
    <row r="1561" spans="1:34" x14ac:dyDescent="0.25">
      <c r="A1561" t="s">
        <v>29</v>
      </c>
      <c r="B1561">
        <v>314304</v>
      </c>
      <c r="C1561">
        <v>30225791</v>
      </c>
      <c r="D1561" s="1">
        <v>571701108027</v>
      </c>
      <c r="E1561" t="s">
        <v>1864</v>
      </c>
      <c r="F1561" t="s">
        <v>808</v>
      </c>
      <c r="G1561">
        <v>20170110</v>
      </c>
      <c r="H1561">
        <v>20170207</v>
      </c>
      <c r="I1561" t="s">
        <v>40</v>
      </c>
      <c r="L1561" t="s">
        <v>34</v>
      </c>
      <c r="M1561" t="s">
        <v>34</v>
      </c>
      <c r="N1561" t="s">
        <v>35</v>
      </c>
      <c r="O1561" t="s">
        <v>35</v>
      </c>
      <c r="P1561" t="s">
        <v>35</v>
      </c>
      <c r="Q1561" t="s">
        <v>35</v>
      </c>
      <c r="R1561" t="s">
        <v>35</v>
      </c>
      <c r="S1561" t="s">
        <v>34</v>
      </c>
      <c r="X1561" t="s">
        <v>35</v>
      </c>
      <c r="AD1561">
        <v>20170124</v>
      </c>
      <c r="AF1561" t="str">
        <f>IFERROR(VLOOKUP(RIGHT(TblFeedFile1[[#This Row],[Leave Type ]],6),LkupPayType[],2,FALSE),"TBD")</f>
        <v>TBD</v>
      </c>
      <c r="AG1561" t="str">
        <f>IFERROR(VLOOKUP(TblFeedFile1[[#This Row],[ Report Number ]],LkupPayrollCycle[],2,FALSE),"TBD")</f>
        <v>Bi-Weekly</v>
      </c>
      <c r="AH1561" t="str">
        <f>IF(TblFeedFile1[[#This Row],[Return to Work Date ]]="","","Y")</f>
        <v/>
      </c>
    </row>
    <row r="1562" spans="1:34" x14ac:dyDescent="0.25">
      <c r="A1562" t="s">
        <v>37</v>
      </c>
      <c r="B1562">
        <v>314304</v>
      </c>
      <c r="C1562">
        <v>30225791</v>
      </c>
      <c r="D1562" s="1" t="s">
        <v>1865</v>
      </c>
      <c r="E1562" t="s">
        <v>1864</v>
      </c>
      <c r="F1562" t="s">
        <v>808</v>
      </c>
      <c r="G1562">
        <v>20170110</v>
      </c>
      <c r="H1562">
        <v>20170203</v>
      </c>
      <c r="I1562" t="s">
        <v>36</v>
      </c>
      <c r="L1562" t="s">
        <v>34</v>
      </c>
      <c r="M1562" t="s">
        <v>34</v>
      </c>
      <c r="N1562" t="s">
        <v>35</v>
      </c>
      <c r="O1562" t="s">
        <v>35</v>
      </c>
      <c r="P1562" t="s">
        <v>35</v>
      </c>
      <c r="Q1562" t="s">
        <v>35</v>
      </c>
      <c r="R1562" t="s">
        <v>35</v>
      </c>
      <c r="S1562" t="s">
        <v>34</v>
      </c>
      <c r="X1562" t="s">
        <v>35</v>
      </c>
      <c r="AD1562">
        <v>20170124</v>
      </c>
      <c r="AF1562" t="str">
        <f>IFERROR(VLOOKUP(RIGHT(TblFeedFile1[[#This Row],[Leave Type ]],6),LkupPayType[],2,FALSE),"TBD")</f>
        <v>TBD</v>
      </c>
      <c r="AG1562" t="str">
        <f>IFERROR(VLOOKUP(TblFeedFile1[[#This Row],[ Report Number ]],LkupPayrollCycle[],2,FALSE),"TBD")</f>
        <v>Bi-Weekly</v>
      </c>
      <c r="AH1562" t="str">
        <f>IF(TblFeedFile1[[#This Row],[Return to Work Date ]]="","","Y")</f>
        <v/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888"/>
  <sheetViews>
    <sheetView showGridLines="0" workbookViewId="0">
      <selection activeCell="I9" sqref="I9"/>
    </sheetView>
  </sheetViews>
  <sheetFormatPr defaultRowHeight="12.75" x14ac:dyDescent="0.2"/>
  <cols>
    <col min="1" max="1" width="15.5703125" style="2" customWidth="1"/>
    <col min="2" max="2" width="12.85546875" style="2" customWidth="1"/>
    <col min="3" max="3" width="9.140625" style="2"/>
    <col min="4" max="4" width="37.7109375" style="2" bestFit="1" customWidth="1"/>
    <col min="5" max="6" width="9.140625" style="2"/>
    <col min="7" max="7" width="11.5703125" style="2" bestFit="1" customWidth="1"/>
    <col min="8" max="16384" width="9.140625" style="2"/>
  </cols>
  <sheetData>
    <row r="1" spans="1:20" x14ac:dyDescent="0.2">
      <c r="A1" s="2" t="s">
        <v>1866</v>
      </c>
      <c r="B1" s="2" t="s">
        <v>1867</v>
      </c>
      <c r="D1" s="2" t="s">
        <v>1873</v>
      </c>
      <c r="E1" s="2" t="s">
        <v>1874</v>
      </c>
      <c r="G1" s="5" t="s">
        <v>1881</v>
      </c>
      <c r="T1" s="2">
        <f>COLUMN()</f>
        <v>20</v>
      </c>
    </row>
    <row r="2" spans="1:20" x14ac:dyDescent="0.2">
      <c r="A2" s="2">
        <v>314304</v>
      </c>
      <c r="B2" s="2" t="s">
        <v>1868</v>
      </c>
      <c r="D2" s="27" t="s">
        <v>33</v>
      </c>
      <c r="E2" s="2" t="s">
        <v>1871</v>
      </c>
      <c r="G2" s="6">
        <v>20170413</v>
      </c>
    </row>
    <row r="3" spans="1:20" x14ac:dyDescent="0.2">
      <c r="A3" s="2">
        <v>314305</v>
      </c>
      <c r="B3" s="2" t="s">
        <v>1868</v>
      </c>
      <c r="D3" s="2" t="s">
        <v>43</v>
      </c>
      <c r="E3" s="2" t="s">
        <v>1872</v>
      </c>
    </row>
    <row r="4" spans="1:20" x14ac:dyDescent="0.2">
      <c r="A4" s="2">
        <v>314306</v>
      </c>
      <c r="B4" s="2" t="s">
        <v>1868</v>
      </c>
      <c r="D4" s="2" t="s">
        <v>43</v>
      </c>
      <c r="E4" s="2" t="s">
        <v>1872</v>
      </c>
    </row>
    <row r="5" spans="1:20" x14ac:dyDescent="0.2">
      <c r="A5" s="2">
        <v>314310</v>
      </c>
      <c r="B5" s="2" t="s">
        <v>1868</v>
      </c>
      <c r="D5" s="2" t="s">
        <v>43</v>
      </c>
      <c r="E5" s="2" t="s">
        <v>1872</v>
      </c>
    </row>
    <row r="6" spans="1:20" x14ac:dyDescent="0.2">
      <c r="A6" s="2">
        <v>314311</v>
      </c>
      <c r="B6" s="2" t="s">
        <v>1868</v>
      </c>
      <c r="D6" s="27" t="s">
        <v>43</v>
      </c>
      <c r="E6" s="2" t="s">
        <v>1872</v>
      </c>
    </row>
    <row r="7" spans="1:20" x14ac:dyDescent="0.2">
      <c r="A7" s="2">
        <v>314312</v>
      </c>
      <c r="B7" s="2" t="s">
        <v>1868</v>
      </c>
      <c r="D7" s="27" t="s">
        <v>53</v>
      </c>
      <c r="E7" s="27" t="s">
        <v>1869</v>
      </c>
    </row>
    <row r="8" spans="1:20" x14ac:dyDescent="0.2">
      <c r="A8" s="2">
        <v>314316</v>
      </c>
      <c r="B8" s="2" t="s">
        <v>1868</v>
      </c>
      <c r="D8" s="27" t="s">
        <v>40</v>
      </c>
      <c r="E8" s="27" t="s">
        <v>1869</v>
      </c>
    </row>
    <row r="9" spans="1:20" x14ac:dyDescent="0.2">
      <c r="A9" s="2">
        <v>314317</v>
      </c>
      <c r="B9" s="2" t="s">
        <v>1868</v>
      </c>
      <c r="D9" s="27" t="s">
        <v>155</v>
      </c>
      <c r="E9" s="27" t="s">
        <v>1869</v>
      </c>
    </row>
    <row r="10" spans="1:20" x14ac:dyDescent="0.2">
      <c r="A10" s="2">
        <v>314318</v>
      </c>
      <c r="B10" s="2" t="s">
        <v>1868</v>
      </c>
      <c r="D10" s="27" t="s">
        <v>459</v>
      </c>
      <c r="E10" s="27" t="s">
        <v>1869</v>
      </c>
    </row>
    <row r="11" spans="1:20" x14ac:dyDescent="0.2">
      <c r="A11" s="2">
        <v>164340</v>
      </c>
      <c r="B11" s="2" t="s">
        <v>1868</v>
      </c>
      <c r="D11" s="27" t="s">
        <v>273</v>
      </c>
      <c r="E11" s="27" t="s">
        <v>1869</v>
      </c>
    </row>
    <row r="12" spans="1:20" x14ac:dyDescent="0.2">
      <c r="A12" s="2">
        <v>164341</v>
      </c>
      <c r="B12" s="2" t="s">
        <v>1868</v>
      </c>
      <c r="D12" s="27" t="s">
        <v>223</v>
      </c>
      <c r="E12" s="27" t="s">
        <v>1869</v>
      </c>
    </row>
    <row r="13" spans="1:20" x14ac:dyDescent="0.2">
      <c r="A13" s="2">
        <v>164342</v>
      </c>
      <c r="B13" s="2" t="s">
        <v>1868</v>
      </c>
      <c r="D13" s="27" t="s">
        <v>423</v>
      </c>
      <c r="E13" s="27" t="s">
        <v>1869</v>
      </c>
    </row>
    <row r="14" spans="1:20" x14ac:dyDescent="0.2">
      <c r="A14" s="2">
        <v>314301</v>
      </c>
      <c r="B14" s="2" t="s">
        <v>1156</v>
      </c>
      <c r="D14" s="27" t="s">
        <v>537</v>
      </c>
      <c r="E14" s="27" t="s">
        <v>1869</v>
      </c>
    </row>
    <row r="15" spans="1:20" x14ac:dyDescent="0.2">
      <c r="A15" s="2">
        <v>314302</v>
      </c>
      <c r="B15" s="2" t="s">
        <v>1156</v>
      </c>
      <c r="D15" s="27" t="s">
        <v>303</v>
      </c>
      <c r="E15" s="27" t="s">
        <v>1869</v>
      </c>
    </row>
    <row r="16" spans="1:20" x14ac:dyDescent="0.2">
      <c r="A16" s="2">
        <v>314303</v>
      </c>
      <c r="B16" s="2" t="s">
        <v>1156</v>
      </c>
      <c r="D16" s="27" t="s">
        <v>432</v>
      </c>
      <c r="E16" s="27" t="s">
        <v>1869</v>
      </c>
    </row>
    <row r="17" spans="1:5" x14ac:dyDescent="0.2">
      <c r="A17" s="2">
        <v>314307</v>
      </c>
      <c r="B17" s="2" t="s">
        <v>1156</v>
      </c>
      <c r="D17" s="3" t="s">
        <v>36</v>
      </c>
      <c r="E17" s="2" t="s">
        <v>1870</v>
      </c>
    </row>
    <row r="18" spans="1:5" x14ac:dyDescent="0.2">
      <c r="A18" s="2">
        <v>314308</v>
      </c>
      <c r="B18" s="2" t="s">
        <v>1156</v>
      </c>
      <c r="D18" s="27" t="s">
        <v>49</v>
      </c>
      <c r="E18" s="2" t="s">
        <v>1870</v>
      </c>
    </row>
    <row r="19" spans="1:5" x14ac:dyDescent="0.2">
      <c r="A19" s="2">
        <v>314309</v>
      </c>
      <c r="B19" s="2" t="s">
        <v>1156</v>
      </c>
      <c r="D19" s="27" t="s">
        <v>78</v>
      </c>
      <c r="E19" s="2" t="s">
        <v>1870</v>
      </c>
    </row>
    <row r="20" spans="1:5" x14ac:dyDescent="0.2">
      <c r="A20" s="2">
        <v>314313</v>
      </c>
      <c r="B20" s="2" t="s">
        <v>1156</v>
      </c>
      <c r="D20" s="27" t="s">
        <v>36</v>
      </c>
      <c r="E20" s="2" t="s">
        <v>1870</v>
      </c>
    </row>
    <row r="21" spans="1:5" x14ac:dyDescent="0.2">
      <c r="A21" s="2">
        <v>314314</v>
      </c>
      <c r="B21" s="2" t="s">
        <v>1156</v>
      </c>
      <c r="D21" s="27" t="s">
        <v>127</v>
      </c>
      <c r="E21" s="2" t="s">
        <v>1870</v>
      </c>
    </row>
    <row r="22" spans="1:5" x14ac:dyDescent="0.2">
      <c r="A22" s="2">
        <v>314315</v>
      </c>
      <c r="B22" s="2" t="s">
        <v>1156</v>
      </c>
      <c r="D22" s="27" t="s">
        <v>156</v>
      </c>
      <c r="E22" s="2" t="s">
        <v>1870</v>
      </c>
    </row>
    <row r="23" spans="1:5" x14ac:dyDescent="0.2">
      <c r="A23" s="2">
        <v>164335</v>
      </c>
      <c r="B23" s="2" t="s">
        <v>1156</v>
      </c>
      <c r="D23" s="27" t="s">
        <v>185</v>
      </c>
      <c r="E23" s="2" t="s">
        <v>1870</v>
      </c>
    </row>
    <row r="24" spans="1:5" x14ac:dyDescent="0.2">
      <c r="A24" s="2">
        <v>164336</v>
      </c>
      <c r="B24" s="2" t="s">
        <v>1156</v>
      </c>
      <c r="D24" s="27" t="s">
        <v>49</v>
      </c>
      <c r="E24" s="2" t="s">
        <v>1870</v>
      </c>
    </row>
    <row r="25" spans="1:5" x14ac:dyDescent="0.2">
      <c r="A25" s="2">
        <v>164337</v>
      </c>
      <c r="B25" s="2" t="s">
        <v>1156</v>
      </c>
      <c r="D25" s="27" t="s">
        <v>201</v>
      </c>
      <c r="E25" s="2" t="s">
        <v>1870</v>
      </c>
    </row>
    <row r="26" spans="1:5" x14ac:dyDescent="0.2">
      <c r="A26" s="2">
        <v>164338</v>
      </c>
      <c r="B26" s="2" t="s">
        <v>1156</v>
      </c>
      <c r="D26" s="27" t="s">
        <v>1891</v>
      </c>
      <c r="E26" s="27" t="s">
        <v>1870</v>
      </c>
    </row>
    <row r="27" spans="1:5" x14ac:dyDescent="0.2">
      <c r="A27" s="2">
        <v>164330</v>
      </c>
      <c r="B27" s="2" t="s">
        <v>1156</v>
      </c>
      <c r="D27" s="2" t="s">
        <v>254</v>
      </c>
      <c r="E27" s="27" t="s">
        <v>1870</v>
      </c>
    </row>
    <row r="28" spans="1:5" x14ac:dyDescent="0.2">
      <c r="A28" s="2">
        <v>164331</v>
      </c>
      <c r="B28" s="2" t="s">
        <v>1156</v>
      </c>
      <c r="D28" s="2" t="s">
        <v>1892</v>
      </c>
      <c r="E28" s="27" t="s">
        <v>1869</v>
      </c>
    </row>
    <row r="29" spans="1:5" x14ac:dyDescent="0.2">
      <c r="A29" s="2">
        <v>164332</v>
      </c>
      <c r="B29" s="2" t="s">
        <v>1156</v>
      </c>
      <c r="D29" s="28" t="s">
        <v>1893</v>
      </c>
      <c r="E29" s="27" t="s">
        <v>1869</v>
      </c>
    </row>
    <row r="30" spans="1:5" x14ac:dyDescent="0.2">
      <c r="D30" s="2" t="s">
        <v>1894</v>
      </c>
      <c r="E30" s="29" t="s">
        <v>1869</v>
      </c>
    </row>
    <row r="31" spans="1:5" ht="15" x14ac:dyDescent="0.25">
      <c r="D31"/>
      <c r="E31"/>
    </row>
    <row r="32" spans="1:5" ht="15" x14ac:dyDescent="0.25">
      <c r="D32"/>
      <c r="E32"/>
    </row>
    <row r="33" spans="4:5" ht="15" x14ac:dyDescent="0.25">
      <c r="D33"/>
      <c r="E33"/>
    </row>
    <row r="34" spans="4:5" ht="15" x14ac:dyDescent="0.25">
      <c r="D34"/>
      <c r="E34"/>
    </row>
    <row r="35" spans="4:5" ht="15" x14ac:dyDescent="0.25">
      <c r="D35"/>
      <c r="E35"/>
    </row>
    <row r="36" spans="4:5" ht="15" x14ac:dyDescent="0.25">
      <c r="D36"/>
      <c r="E36"/>
    </row>
    <row r="37" spans="4:5" ht="15" x14ac:dyDescent="0.25">
      <c r="D37"/>
      <c r="E37"/>
    </row>
    <row r="38" spans="4:5" ht="15" x14ac:dyDescent="0.25">
      <c r="D38"/>
      <c r="E38"/>
    </row>
    <row r="39" spans="4:5" ht="15" x14ac:dyDescent="0.25">
      <c r="D39"/>
      <c r="E39"/>
    </row>
    <row r="40" spans="4:5" ht="15" x14ac:dyDescent="0.25">
      <c r="D40"/>
      <c r="E40"/>
    </row>
    <row r="41" spans="4:5" ht="15" x14ac:dyDescent="0.25">
      <c r="D41"/>
      <c r="E41"/>
    </row>
    <row r="42" spans="4:5" ht="15" x14ac:dyDescent="0.25">
      <c r="D42"/>
      <c r="E42"/>
    </row>
    <row r="43" spans="4:5" ht="15" x14ac:dyDescent="0.25">
      <c r="D43"/>
      <c r="E43"/>
    </row>
    <row r="44" spans="4:5" ht="15" x14ac:dyDescent="0.25">
      <c r="D44"/>
      <c r="E44"/>
    </row>
    <row r="45" spans="4:5" ht="15" x14ac:dyDescent="0.25">
      <c r="D45"/>
      <c r="E45"/>
    </row>
    <row r="46" spans="4:5" ht="15" x14ac:dyDescent="0.25">
      <c r="D46"/>
      <c r="E46"/>
    </row>
    <row r="47" spans="4:5" ht="15" x14ac:dyDescent="0.25">
      <c r="D47"/>
      <c r="E47"/>
    </row>
    <row r="48" spans="4:5" ht="15" x14ac:dyDescent="0.25">
      <c r="D48"/>
      <c r="E48"/>
    </row>
    <row r="49" spans="4:5" ht="15" x14ac:dyDescent="0.25">
      <c r="D49"/>
      <c r="E49"/>
    </row>
    <row r="50" spans="4:5" ht="15" x14ac:dyDescent="0.25">
      <c r="D50"/>
      <c r="E50"/>
    </row>
    <row r="51" spans="4:5" ht="15" x14ac:dyDescent="0.25">
      <c r="D51"/>
      <c r="E51"/>
    </row>
    <row r="52" spans="4:5" ht="15" x14ac:dyDescent="0.25">
      <c r="D52"/>
      <c r="E52"/>
    </row>
    <row r="53" spans="4:5" ht="15" x14ac:dyDescent="0.25">
      <c r="D53"/>
      <c r="E53"/>
    </row>
    <row r="54" spans="4:5" ht="15" x14ac:dyDescent="0.25">
      <c r="D54"/>
      <c r="E54"/>
    </row>
    <row r="55" spans="4:5" ht="15" x14ac:dyDescent="0.25">
      <c r="D55"/>
      <c r="E55"/>
    </row>
    <row r="56" spans="4:5" ht="15" x14ac:dyDescent="0.25">
      <c r="D56"/>
      <c r="E56"/>
    </row>
    <row r="57" spans="4:5" ht="15" x14ac:dyDescent="0.25">
      <c r="D57"/>
      <c r="E57"/>
    </row>
    <row r="58" spans="4:5" ht="15" x14ac:dyDescent="0.25">
      <c r="D58"/>
      <c r="E58"/>
    </row>
    <row r="59" spans="4:5" ht="15" x14ac:dyDescent="0.25">
      <c r="D59"/>
      <c r="E59"/>
    </row>
    <row r="60" spans="4:5" ht="15" x14ac:dyDescent="0.25">
      <c r="D60"/>
      <c r="E60"/>
    </row>
    <row r="61" spans="4:5" ht="15" x14ac:dyDescent="0.25">
      <c r="D61"/>
      <c r="E61"/>
    </row>
    <row r="62" spans="4:5" ht="15" x14ac:dyDescent="0.25">
      <c r="D62"/>
      <c r="E62"/>
    </row>
    <row r="63" spans="4:5" ht="15" x14ac:dyDescent="0.25">
      <c r="D63"/>
      <c r="E63"/>
    </row>
    <row r="64" spans="4:5" ht="15" x14ac:dyDescent="0.25">
      <c r="D64"/>
      <c r="E64"/>
    </row>
    <row r="65" spans="4:5" ht="15" x14ac:dyDescent="0.25">
      <c r="D65"/>
      <c r="E65"/>
    </row>
    <row r="66" spans="4:5" ht="15" x14ac:dyDescent="0.25">
      <c r="D66"/>
      <c r="E66"/>
    </row>
    <row r="67" spans="4:5" ht="15" x14ac:dyDescent="0.25">
      <c r="D67"/>
      <c r="E67"/>
    </row>
    <row r="68" spans="4:5" ht="15" x14ac:dyDescent="0.25">
      <c r="D68"/>
      <c r="E68"/>
    </row>
    <row r="69" spans="4:5" ht="15" x14ac:dyDescent="0.25">
      <c r="D69"/>
      <c r="E69"/>
    </row>
    <row r="70" spans="4:5" ht="15" x14ac:dyDescent="0.25">
      <c r="D70"/>
      <c r="E70"/>
    </row>
    <row r="71" spans="4:5" ht="15" x14ac:dyDescent="0.25">
      <c r="D71"/>
      <c r="E71"/>
    </row>
    <row r="72" spans="4:5" ht="15" x14ac:dyDescent="0.25">
      <c r="D72"/>
      <c r="E72"/>
    </row>
    <row r="73" spans="4:5" ht="15" x14ac:dyDescent="0.25">
      <c r="D73"/>
      <c r="E73"/>
    </row>
    <row r="74" spans="4:5" ht="15" x14ac:dyDescent="0.25">
      <c r="D74"/>
      <c r="E74"/>
    </row>
    <row r="75" spans="4:5" ht="15" x14ac:dyDescent="0.25">
      <c r="D75"/>
      <c r="E75"/>
    </row>
    <row r="76" spans="4:5" ht="15" x14ac:dyDescent="0.25">
      <c r="D76"/>
      <c r="E76"/>
    </row>
    <row r="77" spans="4:5" ht="15" x14ac:dyDescent="0.25">
      <c r="D77"/>
      <c r="E77"/>
    </row>
    <row r="78" spans="4:5" ht="15" x14ac:dyDescent="0.25">
      <c r="D78"/>
      <c r="E78"/>
    </row>
    <row r="79" spans="4:5" ht="15" x14ac:dyDescent="0.25">
      <c r="D79"/>
      <c r="E79"/>
    </row>
    <row r="80" spans="4:5" ht="15" x14ac:dyDescent="0.25">
      <c r="D80"/>
      <c r="E80"/>
    </row>
    <row r="81" spans="4:5" ht="15" x14ac:dyDescent="0.25">
      <c r="D81"/>
      <c r="E81"/>
    </row>
    <row r="82" spans="4:5" ht="15" x14ac:dyDescent="0.25">
      <c r="D82"/>
      <c r="E82"/>
    </row>
    <row r="83" spans="4:5" ht="15" x14ac:dyDescent="0.25">
      <c r="D83"/>
      <c r="E83"/>
    </row>
    <row r="84" spans="4:5" ht="15" x14ac:dyDescent="0.25">
      <c r="D84"/>
      <c r="E84"/>
    </row>
    <row r="85" spans="4:5" ht="15" x14ac:dyDescent="0.25">
      <c r="D85"/>
      <c r="E85"/>
    </row>
    <row r="86" spans="4:5" ht="15" x14ac:dyDescent="0.25">
      <c r="D86"/>
      <c r="E86"/>
    </row>
    <row r="87" spans="4:5" ht="15" x14ac:dyDescent="0.25">
      <c r="D87"/>
      <c r="E87"/>
    </row>
    <row r="88" spans="4:5" ht="15" x14ac:dyDescent="0.25">
      <c r="D88"/>
      <c r="E88"/>
    </row>
    <row r="89" spans="4:5" ht="15" x14ac:dyDescent="0.25">
      <c r="D89"/>
      <c r="E89"/>
    </row>
    <row r="90" spans="4:5" ht="15" x14ac:dyDescent="0.25">
      <c r="D90"/>
      <c r="E90"/>
    </row>
    <row r="91" spans="4:5" ht="15" x14ac:dyDescent="0.25">
      <c r="D91"/>
      <c r="E91"/>
    </row>
    <row r="92" spans="4:5" ht="15" x14ac:dyDescent="0.25">
      <c r="D92"/>
      <c r="E92"/>
    </row>
    <row r="93" spans="4:5" ht="15" x14ac:dyDescent="0.25">
      <c r="D93"/>
      <c r="E93"/>
    </row>
    <row r="94" spans="4:5" ht="15" x14ac:dyDescent="0.25">
      <c r="D94"/>
      <c r="E94"/>
    </row>
    <row r="95" spans="4:5" ht="15" x14ac:dyDescent="0.25">
      <c r="D95"/>
      <c r="E95"/>
    </row>
    <row r="96" spans="4:5" ht="15" x14ac:dyDescent="0.25">
      <c r="D96"/>
      <c r="E96"/>
    </row>
    <row r="97" spans="4:5" ht="15" x14ac:dyDescent="0.25">
      <c r="D97"/>
      <c r="E97"/>
    </row>
    <row r="98" spans="4:5" ht="15" x14ac:dyDescent="0.25">
      <c r="D98"/>
      <c r="E98"/>
    </row>
    <row r="99" spans="4:5" ht="15" x14ac:dyDescent="0.25">
      <c r="D99"/>
      <c r="E99"/>
    </row>
    <row r="100" spans="4:5" ht="15" x14ac:dyDescent="0.25">
      <c r="D100"/>
      <c r="E100"/>
    </row>
    <row r="101" spans="4:5" ht="15" x14ac:dyDescent="0.25">
      <c r="D101"/>
      <c r="E101"/>
    </row>
    <row r="102" spans="4:5" ht="15" x14ac:dyDescent="0.25">
      <c r="D102"/>
      <c r="E102"/>
    </row>
    <row r="103" spans="4:5" ht="15" x14ac:dyDescent="0.25">
      <c r="D103"/>
      <c r="E103"/>
    </row>
    <row r="104" spans="4:5" ht="15" x14ac:dyDescent="0.25">
      <c r="D104"/>
      <c r="E104"/>
    </row>
    <row r="105" spans="4:5" ht="15" x14ac:dyDescent="0.25">
      <c r="D105"/>
      <c r="E105"/>
    </row>
    <row r="106" spans="4:5" ht="15" x14ac:dyDescent="0.25">
      <c r="D106"/>
      <c r="E106"/>
    </row>
    <row r="107" spans="4:5" ht="15" x14ac:dyDescent="0.25">
      <c r="D107"/>
      <c r="E107"/>
    </row>
    <row r="108" spans="4:5" ht="15" x14ac:dyDescent="0.25">
      <c r="D108"/>
      <c r="E108"/>
    </row>
    <row r="109" spans="4:5" ht="15" x14ac:dyDescent="0.25">
      <c r="D109"/>
      <c r="E109"/>
    </row>
    <row r="110" spans="4:5" ht="15" x14ac:dyDescent="0.25">
      <c r="D110"/>
      <c r="E110"/>
    </row>
    <row r="111" spans="4:5" ht="15" x14ac:dyDescent="0.25">
      <c r="D111"/>
      <c r="E111"/>
    </row>
    <row r="112" spans="4:5" ht="15" x14ac:dyDescent="0.25">
      <c r="D112"/>
      <c r="E112"/>
    </row>
    <row r="113" spans="4:5" ht="15" x14ac:dyDescent="0.25">
      <c r="D113"/>
      <c r="E113"/>
    </row>
    <row r="114" spans="4:5" ht="15" x14ac:dyDescent="0.25">
      <c r="D114"/>
      <c r="E114"/>
    </row>
    <row r="115" spans="4:5" ht="15" x14ac:dyDescent="0.25">
      <c r="D115"/>
      <c r="E115"/>
    </row>
    <row r="116" spans="4:5" ht="15" x14ac:dyDescent="0.25">
      <c r="D116"/>
      <c r="E116"/>
    </row>
    <row r="117" spans="4:5" ht="15" x14ac:dyDescent="0.25">
      <c r="D117"/>
      <c r="E117"/>
    </row>
    <row r="118" spans="4:5" ht="15" x14ac:dyDescent="0.25">
      <c r="D118"/>
      <c r="E118"/>
    </row>
    <row r="119" spans="4:5" ht="15" x14ac:dyDescent="0.25">
      <c r="D119"/>
      <c r="E119"/>
    </row>
    <row r="120" spans="4:5" ht="15" x14ac:dyDescent="0.25">
      <c r="D120"/>
      <c r="E120"/>
    </row>
    <row r="121" spans="4:5" ht="15" x14ac:dyDescent="0.25">
      <c r="D121"/>
      <c r="E121"/>
    </row>
    <row r="122" spans="4:5" ht="15" x14ac:dyDescent="0.25">
      <c r="D122"/>
      <c r="E122"/>
    </row>
    <row r="123" spans="4:5" ht="15" x14ac:dyDescent="0.25">
      <c r="D123"/>
      <c r="E123"/>
    </row>
    <row r="124" spans="4:5" ht="15" x14ac:dyDescent="0.25">
      <c r="D124"/>
      <c r="E124"/>
    </row>
    <row r="125" spans="4:5" ht="15" x14ac:dyDescent="0.25">
      <c r="D125"/>
      <c r="E125"/>
    </row>
    <row r="126" spans="4:5" ht="15" x14ac:dyDescent="0.25">
      <c r="D126"/>
      <c r="E126"/>
    </row>
    <row r="127" spans="4:5" ht="15" x14ac:dyDescent="0.25">
      <c r="D127"/>
      <c r="E127"/>
    </row>
    <row r="128" spans="4:5" ht="15" x14ac:dyDescent="0.25">
      <c r="D128"/>
      <c r="E128"/>
    </row>
    <row r="129" spans="4:5" ht="15" x14ac:dyDescent="0.25">
      <c r="D129"/>
      <c r="E129"/>
    </row>
    <row r="130" spans="4:5" ht="15" x14ac:dyDescent="0.25">
      <c r="D130"/>
      <c r="E130"/>
    </row>
    <row r="131" spans="4:5" ht="15" x14ac:dyDescent="0.25">
      <c r="D131"/>
      <c r="E131"/>
    </row>
    <row r="132" spans="4:5" ht="15" x14ac:dyDescent="0.25">
      <c r="D132"/>
      <c r="E132"/>
    </row>
    <row r="133" spans="4:5" ht="15" x14ac:dyDescent="0.25">
      <c r="D133"/>
      <c r="E133"/>
    </row>
    <row r="134" spans="4:5" ht="15" x14ac:dyDescent="0.25">
      <c r="D134"/>
      <c r="E134"/>
    </row>
    <row r="135" spans="4:5" ht="15" x14ac:dyDescent="0.25">
      <c r="D135"/>
      <c r="E135"/>
    </row>
    <row r="136" spans="4:5" ht="15" x14ac:dyDescent="0.25">
      <c r="D136"/>
      <c r="E136"/>
    </row>
    <row r="137" spans="4:5" ht="15" x14ac:dyDescent="0.25">
      <c r="D137"/>
      <c r="E137"/>
    </row>
    <row r="138" spans="4:5" ht="15" x14ac:dyDescent="0.25">
      <c r="D138"/>
      <c r="E138"/>
    </row>
    <row r="139" spans="4:5" ht="15" x14ac:dyDescent="0.25">
      <c r="D139"/>
      <c r="E139"/>
    </row>
    <row r="140" spans="4:5" ht="15" x14ac:dyDescent="0.25">
      <c r="D140"/>
      <c r="E140"/>
    </row>
    <row r="141" spans="4:5" ht="15" x14ac:dyDescent="0.25">
      <c r="D141"/>
      <c r="E141"/>
    </row>
    <row r="142" spans="4:5" ht="15" x14ac:dyDescent="0.25">
      <c r="D142"/>
      <c r="E142"/>
    </row>
    <row r="143" spans="4:5" ht="15" x14ac:dyDescent="0.25">
      <c r="D143"/>
      <c r="E143"/>
    </row>
    <row r="144" spans="4:5" ht="15" x14ac:dyDescent="0.25">
      <c r="D144"/>
      <c r="E144"/>
    </row>
    <row r="145" spans="4:5" ht="15" x14ac:dyDescent="0.25">
      <c r="D145"/>
      <c r="E145"/>
    </row>
    <row r="146" spans="4:5" ht="15" x14ac:dyDescent="0.25">
      <c r="D146"/>
      <c r="E146"/>
    </row>
    <row r="147" spans="4:5" ht="15" x14ac:dyDescent="0.25">
      <c r="D147"/>
      <c r="E147"/>
    </row>
    <row r="148" spans="4:5" ht="15" x14ac:dyDescent="0.25">
      <c r="D148"/>
      <c r="E148"/>
    </row>
    <row r="149" spans="4:5" ht="15" x14ac:dyDescent="0.25">
      <c r="D149"/>
      <c r="E149"/>
    </row>
    <row r="150" spans="4:5" ht="15" x14ac:dyDescent="0.25">
      <c r="D150"/>
      <c r="E150"/>
    </row>
    <row r="151" spans="4:5" ht="15" x14ac:dyDescent="0.25">
      <c r="D151"/>
      <c r="E151"/>
    </row>
    <row r="152" spans="4:5" ht="15" x14ac:dyDescent="0.25">
      <c r="D152"/>
      <c r="E152"/>
    </row>
    <row r="153" spans="4:5" ht="15" x14ac:dyDescent="0.25">
      <c r="D153"/>
      <c r="E153"/>
    </row>
    <row r="154" spans="4:5" ht="15" x14ac:dyDescent="0.25">
      <c r="D154"/>
      <c r="E154"/>
    </row>
    <row r="155" spans="4:5" ht="15" x14ac:dyDescent="0.25">
      <c r="D155"/>
      <c r="E155"/>
    </row>
    <row r="156" spans="4:5" ht="15" x14ac:dyDescent="0.25">
      <c r="D156"/>
      <c r="E156"/>
    </row>
    <row r="157" spans="4:5" ht="15" x14ac:dyDescent="0.25">
      <c r="D157"/>
      <c r="E157"/>
    </row>
    <row r="158" spans="4:5" ht="15" x14ac:dyDescent="0.25">
      <c r="D158"/>
      <c r="E158"/>
    </row>
    <row r="159" spans="4:5" ht="15" x14ac:dyDescent="0.25">
      <c r="D159"/>
      <c r="E159"/>
    </row>
    <row r="160" spans="4:5" ht="15" x14ac:dyDescent="0.25">
      <c r="D160"/>
      <c r="E160"/>
    </row>
    <row r="161" spans="4:5" ht="15" x14ac:dyDescent="0.25">
      <c r="D161"/>
      <c r="E161"/>
    </row>
    <row r="162" spans="4:5" ht="15" x14ac:dyDescent="0.25">
      <c r="D162"/>
      <c r="E162"/>
    </row>
    <row r="163" spans="4:5" ht="15" x14ac:dyDescent="0.25">
      <c r="D163"/>
      <c r="E163"/>
    </row>
    <row r="164" spans="4:5" ht="15" x14ac:dyDescent="0.25">
      <c r="D164"/>
      <c r="E164"/>
    </row>
    <row r="165" spans="4:5" ht="15" x14ac:dyDescent="0.25">
      <c r="D165"/>
      <c r="E165"/>
    </row>
    <row r="166" spans="4:5" ht="15" x14ac:dyDescent="0.25">
      <c r="D166"/>
      <c r="E166"/>
    </row>
    <row r="167" spans="4:5" ht="15" x14ac:dyDescent="0.25">
      <c r="D167"/>
      <c r="E167"/>
    </row>
    <row r="168" spans="4:5" ht="15" x14ac:dyDescent="0.25">
      <c r="D168"/>
      <c r="E168"/>
    </row>
    <row r="169" spans="4:5" ht="15" x14ac:dyDescent="0.25">
      <c r="D169"/>
      <c r="E169"/>
    </row>
    <row r="170" spans="4:5" ht="15" x14ac:dyDescent="0.25">
      <c r="D170"/>
      <c r="E170"/>
    </row>
    <row r="171" spans="4:5" ht="15" x14ac:dyDescent="0.25">
      <c r="D171"/>
      <c r="E171"/>
    </row>
    <row r="172" spans="4:5" ht="15" x14ac:dyDescent="0.25">
      <c r="D172"/>
      <c r="E172"/>
    </row>
    <row r="173" spans="4:5" ht="15" x14ac:dyDescent="0.25">
      <c r="D173"/>
      <c r="E173"/>
    </row>
    <row r="174" spans="4:5" ht="15" x14ac:dyDescent="0.25">
      <c r="D174"/>
      <c r="E174"/>
    </row>
    <row r="175" spans="4:5" ht="15" x14ac:dyDescent="0.25">
      <c r="D175"/>
      <c r="E175"/>
    </row>
    <row r="176" spans="4:5" ht="15" x14ac:dyDescent="0.25">
      <c r="D176"/>
      <c r="E176"/>
    </row>
    <row r="177" spans="4:5" ht="15" x14ac:dyDescent="0.25">
      <c r="D177"/>
      <c r="E177"/>
    </row>
    <row r="178" spans="4:5" ht="15" x14ac:dyDescent="0.25">
      <c r="D178"/>
      <c r="E178"/>
    </row>
    <row r="179" spans="4:5" ht="15" x14ac:dyDescent="0.25">
      <c r="D179"/>
      <c r="E179"/>
    </row>
    <row r="180" spans="4:5" ht="15" x14ac:dyDescent="0.25">
      <c r="D180"/>
      <c r="E180"/>
    </row>
    <row r="181" spans="4:5" ht="15" x14ac:dyDescent="0.25">
      <c r="D181"/>
      <c r="E181"/>
    </row>
    <row r="182" spans="4:5" ht="15" x14ac:dyDescent="0.25">
      <c r="D182"/>
      <c r="E182"/>
    </row>
    <row r="183" spans="4:5" ht="15" x14ac:dyDescent="0.25">
      <c r="D183"/>
      <c r="E183"/>
    </row>
    <row r="184" spans="4:5" ht="15" x14ac:dyDescent="0.25">
      <c r="D184"/>
      <c r="E184"/>
    </row>
    <row r="185" spans="4:5" ht="15" x14ac:dyDescent="0.25">
      <c r="D185"/>
      <c r="E185"/>
    </row>
    <row r="186" spans="4:5" ht="15" x14ac:dyDescent="0.25">
      <c r="D186"/>
      <c r="E186"/>
    </row>
    <row r="187" spans="4:5" ht="15" x14ac:dyDescent="0.25">
      <c r="D187"/>
      <c r="E187"/>
    </row>
    <row r="188" spans="4:5" ht="15" x14ac:dyDescent="0.25">
      <c r="D188"/>
      <c r="E188"/>
    </row>
    <row r="189" spans="4:5" ht="15" x14ac:dyDescent="0.25">
      <c r="D189"/>
      <c r="E189"/>
    </row>
    <row r="190" spans="4:5" ht="15" x14ac:dyDescent="0.25">
      <c r="D190"/>
      <c r="E190"/>
    </row>
    <row r="191" spans="4:5" ht="15" x14ac:dyDescent="0.25">
      <c r="D191"/>
      <c r="E191"/>
    </row>
    <row r="192" spans="4:5" ht="15" x14ac:dyDescent="0.25">
      <c r="D192"/>
      <c r="E192"/>
    </row>
    <row r="193" spans="4:5" ht="15" x14ac:dyDescent="0.25">
      <c r="D193"/>
      <c r="E193"/>
    </row>
    <row r="194" spans="4:5" ht="15" x14ac:dyDescent="0.25">
      <c r="D194"/>
      <c r="E194"/>
    </row>
    <row r="195" spans="4:5" ht="15" x14ac:dyDescent="0.25">
      <c r="D195"/>
      <c r="E195"/>
    </row>
    <row r="196" spans="4:5" ht="15" x14ac:dyDescent="0.25">
      <c r="D196"/>
      <c r="E196"/>
    </row>
    <row r="197" spans="4:5" ht="15" x14ac:dyDescent="0.25">
      <c r="D197"/>
      <c r="E197"/>
    </row>
    <row r="198" spans="4:5" ht="15" x14ac:dyDescent="0.25">
      <c r="D198"/>
      <c r="E198"/>
    </row>
    <row r="199" spans="4:5" ht="15" x14ac:dyDescent="0.25">
      <c r="D199"/>
      <c r="E199"/>
    </row>
    <row r="200" spans="4:5" ht="15" x14ac:dyDescent="0.25">
      <c r="D200"/>
      <c r="E200"/>
    </row>
    <row r="201" spans="4:5" ht="15" x14ac:dyDescent="0.25">
      <c r="D201"/>
      <c r="E201"/>
    </row>
    <row r="202" spans="4:5" ht="15" x14ac:dyDescent="0.25">
      <c r="D202"/>
      <c r="E202"/>
    </row>
    <row r="203" spans="4:5" ht="15" x14ac:dyDescent="0.25">
      <c r="D203"/>
      <c r="E203"/>
    </row>
    <row r="204" spans="4:5" ht="15" x14ac:dyDescent="0.25">
      <c r="D204"/>
      <c r="E204"/>
    </row>
    <row r="205" spans="4:5" ht="15" x14ac:dyDescent="0.25">
      <c r="D205"/>
      <c r="E205"/>
    </row>
    <row r="206" spans="4:5" ht="15" x14ac:dyDescent="0.25">
      <c r="D206"/>
      <c r="E206"/>
    </row>
    <row r="207" spans="4:5" ht="15" x14ac:dyDescent="0.25">
      <c r="D207"/>
      <c r="E207"/>
    </row>
    <row r="208" spans="4:5" ht="15" x14ac:dyDescent="0.25">
      <c r="D208"/>
      <c r="E208"/>
    </row>
    <row r="209" spans="4:5" ht="15" x14ac:dyDescent="0.25">
      <c r="D209"/>
      <c r="E209"/>
    </row>
    <row r="210" spans="4:5" ht="15" x14ac:dyDescent="0.25">
      <c r="D210"/>
      <c r="E210"/>
    </row>
    <row r="211" spans="4:5" ht="15" x14ac:dyDescent="0.25">
      <c r="D211"/>
      <c r="E211"/>
    </row>
    <row r="212" spans="4:5" ht="15" x14ac:dyDescent="0.25">
      <c r="D212"/>
      <c r="E212"/>
    </row>
    <row r="213" spans="4:5" ht="15" x14ac:dyDescent="0.25">
      <c r="D213"/>
      <c r="E213"/>
    </row>
    <row r="214" spans="4:5" ht="15" x14ac:dyDescent="0.25">
      <c r="D214"/>
      <c r="E214"/>
    </row>
    <row r="215" spans="4:5" ht="15" x14ac:dyDescent="0.25">
      <c r="D215"/>
      <c r="E215"/>
    </row>
    <row r="216" spans="4:5" ht="15" x14ac:dyDescent="0.25">
      <c r="D216"/>
      <c r="E216"/>
    </row>
    <row r="217" spans="4:5" ht="15" x14ac:dyDescent="0.25">
      <c r="D217"/>
      <c r="E217"/>
    </row>
    <row r="218" spans="4:5" ht="15" x14ac:dyDescent="0.25">
      <c r="D218"/>
      <c r="E218"/>
    </row>
    <row r="219" spans="4:5" ht="15" x14ac:dyDescent="0.25">
      <c r="D219"/>
      <c r="E219"/>
    </row>
    <row r="220" spans="4:5" ht="15" x14ac:dyDescent="0.25">
      <c r="D220"/>
      <c r="E220"/>
    </row>
    <row r="221" spans="4:5" ht="15" x14ac:dyDescent="0.25">
      <c r="D221"/>
      <c r="E221"/>
    </row>
    <row r="222" spans="4:5" ht="15" x14ac:dyDescent="0.25">
      <c r="D222"/>
      <c r="E222"/>
    </row>
    <row r="223" spans="4:5" ht="15" x14ac:dyDescent="0.25">
      <c r="D223"/>
      <c r="E223"/>
    </row>
    <row r="224" spans="4:5" ht="15" x14ac:dyDescent="0.25">
      <c r="D224"/>
      <c r="E224"/>
    </row>
    <row r="225" spans="4:5" ht="15" x14ac:dyDescent="0.25">
      <c r="D225"/>
      <c r="E225"/>
    </row>
    <row r="226" spans="4:5" ht="15" x14ac:dyDescent="0.25">
      <c r="D226"/>
      <c r="E226"/>
    </row>
    <row r="227" spans="4:5" ht="15" x14ac:dyDescent="0.25">
      <c r="D227"/>
      <c r="E227"/>
    </row>
    <row r="228" spans="4:5" ht="15" x14ac:dyDescent="0.25">
      <c r="D228"/>
      <c r="E228"/>
    </row>
    <row r="229" spans="4:5" ht="15" x14ac:dyDescent="0.25">
      <c r="D229"/>
      <c r="E229"/>
    </row>
    <row r="230" spans="4:5" ht="15" x14ac:dyDescent="0.25">
      <c r="D230"/>
      <c r="E230"/>
    </row>
    <row r="231" spans="4:5" ht="15" x14ac:dyDescent="0.25">
      <c r="D231"/>
      <c r="E231"/>
    </row>
    <row r="232" spans="4:5" ht="15" x14ac:dyDescent="0.25">
      <c r="D232"/>
      <c r="E232"/>
    </row>
    <row r="233" spans="4:5" ht="15" x14ac:dyDescent="0.25">
      <c r="D233"/>
      <c r="E233"/>
    </row>
    <row r="234" spans="4:5" ht="15" x14ac:dyDescent="0.25">
      <c r="D234"/>
      <c r="E234"/>
    </row>
    <row r="235" spans="4:5" ht="15" x14ac:dyDescent="0.25">
      <c r="D235"/>
      <c r="E235"/>
    </row>
    <row r="236" spans="4:5" ht="15" x14ac:dyDescent="0.25">
      <c r="D236"/>
      <c r="E236"/>
    </row>
    <row r="237" spans="4:5" ht="15" x14ac:dyDescent="0.25">
      <c r="D237"/>
      <c r="E237"/>
    </row>
    <row r="238" spans="4:5" ht="15" x14ac:dyDescent="0.25">
      <c r="D238"/>
      <c r="E238"/>
    </row>
    <row r="239" spans="4:5" ht="15" x14ac:dyDescent="0.25">
      <c r="D239"/>
      <c r="E239"/>
    </row>
    <row r="240" spans="4:5" ht="15" x14ac:dyDescent="0.25">
      <c r="D240"/>
      <c r="E240"/>
    </row>
    <row r="241" spans="4:5" ht="15" x14ac:dyDescent="0.25">
      <c r="D241"/>
      <c r="E241"/>
    </row>
    <row r="242" spans="4:5" ht="15" x14ac:dyDescent="0.25">
      <c r="D242"/>
      <c r="E242"/>
    </row>
    <row r="243" spans="4:5" ht="15" x14ac:dyDescent="0.25">
      <c r="D243"/>
      <c r="E243"/>
    </row>
    <row r="244" spans="4:5" ht="15" x14ac:dyDescent="0.25">
      <c r="D244"/>
      <c r="E244"/>
    </row>
    <row r="245" spans="4:5" ht="15" x14ac:dyDescent="0.25">
      <c r="D245"/>
      <c r="E245"/>
    </row>
    <row r="246" spans="4:5" ht="15" x14ac:dyDescent="0.25">
      <c r="D246"/>
      <c r="E246"/>
    </row>
    <row r="247" spans="4:5" ht="15" x14ac:dyDescent="0.25">
      <c r="D247"/>
      <c r="E247"/>
    </row>
    <row r="248" spans="4:5" ht="15" x14ac:dyDescent="0.25">
      <c r="D248"/>
      <c r="E248"/>
    </row>
    <row r="249" spans="4:5" ht="15" x14ac:dyDescent="0.25">
      <c r="D249"/>
      <c r="E249"/>
    </row>
    <row r="250" spans="4:5" ht="15" x14ac:dyDescent="0.25">
      <c r="D250"/>
      <c r="E250"/>
    </row>
    <row r="251" spans="4:5" ht="15" x14ac:dyDescent="0.25">
      <c r="D251"/>
      <c r="E251"/>
    </row>
    <row r="252" spans="4:5" ht="15" x14ac:dyDescent="0.25">
      <c r="D252"/>
      <c r="E252"/>
    </row>
    <row r="253" spans="4:5" ht="15" x14ac:dyDescent="0.25">
      <c r="D253"/>
      <c r="E253"/>
    </row>
    <row r="254" spans="4:5" ht="15" x14ac:dyDescent="0.25">
      <c r="D254"/>
      <c r="E254"/>
    </row>
    <row r="255" spans="4:5" ht="15" x14ac:dyDescent="0.25">
      <c r="D255"/>
      <c r="E255"/>
    </row>
    <row r="256" spans="4:5" ht="15" x14ac:dyDescent="0.25">
      <c r="D256"/>
      <c r="E256"/>
    </row>
    <row r="257" spans="4:5" ht="15" x14ac:dyDescent="0.25">
      <c r="D257"/>
      <c r="E257"/>
    </row>
    <row r="258" spans="4:5" ht="15" x14ac:dyDescent="0.25">
      <c r="D258"/>
      <c r="E258"/>
    </row>
    <row r="259" spans="4:5" ht="15" x14ac:dyDescent="0.25">
      <c r="D259"/>
      <c r="E259"/>
    </row>
    <row r="260" spans="4:5" ht="15" x14ac:dyDescent="0.25">
      <c r="D260"/>
      <c r="E260"/>
    </row>
    <row r="261" spans="4:5" ht="15" x14ac:dyDescent="0.25">
      <c r="D261"/>
      <c r="E261"/>
    </row>
    <row r="262" spans="4:5" ht="15" x14ac:dyDescent="0.25">
      <c r="D262"/>
      <c r="E262"/>
    </row>
    <row r="263" spans="4:5" ht="15" x14ac:dyDescent="0.25">
      <c r="D263"/>
      <c r="E263"/>
    </row>
    <row r="264" spans="4:5" ht="15" x14ac:dyDescent="0.25">
      <c r="D264"/>
      <c r="E264"/>
    </row>
    <row r="265" spans="4:5" ht="15" x14ac:dyDescent="0.25">
      <c r="D265"/>
      <c r="E265"/>
    </row>
    <row r="266" spans="4:5" ht="15" x14ac:dyDescent="0.25">
      <c r="D266"/>
      <c r="E266"/>
    </row>
    <row r="267" spans="4:5" ht="15" x14ac:dyDescent="0.25">
      <c r="D267"/>
      <c r="E267"/>
    </row>
    <row r="268" spans="4:5" ht="15" x14ac:dyDescent="0.25">
      <c r="D268"/>
      <c r="E268"/>
    </row>
    <row r="269" spans="4:5" ht="15" x14ac:dyDescent="0.25">
      <c r="D269"/>
      <c r="E269"/>
    </row>
    <row r="270" spans="4:5" ht="15" x14ac:dyDescent="0.25">
      <c r="D270"/>
      <c r="E270"/>
    </row>
    <row r="271" spans="4:5" ht="15" x14ac:dyDescent="0.25">
      <c r="D271"/>
      <c r="E271"/>
    </row>
    <row r="272" spans="4:5" ht="15" x14ac:dyDescent="0.25">
      <c r="D272"/>
      <c r="E272"/>
    </row>
    <row r="273" spans="4:5" ht="15" x14ac:dyDescent="0.25">
      <c r="D273"/>
      <c r="E273"/>
    </row>
    <row r="274" spans="4:5" ht="15" x14ac:dyDescent="0.25">
      <c r="D274"/>
      <c r="E274"/>
    </row>
    <row r="275" spans="4:5" ht="15" x14ac:dyDescent="0.25">
      <c r="D275"/>
      <c r="E275"/>
    </row>
    <row r="276" spans="4:5" ht="15" x14ac:dyDescent="0.25">
      <c r="D276"/>
      <c r="E276"/>
    </row>
    <row r="277" spans="4:5" ht="15" x14ac:dyDescent="0.25">
      <c r="D277"/>
      <c r="E277"/>
    </row>
    <row r="278" spans="4:5" ht="15" x14ac:dyDescent="0.25">
      <c r="D278"/>
      <c r="E278"/>
    </row>
    <row r="279" spans="4:5" ht="15" x14ac:dyDescent="0.25">
      <c r="D279"/>
      <c r="E279"/>
    </row>
    <row r="280" spans="4:5" ht="15" x14ac:dyDescent="0.25">
      <c r="D280"/>
      <c r="E280"/>
    </row>
    <row r="281" spans="4:5" ht="15" x14ac:dyDescent="0.25">
      <c r="D281"/>
      <c r="E281"/>
    </row>
    <row r="282" spans="4:5" ht="15" x14ac:dyDescent="0.25">
      <c r="D282"/>
      <c r="E282"/>
    </row>
    <row r="283" spans="4:5" ht="15" x14ac:dyDescent="0.25">
      <c r="D283"/>
      <c r="E283"/>
    </row>
    <row r="284" spans="4:5" ht="15" x14ac:dyDescent="0.25">
      <c r="D284"/>
      <c r="E284"/>
    </row>
    <row r="285" spans="4:5" ht="15" x14ac:dyDescent="0.25">
      <c r="D285"/>
      <c r="E285"/>
    </row>
    <row r="286" spans="4:5" ht="15" x14ac:dyDescent="0.25">
      <c r="D286"/>
      <c r="E286"/>
    </row>
    <row r="287" spans="4:5" ht="15" x14ac:dyDescent="0.25">
      <c r="D287"/>
      <c r="E287"/>
    </row>
    <row r="288" spans="4:5" ht="15" x14ac:dyDescent="0.25">
      <c r="D288"/>
      <c r="E288"/>
    </row>
    <row r="289" spans="4:5" ht="15" x14ac:dyDescent="0.25">
      <c r="D289"/>
      <c r="E289"/>
    </row>
    <row r="290" spans="4:5" ht="15" x14ac:dyDescent="0.25">
      <c r="D290"/>
      <c r="E290"/>
    </row>
    <row r="291" spans="4:5" ht="15" x14ac:dyDescent="0.25">
      <c r="D291"/>
      <c r="E291"/>
    </row>
    <row r="292" spans="4:5" ht="15" x14ac:dyDescent="0.25">
      <c r="D292"/>
      <c r="E292"/>
    </row>
    <row r="293" spans="4:5" ht="15" x14ac:dyDescent="0.25">
      <c r="D293"/>
      <c r="E293"/>
    </row>
    <row r="294" spans="4:5" ht="15" x14ac:dyDescent="0.25">
      <c r="D294"/>
      <c r="E294"/>
    </row>
    <row r="295" spans="4:5" ht="15" x14ac:dyDescent="0.25">
      <c r="D295"/>
      <c r="E295"/>
    </row>
    <row r="296" spans="4:5" ht="15" x14ac:dyDescent="0.25">
      <c r="D296"/>
      <c r="E296"/>
    </row>
    <row r="297" spans="4:5" ht="15" x14ac:dyDescent="0.25">
      <c r="D297"/>
      <c r="E297"/>
    </row>
    <row r="298" spans="4:5" ht="15" x14ac:dyDescent="0.25">
      <c r="D298"/>
      <c r="E298"/>
    </row>
    <row r="299" spans="4:5" ht="15" x14ac:dyDescent="0.25">
      <c r="D299"/>
      <c r="E299"/>
    </row>
    <row r="300" spans="4:5" ht="15" x14ac:dyDescent="0.25">
      <c r="D300"/>
      <c r="E300"/>
    </row>
    <row r="301" spans="4:5" ht="15" x14ac:dyDescent="0.25">
      <c r="D301"/>
      <c r="E301"/>
    </row>
    <row r="302" spans="4:5" ht="15" x14ac:dyDescent="0.25">
      <c r="D302"/>
      <c r="E302"/>
    </row>
    <row r="303" spans="4:5" ht="15" x14ac:dyDescent="0.25">
      <c r="D303"/>
      <c r="E303"/>
    </row>
    <row r="304" spans="4:5" ht="15" x14ac:dyDescent="0.25">
      <c r="D304"/>
      <c r="E304"/>
    </row>
    <row r="305" spans="4:5" ht="15" x14ac:dyDescent="0.25">
      <c r="D305"/>
      <c r="E305"/>
    </row>
    <row r="306" spans="4:5" ht="15" x14ac:dyDescent="0.25">
      <c r="D306"/>
      <c r="E306"/>
    </row>
    <row r="307" spans="4:5" ht="15" x14ac:dyDescent="0.25">
      <c r="D307"/>
      <c r="E307"/>
    </row>
    <row r="308" spans="4:5" ht="15" x14ac:dyDescent="0.25">
      <c r="D308"/>
      <c r="E308"/>
    </row>
    <row r="309" spans="4:5" ht="15" x14ac:dyDescent="0.25">
      <c r="D309"/>
      <c r="E309"/>
    </row>
    <row r="310" spans="4:5" ht="15" x14ac:dyDescent="0.25">
      <c r="D310"/>
      <c r="E310"/>
    </row>
    <row r="311" spans="4:5" ht="15" x14ac:dyDescent="0.25">
      <c r="D311"/>
      <c r="E311"/>
    </row>
    <row r="312" spans="4:5" ht="15" x14ac:dyDescent="0.25">
      <c r="D312"/>
      <c r="E312"/>
    </row>
    <row r="313" spans="4:5" ht="15" x14ac:dyDescent="0.25">
      <c r="D313"/>
      <c r="E313"/>
    </row>
    <row r="314" spans="4:5" ht="15" x14ac:dyDescent="0.25">
      <c r="D314"/>
      <c r="E314"/>
    </row>
    <row r="315" spans="4:5" ht="15" x14ac:dyDescent="0.25">
      <c r="D315"/>
      <c r="E315"/>
    </row>
    <row r="316" spans="4:5" ht="15" x14ac:dyDescent="0.25">
      <c r="D316"/>
      <c r="E316"/>
    </row>
    <row r="317" spans="4:5" ht="15" x14ac:dyDescent="0.25">
      <c r="D317"/>
      <c r="E317"/>
    </row>
    <row r="318" spans="4:5" ht="15" x14ac:dyDescent="0.25">
      <c r="D318"/>
      <c r="E318"/>
    </row>
    <row r="319" spans="4:5" ht="15" x14ac:dyDescent="0.25">
      <c r="D319"/>
      <c r="E319"/>
    </row>
    <row r="320" spans="4:5" ht="15" x14ac:dyDescent="0.25">
      <c r="D320"/>
      <c r="E320"/>
    </row>
    <row r="321" spans="4:5" ht="15" x14ac:dyDescent="0.25">
      <c r="D321"/>
      <c r="E321"/>
    </row>
    <row r="322" spans="4:5" ht="15" x14ac:dyDescent="0.25">
      <c r="D322"/>
      <c r="E322"/>
    </row>
    <row r="323" spans="4:5" ht="15" x14ac:dyDescent="0.25">
      <c r="D323"/>
      <c r="E323"/>
    </row>
    <row r="324" spans="4:5" ht="15" x14ac:dyDescent="0.25">
      <c r="D324"/>
      <c r="E324"/>
    </row>
    <row r="325" spans="4:5" ht="15" x14ac:dyDescent="0.25">
      <c r="D325"/>
      <c r="E325"/>
    </row>
    <row r="326" spans="4:5" ht="15" x14ac:dyDescent="0.25">
      <c r="D326"/>
      <c r="E326"/>
    </row>
    <row r="327" spans="4:5" ht="15" x14ac:dyDescent="0.25">
      <c r="D327"/>
      <c r="E327"/>
    </row>
    <row r="328" spans="4:5" ht="15" x14ac:dyDescent="0.25">
      <c r="D328"/>
      <c r="E328"/>
    </row>
    <row r="329" spans="4:5" ht="15" x14ac:dyDescent="0.25">
      <c r="D329"/>
      <c r="E329"/>
    </row>
    <row r="330" spans="4:5" ht="15" x14ac:dyDescent="0.25">
      <c r="D330"/>
      <c r="E330"/>
    </row>
    <row r="331" spans="4:5" ht="15" x14ac:dyDescent="0.25">
      <c r="D331"/>
      <c r="E331"/>
    </row>
    <row r="332" spans="4:5" ht="15" x14ac:dyDescent="0.25">
      <c r="D332"/>
      <c r="E332"/>
    </row>
    <row r="333" spans="4:5" ht="15" x14ac:dyDescent="0.25">
      <c r="D333"/>
      <c r="E333"/>
    </row>
    <row r="334" spans="4:5" ht="15" x14ac:dyDescent="0.25">
      <c r="D334"/>
      <c r="E334"/>
    </row>
    <row r="335" spans="4:5" ht="15" x14ac:dyDescent="0.25">
      <c r="D335"/>
      <c r="E335"/>
    </row>
    <row r="336" spans="4:5" ht="15" x14ac:dyDescent="0.25">
      <c r="D336"/>
      <c r="E336"/>
    </row>
    <row r="337" spans="4:5" ht="15" x14ac:dyDescent="0.25">
      <c r="D337"/>
      <c r="E337"/>
    </row>
    <row r="338" spans="4:5" ht="15" x14ac:dyDescent="0.25">
      <c r="D338"/>
      <c r="E338"/>
    </row>
    <row r="339" spans="4:5" ht="15" x14ac:dyDescent="0.25">
      <c r="D339"/>
      <c r="E339"/>
    </row>
    <row r="340" spans="4:5" ht="15" x14ac:dyDescent="0.25">
      <c r="D340"/>
      <c r="E340"/>
    </row>
    <row r="341" spans="4:5" ht="15" x14ac:dyDescent="0.25">
      <c r="D341"/>
      <c r="E341"/>
    </row>
    <row r="342" spans="4:5" ht="15" x14ac:dyDescent="0.25">
      <c r="D342"/>
      <c r="E342"/>
    </row>
    <row r="343" spans="4:5" ht="15" x14ac:dyDescent="0.25">
      <c r="D343"/>
      <c r="E343"/>
    </row>
    <row r="344" spans="4:5" ht="15" x14ac:dyDescent="0.25">
      <c r="D344"/>
      <c r="E344"/>
    </row>
    <row r="345" spans="4:5" ht="15" x14ac:dyDescent="0.25">
      <c r="D345"/>
      <c r="E345"/>
    </row>
    <row r="346" spans="4:5" ht="15" x14ac:dyDescent="0.25">
      <c r="D346"/>
      <c r="E346"/>
    </row>
    <row r="347" spans="4:5" ht="15" x14ac:dyDescent="0.25">
      <c r="D347"/>
      <c r="E347"/>
    </row>
    <row r="348" spans="4:5" ht="15" x14ac:dyDescent="0.25">
      <c r="D348"/>
      <c r="E348"/>
    </row>
    <row r="349" spans="4:5" ht="15" x14ac:dyDescent="0.25">
      <c r="D349"/>
      <c r="E349"/>
    </row>
    <row r="350" spans="4:5" ht="15" x14ac:dyDescent="0.25">
      <c r="D350"/>
      <c r="E350"/>
    </row>
    <row r="351" spans="4:5" ht="15" x14ac:dyDescent="0.25">
      <c r="D351"/>
      <c r="E351"/>
    </row>
    <row r="352" spans="4:5" ht="15" x14ac:dyDescent="0.25">
      <c r="D352"/>
      <c r="E352"/>
    </row>
    <row r="353" spans="4:5" ht="15" x14ac:dyDescent="0.25">
      <c r="D353"/>
      <c r="E353"/>
    </row>
    <row r="354" spans="4:5" ht="15" x14ac:dyDescent="0.25">
      <c r="D354"/>
      <c r="E354"/>
    </row>
    <row r="355" spans="4:5" ht="15" x14ac:dyDescent="0.25">
      <c r="D355"/>
      <c r="E355"/>
    </row>
    <row r="356" spans="4:5" ht="15" x14ac:dyDescent="0.25">
      <c r="D356"/>
      <c r="E356"/>
    </row>
    <row r="357" spans="4:5" ht="15" x14ac:dyDescent="0.25">
      <c r="D357"/>
      <c r="E357"/>
    </row>
    <row r="358" spans="4:5" ht="15" x14ac:dyDescent="0.25">
      <c r="D358"/>
      <c r="E358"/>
    </row>
    <row r="359" spans="4:5" ht="15" x14ac:dyDescent="0.25">
      <c r="D359"/>
      <c r="E359"/>
    </row>
    <row r="360" spans="4:5" ht="15" x14ac:dyDescent="0.25">
      <c r="D360"/>
      <c r="E360"/>
    </row>
    <row r="361" spans="4:5" ht="15" x14ac:dyDescent="0.25">
      <c r="D361"/>
      <c r="E361"/>
    </row>
    <row r="362" spans="4:5" ht="15" x14ac:dyDescent="0.25">
      <c r="D362"/>
      <c r="E362"/>
    </row>
    <row r="363" spans="4:5" ht="15" x14ac:dyDescent="0.25">
      <c r="D363"/>
      <c r="E363"/>
    </row>
    <row r="364" spans="4:5" ht="15" x14ac:dyDescent="0.25">
      <c r="D364"/>
      <c r="E364"/>
    </row>
    <row r="365" spans="4:5" ht="15" x14ac:dyDescent="0.25">
      <c r="D365"/>
      <c r="E365"/>
    </row>
    <row r="366" spans="4:5" ht="15" x14ac:dyDescent="0.25">
      <c r="D366"/>
      <c r="E366"/>
    </row>
    <row r="367" spans="4:5" ht="15" x14ac:dyDescent="0.25">
      <c r="D367"/>
      <c r="E367"/>
    </row>
    <row r="368" spans="4:5" ht="15" x14ac:dyDescent="0.25">
      <c r="D368"/>
      <c r="E368"/>
    </row>
    <row r="369" spans="4:5" ht="15" x14ac:dyDescent="0.25">
      <c r="D369"/>
      <c r="E369"/>
    </row>
    <row r="370" spans="4:5" ht="15" x14ac:dyDescent="0.25">
      <c r="D370"/>
      <c r="E370"/>
    </row>
    <row r="371" spans="4:5" ht="15" x14ac:dyDescent="0.25">
      <c r="D371"/>
      <c r="E371"/>
    </row>
    <row r="372" spans="4:5" ht="15" x14ac:dyDescent="0.25">
      <c r="D372"/>
      <c r="E372"/>
    </row>
    <row r="373" spans="4:5" ht="15" x14ac:dyDescent="0.25">
      <c r="D373"/>
      <c r="E373"/>
    </row>
    <row r="374" spans="4:5" ht="15" x14ac:dyDescent="0.25">
      <c r="D374"/>
      <c r="E374"/>
    </row>
    <row r="375" spans="4:5" ht="15" x14ac:dyDescent="0.25">
      <c r="D375"/>
      <c r="E375"/>
    </row>
    <row r="376" spans="4:5" ht="15" x14ac:dyDescent="0.25">
      <c r="D376"/>
      <c r="E376"/>
    </row>
    <row r="377" spans="4:5" ht="15" x14ac:dyDescent="0.25">
      <c r="D377"/>
      <c r="E377"/>
    </row>
    <row r="378" spans="4:5" ht="15" x14ac:dyDescent="0.25">
      <c r="D378"/>
      <c r="E378"/>
    </row>
    <row r="379" spans="4:5" ht="15" x14ac:dyDescent="0.25">
      <c r="D379"/>
      <c r="E379"/>
    </row>
    <row r="380" spans="4:5" ht="15" x14ac:dyDescent="0.25">
      <c r="D380"/>
      <c r="E380"/>
    </row>
    <row r="381" spans="4:5" ht="15" x14ac:dyDescent="0.25">
      <c r="D381"/>
      <c r="E381"/>
    </row>
    <row r="382" spans="4:5" ht="15" x14ac:dyDescent="0.25">
      <c r="D382"/>
      <c r="E382"/>
    </row>
    <row r="383" spans="4:5" ht="15" x14ac:dyDescent="0.25">
      <c r="D383"/>
      <c r="E383"/>
    </row>
    <row r="384" spans="4:5" ht="15" x14ac:dyDescent="0.25">
      <c r="D384"/>
      <c r="E384"/>
    </row>
    <row r="385" spans="4:5" ht="15" x14ac:dyDescent="0.25">
      <c r="D385"/>
      <c r="E385"/>
    </row>
    <row r="386" spans="4:5" ht="15" x14ac:dyDescent="0.25">
      <c r="D386"/>
      <c r="E386"/>
    </row>
    <row r="387" spans="4:5" ht="15" x14ac:dyDescent="0.25">
      <c r="D387"/>
      <c r="E387"/>
    </row>
    <row r="388" spans="4:5" ht="15" x14ac:dyDescent="0.25">
      <c r="D388"/>
      <c r="E388"/>
    </row>
    <row r="389" spans="4:5" ht="15" x14ac:dyDescent="0.25">
      <c r="D389"/>
      <c r="E389"/>
    </row>
    <row r="390" spans="4:5" ht="15" x14ac:dyDescent="0.25">
      <c r="D390"/>
      <c r="E390"/>
    </row>
    <row r="391" spans="4:5" ht="15" x14ac:dyDescent="0.25">
      <c r="D391"/>
      <c r="E391"/>
    </row>
    <row r="392" spans="4:5" ht="15" x14ac:dyDescent="0.25">
      <c r="D392"/>
      <c r="E392"/>
    </row>
    <row r="393" spans="4:5" ht="15" x14ac:dyDescent="0.25">
      <c r="D393"/>
      <c r="E393"/>
    </row>
    <row r="394" spans="4:5" ht="15" x14ac:dyDescent="0.25">
      <c r="D394"/>
      <c r="E394"/>
    </row>
    <row r="395" spans="4:5" ht="15" x14ac:dyDescent="0.25">
      <c r="D395"/>
      <c r="E395"/>
    </row>
    <row r="396" spans="4:5" ht="15" x14ac:dyDescent="0.25">
      <c r="D396"/>
      <c r="E396"/>
    </row>
    <row r="397" spans="4:5" ht="15" x14ac:dyDescent="0.25">
      <c r="D397"/>
      <c r="E397"/>
    </row>
    <row r="398" spans="4:5" ht="15" x14ac:dyDescent="0.25">
      <c r="D398"/>
      <c r="E398"/>
    </row>
    <row r="399" spans="4:5" ht="15" x14ac:dyDescent="0.25">
      <c r="D399"/>
      <c r="E399"/>
    </row>
    <row r="400" spans="4:5" ht="15" x14ac:dyDescent="0.25">
      <c r="D400"/>
      <c r="E400"/>
    </row>
    <row r="401" spans="4:5" ht="15" x14ac:dyDescent="0.25">
      <c r="D401"/>
      <c r="E401"/>
    </row>
    <row r="402" spans="4:5" ht="15" x14ac:dyDescent="0.25">
      <c r="D402"/>
      <c r="E402"/>
    </row>
    <row r="403" spans="4:5" ht="15" x14ac:dyDescent="0.25">
      <c r="D403"/>
      <c r="E403"/>
    </row>
    <row r="404" spans="4:5" ht="15" x14ac:dyDescent="0.25">
      <c r="D404"/>
      <c r="E404"/>
    </row>
    <row r="405" spans="4:5" ht="15" x14ac:dyDescent="0.25">
      <c r="D405"/>
      <c r="E405"/>
    </row>
    <row r="406" spans="4:5" ht="15" x14ac:dyDescent="0.25">
      <c r="D406"/>
      <c r="E406"/>
    </row>
    <row r="407" spans="4:5" ht="15" x14ac:dyDescent="0.25">
      <c r="D407"/>
      <c r="E407"/>
    </row>
    <row r="408" spans="4:5" ht="15" x14ac:dyDescent="0.25">
      <c r="D408"/>
      <c r="E408"/>
    </row>
    <row r="409" spans="4:5" ht="15" x14ac:dyDescent="0.25">
      <c r="D409"/>
      <c r="E409"/>
    </row>
    <row r="410" spans="4:5" ht="15" x14ac:dyDescent="0.25">
      <c r="D410"/>
      <c r="E410"/>
    </row>
    <row r="411" spans="4:5" ht="15" x14ac:dyDescent="0.25">
      <c r="D411"/>
      <c r="E411"/>
    </row>
    <row r="412" spans="4:5" ht="15" x14ac:dyDescent="0.25">
      <c r="D412"/>
      <c r="E412"/>
    </row>
    <row r="413" spans="4:5" ht="15" x14ac:dyDescent="0.25">
      <c r="D413"/>
      <c r="E413"/>
    </row>
    <row r="414" spans="4:5" ht="15" x14ac:dyDescent="0.25">
      <c r="D414"/>
      <c r="E414"/>
    </row>
    <row r="415" spans="4:5" ht="15" x14ac:dyDescent="0.25">
      <c r="D415"/>
      <c r="E415"/>
    </row>
    <row r="416" spans="4:5" ht="15" x14ac:dyDescent="0.25">
      <c r="D416"/>
      <c r="E416"/>
    </row>
    <row r="417" spans="4:5" ht="15" x14ac:dyDescent="0.25">
      <c r="D417"/>
      <c r="E417"/>
    </row>
    <row r="418" spans="4:5" ht="15" x14ac:dyDescent="0.25">
      <c r="D418"/>
      <c r="E418"/>
    </row>
    <row r="419" spans="4:5" ht="15" x14ac:dyDescent="0.25">
      <c r="D419"/>
      <c r="E419"/>
    </row>
    <row r="420" spans="4:5" ht="15" x14ac:dyDescent="0.25">
      <c r="D420"/>
      <c r="E420"/>
    </row>
    <row r="421" spans="4:5" ht="15" x14ac:dyDescent="0.25">
      <c r="D421"/>
      <c r="E421"/>
    </row>
    <row r="422" spans="4:5" ht="15" x14ac:dyDescent="0.25">
      <c r="D422"/>
      <c r="E422"/>
    </row>
    <row r="423" spans="4:5" ht="15" x14ac:dyDescent="0.25">
      <c r="D423"/>
      <c r="E423"/>
    </row>
    <row r="424" spans="4:5" ht="15" x14ac:dyDescent="0.25">
      <c r="D424"/>
      <c r="E424"/>
    </row>
    <row r="425" spans="4:5" ht="15" x14ac:dyDescent="0.25">
      <c r="D425"/>
      <c r="E425"/>
    </row>
    <row r="426" spans="4:5" ht="15" x14ac:dyDescent="0.25">
      <c r="D426"/>
      <c r="E426"/>
    </row>
    <row r="427" spans="4:5" ht="15" x14ac:dyDescent="0.25">
      <c r="D427"/>
      <c r="E427"/>
    </row>
    <row r="428" spans="4:5" ht="15" x14ac:dyDescent="0.25">
      <c r="D428"/>
      <c r="E428"/>
    </row>
    <row r="429" spans="4:5" ht="15" x14ac:dyDescent="0.25">
      <c r="D429"/>
      <c r="E429"/>
    </row>
    <row r="430" spans="4:5" ht="15" x14ac:dyDescent="0.25">
      <c r="D430"/>
      <c r="E430"/>
    </row>
    <row r="431" spans="4:5" ht="15" x14ac:dyDescent="0.25">
      <c r="D431"/>
      <c r="E431"/>
    </row>
    <row r="432" spans="4:5" ht="15" x14ac:dyDescent="0.25">
      <c r="D432"/>
      <c r="E432"/>
    </row>
    <row r="433" spans="4:5" ht="15" x14ac:dyDescent="0.25">
      <c r="D433"/>
      <c r="E433"/>
    </row>
    <row r="434" spans="4:5" ht="15" x14ac:dyDescent="0.25">
      <c r="D434"/>
      <c r="E434"/>
    </row>
    <row r="435" spans="4:5" ht="15" x14ac:dyDescent="0.25">
      <c r="D435"/>
      <c r="E435"/>
    </row>
    <row r="436" spans="4:5" ht="15" x14ac:dyDescent="0.25">
      <c r="D436"/>
      <c r="E436"/>
    </row>
    <row r="437" spans="4:5" ht="15" x14ac:dyDescent="0.25">
      <c r="D437"/>
      <c r="E437"/>
    </row>
    <row r="438" spans="4:5" ht="15" x14ac:dyDescent="0.25">
      <c r="D438"/>
      <c r="E438"/>
    </row>
    <row r="439" spans="4:5" ht="15" x14ac:dyDescent="0.25">
      <c r="D439"/>
      <c r="E439"/>
    </row>
    <row r="440" spans="4:5" ht="15" x14ac:dyDescent="0.25">
      <c r="D440"/>
      <c r="E440"/>
    </row>
    <row r="441" spans="4:5" ht="15" x14ac:dyDescent="0.25">
      <c r="D441"/>
      <c r="E441"/>
    </row>
    <row r="442" spans="4:5" ht="15" x14ac:dyDescent="0.25">
      <c r="D442"/>
      <c r="E442"/>
    </row>
    <row r="443" spans="4:5" ht="15" x14ac:dyDescent="0.25">
      <c r="D443"/>
      <c r="E443"/>
    </row>
    <row r="444" spans="4:5" ht="15" x14ac:dyDescent="0.25">
      <c r="D444"/>
      <c r="E444"/>
    </row>
    <row r="445" spans="4:5" ht="15" x14ac:dyDescent="0.25">
      <c r="D445"/>
      <c r="E445"/>
    </row>
    <row r="446" spans="4:5" ht="15" x14ac:dyDescent="0.25">
      <c r="D446"/>
      <c r="E446"/>
    </row>
    <row r="447" spans="4:5" ht="15" x14ac:dyDescent="0.25">
      <c r="D447"/>
      <c r="E447"/>
    </row>
    <row r="448" spans="4:5" ht="15" x14ac:dyDescent="0.25">
      <c r="D448"/>
      <c r="E448"/>
    </row>
    <row r="449" spans="4:5" ht="15" x14ac:dyDescent="0.25">
      <c r="D449"/>
      <c r="E449"/>
    </row>
    <row r="450" spans="4:5" ht="15" x14ac:dyDescent="0.25">
      <c r="D450"/>
      <c r="E450"/>
    </row>
    <row r="451" spans="4:5" ht="15" x14ac:dyDescent="0.25">
      <c r="D451"/>
      <c r="E451"/>
    </row>
    <row r="452" spans="4:5" ht="15" x14ac:dyDescent="0.25">
      <c r="D452"/>
      <c r="E452"/>
    </row>
    <row r="453" spans="4:5" ht="15" x14ac:dyDescent="0.25">
      <c r="D453"/>
      <c r="E453"/>
    </row>
    <row r="454" spans="4:5" ht="15" x14ac:dyDescent="0.25">
      <c r="D454"/>
      <c r="E454"/>
    </row>
    <row r="455" spans="4:5" ht="15" x14ac:dyDescent="0.25">
      <c r="D455"/>
      <c r="E455"/>
    </row>
    <row r="456" spans="4:5" ht="15" x14ac:dyDescent="0.25">
      <c r="D456"/>
      <c r="E456"/>
    </row>
    <row r="457" spans="4:5" ht="15" x14ac:dyDescent="0.25">
      <c r="D457"/>
      <c r="E457"/>
    </row>
    <row r="458" spans="4:5" ht="15" x14ac:dyDescent="0.25">
      <c r="D458"/>
      <c r="E458"/>
    </row>
    <row r="459" spans="4:5" ht="15" x14ac:dyDescent="0.25">
      <c r="D459"/>
      <c r="E459"/>
    </row>
    <row r="460" spans="4:5" ht="15" x14ac:dyDescent="0.25">
      <c r="D460"/>
      <c r="E460"/>
    </row>
    <row r="461" spans="4:5" ht="15" x14ac:dyDescent="0.25">
      <c r="D461"/>
      <c r="E461"/>
    </row>
    <row r="462" spans="4:5" ht="15" x14ac:dyDescent="0.25">
      <c r="D462"/>
      <c r="E462"/>
    </row>
    <row r="463" spans="4:5" ht="15" x14ac:dyDescent="0.25">
      <c r="D463"/>
      <c r="E463"/>
    </row>
    <row r="464" spans="4:5" ht="15" x14ac:dyDescent="0.25">
      <c r="D464"/>
      <c r="E464"/>
    </row>
    <row r="465" spans="4:5" ht="15" x14ac:dyDescent="0.25">
      <c r="D465"/>
      <c r="E465"/>
    </row>
    <row r="466" spans="4:5" ht="15" x14ac:dyDescent="0.25">
      <c r="D466"/>
      <c r="E466"/>
    </row>
    <row r="467" spans="4:5" ht="15" x14ac:dyDescent="0.25">
      <c r="D467"/>
      <c r="E467"/>
    </row>
    <row r="468" spans="4:5" ht="15" x14ac:dyDescent="0.25">
      <c r="D468"/>
      <c r="E468"/>
    </row>
    <row r="469" spans="4:5" ht="15" x14ac:dyDescent="0.25">
      <c r="D469"/>
      <c r="E469"/>
    </row>
    <row r="470" spans="4:5" ht="15" x14ac:dyDescent="0.25">
      <c r="D470"/>
      <c r="E470"/>
    </row>
    <row r="471" spans="4:5" ht="15" x14ac:dyDescent="0.25">
      <c r="D471"/>
      <c r="E471"/>
    </row>
    <row r="472" spans="4:5" ht="15" x14ac:dyDescent="0.25">
      <c r="D472"/>
      <c r="E472"/>
    </row>
    <row r="473" spans="4:5" ht="15" x14ac:dyDescent="0.25">
      <c r="D473"/>
      <c r="E473"/>
    </row>
    <row r="474" spans="4:5" ht="15" x14ac:dyDescent="0.25">
      <c r="D474"/>
      <c r="E474"/>
    </row>
    <row r="475" spans="4:5" ht="15" x14ac:dyDescent="0.25">
      <c r="D475"/>
      <c r="E475"/>
    </row>
    <row r="476" spans="4:5" ht="15" x14ac:dyDescent="0.25">
      <c r="D476"/>
      <c r="E476"/>
    </row>
    <row r="477" spans="4:5" ht="15" x14ac:dyDescent="0.25">
      <c r="D477"/>
      <c r="E477"/>
    </row>
    <row r="478" spans="4:5" ht="15" x14ac:dyDescent="0.25">
      <c r="D478"/>
      <c r="E478"/>
    </row>
    <row r="479" spans="4:5" ht="15" x14ac:dyDescent="0.25">
      <c r="D479"/>
      <c r="E479"/>
    </row>
    <row r="480" spans="4:5" ht="15" x14ac:dyDescent="0.25">
      <c r="D480"/>
      <c r="E480"/>
    </row>
    <row r="481" spans="4:5" ht="15" x14ac:dyDescent="0.25">
      <c r="D481"/>
      <c r="E481"/>
    </row>
    <row r="482" spans="4:5" ht="15" x14ac:dyDescent="0.25">
      <c r="D482"/>
      <c r="E482"/>
    </row>
    <row r="483" spans="4:5" ht="15" x14ac:dyDescent="0.25">
      <c r="D483"/>
      <c r="E483"/>
    </row>
    <row r="484" spans="4:5" ht="15" x14ac:dyDescent="0.25">
      <c r="D484"/>
      <c r="E484"/>
    </row>
    <row r="485" spans="4:5" ht="15" x14ac:dyDescent="0.25">
      <c r="D485"/>
      <c r="E485"/>
    </row>
    <row r="486" spans="4:5" ht="15" x14ac:dyDescent="0.25">
      <c r="D486"/>
      <c r="E486"/>
    </row>
    <row r="487" spans="4:5" ht="15" x14ac:dyDescent="0.25">
      <c r="D487"/>
      <c r="E487"/>
    </row>
    <row r="488" spans="4:5" ht="15" x14ac:dyDescent="0.25">
      <c r="D488"/>
      <c r="E488"/>
    </row>
    <row r="489" spans="4:5" ht="15" x14ac:dyDescent="0.25">
      <c r="D489"/>
      <c r="E489"/>
    </row>
    <row r="490" spans="4:5" ht="15" x14ac:dyDescent="0.25">
      <c r="D490"/>
      <c r="E490"/>
    </row>
    <row r="491" spans="4:5" ht="15" x14ac:dyDescent="0.25">
      <c r="D491"/>
      <c r="E491"/>
    </row>
    <row r="492" spans="4:5" ht="15" x14ac:dyDescent="0.25">
      <c r="D492"/>
      <c r="E492"/>
    </row>
    <row r="493" spans="4:5" ht="15" x14ac:dyDescent="0.25">
      <c r="D493"/>
      <c r="E493"/>
    </row>
    <row r="494" spans="4:5" ht="15" x14ac:dyDescent="0.25">
      <c r="D494"/>
      <c r="E494"/>
    </row>
    <row r="495" spans="4:5" ht="15" x14ac:dyDescent="0.25">
      <c r="D495"/>
      <c r="E495"/>
    </row>
    <row r="496" spans="4:5" ht="15" x14ac:dyDescent="0.25">
      <c r="D496"/>
      <c r="E496"/>
    </row>
    <row r="497" spans="4:5" ht="15" x14ac:dyDescent="0.25">
      <c r="D497"/>
      <c r="E497"/>
    </row>
    <row r="498" spans="4:5" ht="15" x14ac:dyDescent="0.25">
      <c r="D498"/>
      <c r="E498"/>
    </row>
    <row r="499" spans="4:5" ht="15" x14ac:dyDescent="0.25">
      <c r="D499"/>
      <c r="E499"/>
    </row>
    <row r="500" spans="4:5" ht="15" x14ac:dyDescent="0.25">
      <c r="D500"/>
      <c r="E500"/>
    </row>
    <row r="501" spans="4:5" ht="15" x14ac:dyDescent="0.25">
      <c r="D501"/>
      <c r="E501"/>
    </row>
    <row r="502" spans="4:5" ht="15" x14ac:dyDescent="0.25">
      <c r="D502"/>
      <c r="E502"/>
    </row>
    <row r="503" spans="4:5" ht="15" x14ac:dyDescent="0.25">
      <c r="D503"/>
      <c r="E503"/>
    </row>
    <row r="504" spans="4:5" ht="15" x14ac:dyDescent="0.25">
      <c r="D504"/>
      <c r="E504"/>
    </row>
    <row r="505" spans="4:5" ht="15" x14ac:dyDescent="0.25">
      <c r="D505"/>
      <c r="E505"/>
    </row>
    <row r="506" spans="4:5" ht="15" x14ac:dyDescent="0.25">
      <c r="D506"/>
      <c r="E506"/>
    </row>
    <row r="507" spans="4:5" ht="15" x14ac:dyDescent="0.25">
      <c r="D507"/>
      <c r="E507"/>
    </row>
    <row r="508" spans="4:5" ht="15" x14ac:dyDescent="0.25">
      <c r="D508"/>
      <c r="E508"/>
    </row>
    <row r="509" spans="4:5" ht="15" x14ac:dyDescent="0.25">
      <c r="D509"/>
      <c r="E509"/>
    </row>
    <row r="510" spans="4:5" ht="15" x14ac:dyDescent="0.25">
      <c r="D510"/>
      <c r="E510"/>
    </row>
    <row r="511" spans="4:5" ht="15" x14ac:dyDescent="0.25">
      <c r="D511"/>
      <c r="E511"/>
    </row>
    <row r="512" spans="4:5" ht="15" x14ac:dyDescent="0.25">
      <c r="D512"/>
      <c r="E512"/>
    </row>
    <row r="513" spans="4:5" ht="15" x14ac:dyDescent="0.25">
      <c r="D513"/>
      <c r="E513"/>
    </row>
    <row r="514" spans="4:5" ht="15" x14ac:dyDescent="0.25">
      <c r="D514"/>
      <c r="E514"/>
    </row>
    <row r="515" spans="4:5" ht="15" x14ac:dyDescent="0.25">
      <c r="D515"/>
      <c r="E515"/>
    </row>
    <row r="516" spans="4:5" ht="15" x14ac:dyDescent="0.25">
      <c r="D516"/>
      <c r="E516"/>
    </row>
    <row r="517" spans="4:5" ht="15" x14ac:dyDescent="0.25">
      <c r="D517"/>
      <c r="E517"/>
    </row>
    <row r="518" spans="4:5" ht="15" x14ac:dyDescent="0.25">
      <c r="D518"/>
      <c r="E518"/>
    </row>
    <row r="519" spans="4:5" ht="15" x14ac:dyDescent="0.25">
      <c r="D519"/>
      <c r="E519"/>
    </row>
    <row r="520" spans="4:5" ht="15" x14ac:dyDescent="0.25">
      <c r="D520"/>
      <c r="E520"/>
    </row>
    <row r="521" spans="4:5" ht="15" x14ac:dyDescent="0.25">
      <c r="D521"/>
      <c r="E521"/>
    </row>
    <row r="522" spans="4:5" ht="15" x14ac:dyDescent="0.25">
      <c r="D522"/>
      <c r="E522"/>
    </row>
    <row r="523" spans="4:5" ht="15" x14ac:dyDescent="0.25">
      <c r="D523"/>
      <c r="E523"/>
    </row>
    <row r="524" spans="4:5" ht="15" x14ac:dyDescent="0.25">
      <c r="D524"/>
      <c r="E524"/>
    </row>
    <row r="525" spans="4:5" ht="15" x14ac:dyDescent="0.25">
      <c r="D525"/>
      <c r="E525"/>
    </row>
    <row r="526" spans="4:5" ht="15" x14ac:dyDescent="0.25">
      <c r="D526"/>
      <c r="E526"/>
    </row>
    <row r="527" spans="4:5" ht="15" x14ac:dyDescent="0.25">
      <c r="D527"/>
      <c r="E527"/>
    </row>
    <row r="528" spans="4:5" ht="15" x14ac:dyDescent="0.25">
      <c r="D528"/>
      <c r="E528"/>
    </row>
    <row r="529" spans="4:5" ht="15" x14ac:dyDescent="0.25">
      <c r="D529"/>
      <c r="E529"/>
    </row>
    <row r="530" spans="4:5" ht="15" x14ac:dyDescent="0.25">
      <c r="D530"/>
      <c r="E530"/>
    </row>
    <row r="531" spans="4:5" ht="15" x14ac:dyDescent="0.25">
      <c r="D531"/>
      <c r="E531"/>
    </row>
    <row r="532" spans="4:5" ht="15" x14ac:dyDescent="0.25">
      <c r="D532"/>
      <c r="E532"/>
    </row>
    <row r="533" spans="4:5" ht="15" x14ac:dyDescent="0.25">
      <c r="D533"/>
      <c r="E533"/>
    </row>
    <row r="534" spans="4:5" ht="15" x14ac:dyDescent="0.25">
      <c r="D534"/>
      <c r="E534"/>
    </row>
    <row r="535" spans="4:5" ht="15" x14ac:dyDescent="0.25">
      <c r="D535"/>
      <c r="E535"/>
    </row>
    <row r="536" spans="4:5" ht="15" x14ac:dyDescent="0.25">
      <c r="D536"/>
      <c r="E536"/>
    </row>
    <row r="537" spans="4:5" ht="15" x14ac:dyDescent="0.25">
      <c r="D537"/>
      <c r="E537"/>
    </row>
    <row r="538" spans="4:5" ht="15" x14ac:dyDescent="0.25">
      <c r="D538"/>
      <c r="E538"/>
    </row>
    <row r="539" spans="4:5" ht="15" x14ac:dyDescent="0.25">
      <c r="D539"/>
      <c r="E539"/>
    </row>
    <row r="540" spans="4:5" ht="15" x14ac:dyDescent="0.25">
      <c r="D540"/>
      <c r="E540"/>
    </row>
    <row r="541" spans="4:5" ht="15" x14ac:dyDescent="0.25">
      <c r="D541"/>
      <c r="E541"/>
    </row>
    <row r="542" spans="4:5" ht="15" x14ac:dyDescent="0.25">
      <c r="D542"/>
      <c r="E542"/>
    </row>
    <row r="543" spans="4:5" ht="15" x14ac:dyDescent="0.25">
      <c r="D543"/>
      <c r="E543"/>
    </row>
    <row r="544" spans="4:5" ht="15" x14ac:dyDescent="0.25">
      <c r="D544"/>
      <c r="E544"/>
    </row>
    <row r="545" spans="4:5" ht="15" x14ac:dyDescent="0.25">
      <c r="D545"/>
      <c r="E545"/>
    </row>
    <row r="546" spans="4:5" ht="15" x14ac:dyDescent="0.25">
      <c r="D546"/>
      <c r="E546"/>
    </row>
    <row r="547" spans="4:5" ht="15" x14ac:dyDescent="0.25">
      <c r="D547"/>
      <c r="E547"/>
    </row>
    <row r="548" spans="4:5" ht="15" x14ac:dyDescent="0.25">
      <c r="D548"/>
      <c r="E548"/>
    </row>
    <row r="549" spans="4:5" ht="15" x14ac:dyDescent="0.25">
      <c r="D549"/>
      <c r="E549"/>
    </row>
    <row r="550" spans="4:5" ht="15" x14ac:dyDescent="0.25">
      <c r="D550"/>
      <c r="E550"/>
    </row>
    <row r="551" spans="4:5" ht="15" x14ac:dyDescent="0.25">
      <c r="D551"/>
      <c r="E551"/>
    </row>
    <row r="552" spans="4:5" ht="15" x14ac:dyDescent="0.25">
      <c r="D552"/>
      <c r="E552"/>
    </row>
    <row r="553" spans="4:5" ht="15" x14ac:dyDescent="0.25">
      <c r="D553"/>
      <c r="E553"/>
    </row>
    <row r="554" spans="4:5" ht="15" x14ac:dyDescent="0.25">
      <c r="D554"/>
      <c r="E554"/>
    </row>
    <row r="555" spans="4:5" ht="15" x14ac:dyDescent="0.25">
      <c r="D555"/>
      <c r="E555"/>
    </row>
    <row r="556" spans="4:5" ht="15" x14ac:dyDescent="0.25">
      <c r="D556"/>
      <c r="E556"/>
    </row>
    <row r="557" spans="4:5" ht="15" x14ac:dyDescent="0.25">
      <c r="D557"/>
      <c r="E557"/>
    </row>
    <row r="558" spans="4:5" ht="15" x14ac:dyDescent="0.25">
      <c r="D558"/>
      <c r="E558"/>
    </row>
    <row r="559" spans="4:5" ht="15" x14ac:dyDescent="0.25">
      <c r="D559"/>
      <c r="E559"/>
    </row>
    <row r="560" spans="4:5" ht="15" x14ac:dyDescent="0.25">
      <c r="D560"/>
      <c r="E560"/>
    </row>
    <row r="561" spans="4:5" ht="15" x14ac:dyDescent="0.25">
      <c r="D561"/>
      <c r="E561"/>
    </row>
    <row r="562" spans="4:5" ht="15" x14ac:dyDescent="0.25">
      <c r="D562"/>
      <c r="E562"/>
    </row>
    <row r="563" spans="4:5" ht="15" x14ac:dyDescent="0.25">
      <c r="D563"/>
      <c r="E563"/>
    </row>
    <row r="564" spans="4:5" ht="15" x14ac:dyDescent="0.25">
      <c r="D564"/>
      <c r="E564"/>
    </row>
    <row r="565" spans="4:5" ht="15" x14ac:dyDescent="0.25">
      <c r="D565"/>
      <c r="E565"/>
    </row>
    <row r="566" spans="4:5" ht="15" x14ac:dyDescent="0.25">
      <c r="D566"/>
      <c r="E566"/>
    </row>
    <row r="567" spans="4:5" ht="15" x14ac:dyDescent="0.25">
      <c r="D567"/>
      <c r="E567"/>
    </row>
    <row r="568" spans="4:5" ht="15" x14ac:dyDescent="0.25">
      <c r="D568"/>
      <c r="E568"/>
    </row>
    <row r="569" spans="4:5" ht="15" x14ac:dyDescent="0.25">
      <c r="D569"/>
      <c r="E569"/>
    </row>
    <row r="570" spans="4:5" ht="15" x14ac:dyDescent="0.25">
      <c r="D570"/>
      <c r="E570"/>
    </row>
    <row r="571" spans="4:5" ht="15" x14ac:dyDescent="0.25">
      <c r="D571"/>
      <c r="E571"/>
    </row>
    <row r="572" spans="4:5" ht="15" x14ac:dyDescent="0.25">
      <c r="D572"/>
      <c r="E572"/>
    </row>
    <row r="573" spans="4:5" ht="15" x14ac:dyDescent="0.25">
      <c r="D573"/>
      <c r="E573"/>
    </row>
    <row r="574" spans="4:5" ht="15" x14ac:dyDescent="0.25">
      <c r="D574"/>
      <c r="E574"/>
    </row>
    <row r="575" spans="4:5" ht="15" x14ac:dyDescent="0.25">
      <c r="D575"/>
      <c r="E575"/>
    </row>
    <row r="576" spans="4:5" ht="15" x14ac:dyDescent="0.25">
      <c r="D576"/>
      <c r="E576"/>
    </row>
    <row r="577" spans="4:5" ht="15" x14ac:dyDescent="0.25">
      <c r="D577"/>
      <c r="E577"/>
    </row>
    <row r="578" spans="4:5" ht="15" x14ac:dyDescent="0.25">
      <c r="D578"/>
      <c r="E578"/>
    </row>
    <row r="579" spans="4:5" ht="15" x14ac:dyDescent="0.25">
      <c r="D579"/>
      <c r="E579"/>
    </row>
    <row r="580" spans="4:5" ht="15" x14ac:dyDescent="0.25">
      <c r="D580"/>
      <c r="E580"/>
    </row>
    <row r="581" spans="4:5" ht="15" x14ac:dyDescent="0.25">
      <c r="D581"/>
      <c r="E581"/>
    </row>
    <row r="582" spans="4:5" ht="15" x14ac:dyDescent="0.25">
      <c r="D582"/>
      <c r="E582"/>
    </row>
    <row r="583" spans="4:5" ht="15" x14ac:dyDescent="0.25">
      <c r="D583"/>
      <c r="E583"/>
    </row>
    <row r="584" spans="4:5" ht="15" x14ac:dyDescent="0.25">
      <c r="D584"/>
      <c r="E584"/>
    </row>
    <row r="585" spans="4:5" ht="15" x14ac:dyDescent="0.25">
      <c r="D585"/>
      <c r="E585"/>
    </row>
    <row r="586" spans="4:5" ht="15" x14ac:dyDescent="0.25">
      <c r="D586"/>
      <c r="E586"/>
    </row>
    <row r="587" spans="4:5" ht="15" x14ac:dyDescent="0.25">
      <c r="D587"/>
      <c r="E587"/>
    </row>
    <row r="588" spans="4:5" ht="15" x14ac:dyDescent="0.25">
      <c r="D588"/>
      <c r="E588"/>
    </row>
    <row r="589" spans="4:5" ht="15" x14ac:dyDescent="0.25">
      <c r="D589"/>
      <c r="E589"/>
    </row>
    <row r="590" spans="4:5" ht="15" x14ac:dyDescent="0.25">
      <c r="D590"/>
      <c r="E590"/>
    </row>
    <row r="591" spans="4:5" ht="15" x14ac:dyDescent="0.25">
      <c r="D591"/>
      <c r="E591"/>
    </row>
    <row r="592" spans="4:5" ht="15" x14ac:dyDescent="0.25">
      <c r="D592"/>
      <c r="E592"/>
    </row>
    <row r="593" spans="4:5" ht="15" x14ac:dyDescent="0.25">
      <c r="D593"/>
      <c r="E593"/>
    </row>
    <row r="594" spans="4:5" ht="15" x14ac:dyDescent="0.25">
      <c r="D594"/>
      <c r="E594"/>
    </row>
    <row r="595" spans="4:5" ht="15" x14ac:dyDescent="0.25">
      <c r="D595"/>
      <c r="E595"/>
    </row>
    <row r="596" spans="4:5" ht="15" x14ac:dyDescent="0.25">
      <c r="D596"/>
      <c r="E596"/>
    </row>
    <row r="597" spans="4:5" ht="15" x14ac:dyDescent="0.25">
      <c r="D597"/>
      <c r="E597"/>
    </row>
    <row r="598" spans="4:5" ht="15" x14ac:dyDescent="0.25">
      <c r="D598"/>
      <c r="E598"/>
    </row>
    <row r="599" spans="4:5" ht="15" x14ac:dyDescent="0.25">
      <c r="D599"/>
      <c r="E599"/>
    </row>
    <row r="600" spans="4:5" ht="15" x14ac:dyDescent="0.25">
      <c r="D600"/>
      <c r="E600"/>
    </row>
    <row r="601" spans="4:5" ht="15" x14ac:dyDescent="0.25">
      <c r="D601"/>
      <c r="E601"/>
    </row>
    <row r="602" spans="4:5" ht="15" x14ac:dyDescent="0.25">
      <c r="D602"/>
      <c r="E602"/>
    </row>
    <row r="603" spans="4:5" ht="15" x14ac:dyDescent="0.25">
      <c r="D603"/>
      <c r="E603"/>
    </row>
    <row r="604" spans="4:5" ht="15" x14ac:dyDescent="0.25">
      <c r="D604"/>
      <c r="E604"/>
    </row>
    <row r="605" spans="4:5" ht="15" x14ac:dyDescent="0.25">
      <c r="D605"/>
      <c r="E605"/>
    </row>
    <row r="606" spans="4:5" ht="15" x14ac:dyDescent="0.25">
      <c r="D606"/>
      <c r="E606"/>
    </row>
    <row r="607" spans="4:5" ht="15" x14ac:dyDescent="0.25">
      <c r="D607"/>
      <c r="E607"/>
    </row>
    <row r="608" spans="4:5" ht="15" x14ac:dyDescent="0.25">
      <c r="D608"/>
      <c r="E608"/>
    </row>
    <row r="609" spans="4:5" ht="15" x14ac:dyDescent="0.25">
      <c r="D609"/>
      <c r="E609"/>
    </row>
    <row r="610" spans="4:5" ht="15" x14ac:dyDescent="0.25">
      <c r="D610"/>
      <c r="E610"/>
    </row>
    <row r="611" spans="4:5" ht="15" x14ac:dyDescent="0.25">
      <c r="D611"/>
      <c r="E611"/>
    </row>
    <row r="612" spans="4:5" ht="15" x14ac:dyDescent="0.25">
      <c r="D612"/>
      <c r="E612"/>
    </row>
    <row r="613" spans="4:5" ht="15" x14ac:dyDescent="0.25">
      <c r="D613"/>
      <c r="E613"/>
    </row>
    <row r="614" spans="4:5" ht="15" x14ac:dyDescent="0.25">
      <c r="D614"/>
      <c r="E614"/>
    </row>
    <row r="615" spans="4:5" ht="15" x14ac:dyDescent="0.25">
      <c r="D615"/>
      <c r="E615"/>
    </row>
    <row r="616" spans="4:5" ht="15" x14ac:dyDescent="0.25">
      <c r="D616"/>
      <c r="E616"/>
    </row>
    <row r="617" spans="4:5" ht="15" x14ac:dyDescent="0.25">
      <c r="D617"/>
      <c r="E617"/>
    </row>
    <row r="618" spans="4:5" ht="15" x14ac:dyDescent="0.25">
      <c r="D618"/>
      <c r="E618"/>
    </row>
    <row r="619" spans="4:5" ht="15" x14ac:dyDescent="0.25">
      <c r="D619"/>
      <c r="E619"/>
    </row>
    <row r="620" spans="4:5" ht="15" x14ac:dyDescent="0.25">
      <c r="D620"/>
      <c r="E620"/>
    </row>
    <row r="621" spans="4:5" ht="15" x14ac:dyDescent="0.25">
      <c r="D621"/>
      <c r="E621"/>
    </row>
    <row r="622" spans="4:5" ht="15" x14ac:dyDescent="0.25">
      <c r="D622"/>
      <c r="E622"/>
    </row>
    <row r="623" spans="4:5" ht="15" x14ac:dyDescent="0.25">
      <c r="D623"/>
      <c r="E623"/>
    </row>
    <row r="624" spans="4:5" ht="15" x14ac:dyDescent="0.25">
      <c r="D624"/>
      <c r="E624"/>
    </row>
    <row r="625" spans="4:5" ht="15" x14ac:dyDescent="0.25">
      <c r="D625"/>
      <c r="E625"/>
    </row>
    <row r="626" spans="4:5" ht="15" x14ac:dyDescent="0.25">
      <c r="D626"/>
      <c r="E626"/>
    </row>
    <row r="627" spans="4:5" ht="15" x14ac:dyDescent="0.25">
      <c r="D627"/>
      <c r="E627"/>
    </row>
    <row r="628" spans="4:5" ht="15" x14ac:dyDescent="0.25">
      <c r="D628"/>
      <c r="E628"/>
    </row>
    <row r="629" spans="4:5" ht="15" x14ac:dyDescent="0.25">
      <c r="D629"/>
      <c r="E629"/>
    </row>
    <row r="630" spans="4:5" ht="15" x14ac:dyDescent="0.25">
      <c r="D630"/>
      <c r="E630"/>
    </row>
    <row r="631" spans="4:5" ht="15" x14ac:dyDescent="0.25">
      <c r="D631"/>
      <c r="E631"/>
    </row>
    <row r="632" spans="4:5" ht="15" x14ac:dyDescent="0.25">
      <c r="D632"/>
      <c r="E632"/>
    </row>
    <row r="633" spans="4:5" ht="15" x14ac:dyDescent="0.25">
      <c r="D633"/>
      <c r="E633"/>
    </row>
    <row r="634" spans="4:5" ht="15" x14ac:dyDescent="0.25">
      <c r="D634"/>
      <c r="E634"/>
    </row>
    <row r="635" spans="4:5" ht="15" x14ac:dyDescent="0.25">
      <c r="D635"/>
      <c r="E635"/>
    </row>
    <row r="636" spans="4:5" ht="15" x14ac:dyDescent="0.25">
      <c r="D636"/>
      <c r="E636"/>
    </row>
    <row r="637" spans="4:5" ht="15" x14ac:dyDescent="0.25">
      <c r="D637"/>
      <c r="E637"/>
    </row>
    <row r="638" spans="4:5" ht="15" x14ac:dyDescent="0.25">
      <c r="D638"/>
      <c r="E638"/>
    </row>
    <row r="639" spans="4:5" ht="15" x14ac:dyDescent="0.25">
      <c r="D639"/>
      <c r="E639"/>
    </row>
    <row r="640" spans="4:5" ht="15" x14ac:dyDescent="0.25">
      <c r="D640"/>
      <c r="E640"/>
    </row>
    <row r="641" spans="4:5" ht="15" x14ac:dyDescent="0.25">
      <c r="D641"/>
      <c r="E641"/>
    </row>
    <row r="642" spans="4:5" ht="15" x14ac:dyDescent="0.25">
      <c r="D642"/>
      <c r="E642"/>
    </row>
    <row r="643" spans="4:5" ht="15" x14ac:dyDescent="0.25">
      <c r="D643"/>
      <c r="E643"/>
    </row>
    <row r="644" spans="4:5" ht="15" x14ac:dyDescent="0.25">
      <c r="D644"/>
      <c r="E644"/>
    </row>
    <row r="645" spans="4:5" ht="15" x14ac:dyDescent="0.25">
      <c r="D645"/>
      <c r="E645"/>
    </row>
    <row r="646" spans="4:5" ht="15" x14ac:dyDescent="0.25">
      <c r="D646"/>
      <c r="E646"/>
    </row>
    <row r="647" spans="4:5" ht="15" x14ac:dyDescent="0.25">
      <c r="D647"/>
      <c r="E647"/>
    </row>
    <row r="648" spans="4:5" ht="15" x14ac:dyDescent="0.25">
      <c r="D648"/>
      <c r="E648"/>
    </row>
    <row r="649" spans="4:5" ht="15" x14ac:dyDescent="0.25">
      <c r="D649"/>
      <c r="E649"/>
    </row>
    <row r="650" spans="4:5" ht="15" x14ac:dyDescent="0.25">
      <c r="D650"/>
      <c r="E650"/>
    </row>
    <row r="651" spans="4:5" ht="15" x14ac:dyDescent="0.25">
      <c r="D651"/>
      <c r="E651"/>
    </row>
    <row r="652" spans="4:5" ht="15" x14ac:dyDescent="0.25">
      <c r="D652"/>
      <c r="E652"/>
    </row>
    <row r="653" spans="4:5" ht="15" x14ac:dyDescent="0.25">
      <c r="D653"/>
      <c r="E653"/>
    </row>
    <row r="654" spans="4:5" ht="15" x14ac:dyDescent="0.25">
      <c r="D654"/>
      <c r="E654"/>
    </row>
    <row r="655" spans="4:5" ht="15" x14ac:dyDescent="0.25">
      <c r="D655"/>
      <c r="E655"/>
    </row>
    <row r="656" spans="4:5" ht="15" x14ac:dyDescent="0.25">
      <c r="D656"/>
      <c r="E656"/>
    </row>
    <row r="657" spans="4:5" ht="15" x14ac:dyDescent="0.25">
      <c r="D657"/>
      <c r="E657"/>
    </row>
    <row r="658" spans="4:5" ht="15" x14ac:dyDescent="0.25">
      <c r="D658"/>
      <c r="E658"/>
    </row>
    <row r="659" spans="4:5" ht="15" x14ac:dyDescent="0.25">
      <c r="D659"/>
      <c r="E659"/>
    </row>
    <row r="660" spans="4:5" ht="15" x14ac:dyDescent="0.25">
      <c r="D660"/>
      <c r="E660"/>
    </row>
    <row r="661" spans="4:5" ht="15" x14ac:dyDescent="0.25">
      <c r="D661"/>
      <c r="E661"/>
    </row>
    <row r="662" spans="4:5" ht="15" x14ac:dyDescent="0.25">
      <c r="D662"/>
      <c r="E662"/>
    </row>
    <row r="663" spans="4:5" ht="15" x14ac:dyDescent="0.25">
      <c r="D663"/>
      <c r="E663"/>
    </row>
    <row r="664" spans="4:5" ht="15" x14ac:dyDescent="0.25">
      <c r="D664"/>
      <c r="E664"/>
    </row>
    <row r="665" spans="4:5" ht="15" x14ac:dyDescent="0.25">
      <c r="D665"/>
      <c r="E665"/>
    </row>
    <row r="666" spans="4:5" ht="15" x14ac:dyDescent="0.25">
      <c r="D666"/>
      <c r="E666"/>
    </row>
    <row r="667" spans="4:5" ht="15" x14ac:dyDescent="0.25">
      <c r="D667"/>
      <c r="E667"/>
    </row>
    <row r="668" spans="4:5" ht="15" x14ac:dyDescent="0.25">
      <c r="D668"/>
      <c r="E668"/>
    </row>
    <row r="669" spans="4:5" ht="15" x14ac:dyDescent="0.25">
      <c r="D669"/>
      <c r="E669"/>
    </row>
    <row r="670" spans="4:5" ht="15" x14ac:dyDescent="0.25">
      <c r="D670"/>
      <c r="E670"/>
    </row>
    <row r="671" spans="4:5" ht="15" x14ac:dyDescent="0.25">
      <c r="D671"/>
      <c r="E671"/>
    </row>
    <row r="672" spans="4:5" ht="15" x14ac:dyDescent="0.25">
      <c r="D672"/>
      <c r="E672"/>
    </row>
    <row r="673" spans="4:5" ht="15" x14ac:dyDescent="0.25">
      <c r="D673"/>
      <c r="E673"/>
    </row>
    <row r="674" spans="4:5" ht="15" x14ac:dyDescent="0.25">
      <c r="D674"/>
      <c r="E674"/>
    </row>
    <row r="675" spans="4:5" ht="15" x14ac:dyDescent="0.25">
      <c r="D675"/>
      <c r="E675"/>
    </row>
    <row r="676" spans="4:5" ht="15" x14ac:dyDescent="0.25">
      <c r="D676"/>
      <c r="E676"/>
    </row>
    <row r="677" spans="4:5" ht="15" x14ac:dyDescent="0.25">
      <c r="D677"/>
      <c r="E677"/>
    </row>
    <row r="678" spans="4:5" ht="15" x14ac:dyDescent="0.25">
      <c r="D678"/>
      <c r="E678"/>
    </row>
    <row r="679" spans="4:5" ht="15" x14ac:dyDescent="0.25">
      <c r="D679"/>
      <c r="E679"/>
    </row>
    <row r="680" spans="4:5" ht="15" x14ac:dyDescent="0.25">
      <c r="D680"/>
      <c r="E680"/>
    </row>
    <row r="681" spans="4:5" ht="15" x14ac:dyDescent="0.25">
      <c r="D681"/>
      <c r="E681"/>
    </row>
    <row r="682" spans="4:5" ht="15" x14ac:dyDescent="0.25">
      <c r="D682"/>
      <c r="E682"/>
    </row>
    <row r="683" spans="4:5" ht="15" x14ac:dyDescent="0.25">
      <c r="D683"/>
      <c r="E683"/>
    </row>
    <row r="684" spans="4:5" ht="15" x14ac:dyDescent="0.25">
      <c r="D684"/>
      <c r="E684"/>
    </row>
    <row r="685" spans="4:5" ht="15" x14ac:dyDescent="0.25">
      <c r="D685"/>
      <c r="E685"/>
    </row>
    <row r="686" spans="4:5" ht="15" x14ac:dyDescent="0.25">
      <c r="D686"/>
      <c r="E686"/>
    </row>
    <row r="687" spans="4:5" ht="15" x14ac:dyDescent="0.25">
      <c r="D687"/>
      <c r="E687"/>
    </row>
    <row r="688" spans="4:5" ht="15" x14ac:dyDescent="0.25">
      <c r="D688"/>
      <c r="E688"/>
    </row>
    <row r="689" spans="4:5" ht="15" x14ac:dyDescent="0.25">
      <c r="D689"/>
      <c r="E689"/>
    </row>
    <row r="690" spans="4:5" ht="15" x14ac:dyDescent="0.25">
      <c r="D690"/>
      <c r="E690"/>
    </row>
    <row r="691" spans="4:5" ht="15" x14ac:dyDescent="0.25">
      <c r="D691"/>
      <c r="E691"/>
    </row>
    <row r="692" spans="4:5" ht="15" x14ac:dyDescent="0.25">
      <c r="D692"/>
      <c r="E692"/>
    </row>
    <row r="693" spans="4:5" ht="15" x14ac:dyDescent="0.25">
      <c r="D693"/>
      <c r="E693"/>
    </row>
    <row r="694" spans="4:5" ht="15" x14ac:dyDescent="0.25">
      <c r="D694"/>
      <c r="E694"/>
    </row>
    <row r="695" spans="4:5" ht="15" x14ac:dyDescent="0.25">
      <c r="D695"/>
      <c r="E695"/>
    </row>
    <row r="696" spans="4:5" ht="15" x14ac:dyDescent="0.25">
      <c r="D696"/>
      <c r="E696"/>
    </row>
    <row r="697" spans="4:5" ht="15" x14ac:dyDescent="0.25">
      <c r="D697"/>
      <c r="E697"/>
    </row>
    <row r="698" spans="4:5" ht="15" x14ac:dyDescent="0.25">
      <c r="D698"/>
      <c r="E698"/>
    </row>
    <row r="699" spans="4:5" ht="15" x14ac:dyDescent="0.25">
      <c r="D699"/>
      <c r="E699"/>
    </row>
    <row r="700" spans="4:5" ht="15" x14ac:dyDescent="0.25">
      <c r="D700"/>
      <c r="E700"/>
    </row>
    <row r="701" spans="4:5" ht="15" x14ac:dyDescent="0.25">
      <c r="D701"/>
      <c r="E701"/>
    </row>
    <row r="702" spans="4:5" ht="15" x14ac:dyDescent="0.25">
      <c r="D702"/>
      <c r="E702"/>
    </row>
    <row r="703" spans="4:5" ht="15" x14ac:dyDescent="0.25">
      <c r="D703"/>
      <c r="E703"/>
    </row>
    <row r="704" spans="4:5" ht="15" x14ac:dyDescent="0.25">
      <c r="D704"/>
      <c r="E704"/>
    </row>
    <row r="705" spans="4:5" ht="15" x14ac:dyDescent="0.25">
      <c r="D705"/>
      <c r="E705"/>
    </row>
    <row r="706" spans="4:5" ht="15" x14ac:dyDescent="0.25">
      <c r="D706"/>
      <c r="E706"/>
    </row>
    <row r="707" spans="4:5" ht="15" x14ac:dyDescent="0.25">
      <c r="D707"/>
      <c r="E707"/>
    </row>
    <row r="708" spans="4:5" ht="15" x14ac:dyDescent="0.25">
      <c r="D708"/>
      <c r="E708"/>
    </row>
    <row r="709" spans="4:5" ht="15" x14ac:dyDescent="0.25">
      <c r="D709"/>
      <c r="E709"/>
    </row>
    <row r="710" spans="4:5" ht="15" x14ac:dyDescent="0.25">
      <c r="D710"/>
      <c r="E710"/>
    </row>
    <row r="711" spans="4:5" ht="15" x14ac:dyDescent="0.25">
      <c r="D711"/>
      <c r="E711"/>
    </row>
    <row r="712" spans="4:5" ht="15" x14ac:dyDescent="0.25">
      <c r="D712"/>
      <c r="E712"/>
    </row>
    <row r="713" spans="4:5" ht="15" x14ac:dyDescent="0.25">
      <c r="D713"/>
      <c r="E713"/>
    </row>
    <row r="714" spans="4:5" ht="15" x14ac:dyDescent="0.25">
      <c r="D714"/>
      <c r="E714"/>
    </row>
    <row r="715" spans="4:5" ht="15" x14ac:dyDescent="0.25">
      <c r="D715"/>
      <c r="E715"/>
    </row>
    <row r="716" spans="4:5" ht="15" x14ac:dyDescent="0.25">
      <c r="D716"/>
      <c r="E716"/>
    </row>
    <row r="717" spans="4:5" ht="15" x14ac:dyDescent="0.25">
      <c r="D717"/>
      <c r="E717"/>
    </row>
    <row r="718" spans="4:5" ht="15" x14ac:dyDescent="0.25">
      <c r="D718"/>
      <c r="E718"/>
    </row>
    <row r="719" spans="4:5" ht="15" x14ac:dyDescent="0.25">
      <c r="D719"/>
      <c r="E719"/>
    </row>
    <row r="720" spans="4:5" ht="15" x14ac:dyDescent="0.25">
      <c r="D720"/>
      <c r="E720"/>
    </row>
    <row r="721" spans="4:5" ht="15" x14ac:dyDescent="0.25">
      <c r="D721"/>
      <c r="E721"/>
    </row>
    <row r="722" spans="4:5" ht="15" x14ac:dyDescent="0.25">
      <c r="D722"/>
      <c r="E722"/>
    </row>
    <row r="723" spans="4:5" ht="15" x14ac:dyDescent="0.25">
      <c r="D723"/>
      <c r="E723"/>
    </row>
    <row r="724" spans="4:5" ht="15" x14ac:dyDescent="0.25">
      <c r="D724"/>
      <c r="E724"/>
    </row>
    <row r="725" spans="4:5" ht="15" x14ac:dyDescent="0.25">
      <c r="D725"/>
      <c r="E725"/>
    </row>
    <row r="726" spans="4:5" ht="15" x14ac:dyDescent="0.25">
      <c r="D726"/>
      <c r="E726"/>
    </row>
    <row r="727" spans="4:5" ht="15" x14ac:dyDescent="0.25">
      <c r="D727"/>
      <c r="E727"/>
    </row>
    <row r="728" spans="4:5" ht="15" x14ac:dyDescent="0.25">
      <c r="D728"/>
      <c r="E728"/>
    </row>
    <row r="729" spans="4:5" ht="15" x14ac:dyDescent="0.25">
      <c r="D729"/>
      <c r="E729"/>
    </row>
    <row r="730" spans="4:5" ht="15" x14ac:dyDescent="0.25">
      <c r="D730"/>
      <c r="E730"/>
    </row>
    <row r="731" spans="4:5" ht="15" x14ac:dyDescent="0.25">
      <c r="D731"/>
      <c r="E731"/>
    </row>
    <row r="732" spans="4:5" ht="15" x14ac:dyDescent="0.25">
      <c r="D732"/>
      <c r="E732"/>
    </row>
    <row r="733" spans="4:5" ht="15" x14ac:dyDescent="0.25">
      <c r="D733"/>
      <c r="E733"/>
    </row>
    <row r="734" spans="4:5" ht="15" x14ac:dyDescent="0.25">
      <c r="D734"/>
      <c r="E734"/>
    </row>
    <row r="735" spans="4:5" ht="15" x14ac:dyDescent="0.25">
      <c r="D735"/>
      <c r="E735"/>
    </row>
    <row r="736" spans="4:5" ht="15" x14ac:dyDescent="0.25">
      <c r="D736"/>
      <c r="E736"/>
    </row>
    <row r="737" spans="4:5" ht="15" x14ac:dyDescent="0.25">
      <c r="D737"/>
      <c r="E737"/>
    </row>
    <row r="738" spans="4:5" ht="15" x14ac:dyDescent="0.25">
      <c r="D738"/>
      <c r="E738"/>
    </row>
    <row r="739" spans="4:5" ht="15" x14ac:dyDescent="0.25">
      <c r="D739"/>
      <c r="E739"/>
    </row>
    <row r="740" spans="4:5" ht="15" x14ac:dyDescent="0.25">
      <c r="D740"/>
      <c r="E740"/>
    </row>
    <row r="741" spans="4:5" ht="15" x14ac:dyDescent="0.25">
      <c r="D741"/>
      <c r="E741"/>
    </row>
    <row r="742" spans="4:5" ht="15" x14ac:dyDescent="0.25">
      <c r="D742"/>
      <c r="E742"/>
    </row>
    <row r="743" spans="4:5" ht="15" x14ac:dyDescent="0.25">
      <c r="D743"/>
      <c r="E743"/>
    </row>
    <row r="744" spans="4:5" ht="15" x14ac:dyDescent="0.25">
      <c r="D744"/>
      <c r="E744"/>
    </row>
    <row r="745" spans="4:5" ht="15" x14ac:dyDescent="0.25">
      <c r="D745"/>
      <c r="E745"/>
    </row>
    <row r="746" spans="4:5" ht="15" x14ac:dyDescent="0.25">
      <c r="D746"/>
      <c r="E746"/>
    </row>
    <row r="747" spans="4:5" ht="15" x14ac:dyDescent="0.25">
      <c r="D747"/>
      <c r="E747"/>
    </row>
    <row r="748" spans="4:5" ht="15" x14ac:dyDescent="0.25">
      <c r="D748"/>
      <c r="E748"/>
    </row>
    <row r="749" spans="4:5" ht="15" x14ac:dyDescent="0.25">
      <c r="D749"/>
      <c r="E749"/>
    </row>
    <row r="750" spans="4:5" ht="15" x14ac:dyDescent="0.25">
      <c r="D750"/>
      <c r="E750"/>
    </row>
    <row r="751" spans="4:5" ht="15" x14ac:dyDescent="0.25">
      <c r="D751"/>
      <c r="E751"/>
    </row>
    <row r="752" spans="4:5" ht="15" x14ac:dyDescent="0.25">
      <c r="D752"/>
      <c r="E752"/>
    </row>
    <row r="753" spans="4:5" ht="15" x14ac:dyDescent="0.25">
      <c r="D753"/>
      <c r="E753"/>
    </row>
    <row r="754" spans="4:5" ht="15" x14ac:dyDescent="0.25">
      <c r="D754"/>
      <c r="E754"/>
    </row>
    <row r="755" spans="4:5" ht="15" x14ac:dyDescent="0.25">
      <c r="D755"/>
      <c r="E755"/>
    </row>
    <row r="756" spans="4:5" ht="15" x14ac:dyDescent="0.25">
      <c r="D756"/>
      <c r="E756"/>
    </row>
    <row r="757" spans="4:5" ht="15" x14ac:dyDescent="0.25">
      <c r="D757"/>
      <c r="E757"/>
    </row>
    <row r="758" spans="4:5" ht="15" x14ac:dyDescent="0.25">
      <c r="D758"/>
      <c r="E758"/>
    </row>
    <row r="759" spans="4:5" ht="15" x14ac:dyDescent="0.25">
      <c r="D759"/>
      <c r="E759"/>
    </row>
    <row r="760" spans="4:5" ht="15" x14ac:dyDescent="0.25">
      <c r="D760"/>
      <c r="E760"/>
    </row>
    <row r="761" spans="4:5" ht="15" x14ac:dyDescent="0.25">
      <c r="D761"/>
      <c r="E761"/>
    </row>
    <row r="762" spans="4:5" ht="15" x14ac:dyDescent="0.25">
      <c r="D762"/>
      <c r="E762"/>
    </row>
    <row r="763" spans="4:5" ht="15" x14ac:dyDescent="0.25">
      <c r="D763"/>
      <c r="E763"/>
    </row>
    <row r="764" spans="4:5" ht="15" x14ac:dyDescent="0.25">
      <c r="D764"/>
      <c r="E764"/>
    </row>
    <row r="765" spans="4:5" ht="15" x14ac:dyDescent="0.25">
      <c r="D765"/>
      <c r="E765"/>
    </row>
    <row r="766" spans="4:5" ht="15" x14ac:dyDescent="0.25">
      <c r="D766"/>
      <c r="E766"/>
    </row>
    <row r="767" spans="4:5" ht="15" x14ac:dyDescent="0.25">
      <c r="D767"/>
      <c r="E767"/>
    </row>
    <row r="768" spans="4:5" ht="15" x14ac:dyDescent="0.25">
      <c r="D768"/>
      <c r="E768"/>
    </row>
    <row r="769" spans="4:5" ht="15" x14ac:dyDescent="0.25">
      <c r="D769"/>
      <c r="E769"/>
    </row>
    <row r="770" spans="4:5" ht="15" x14ac:dyDescent="0.25">
      <c r="D770"/>
      <c r="E770"/>
    </row>
    <row r="771" spans="4:5" ht="15" x14ac:dyDescent="0.25">
      <c r="D771"/>
      <c r="E771"/>
    </row>
    <row r="772" spans="4:5" ht="15" x14ac:dyDescent="0.25">
      <c r="D772"/>
      <c r="E772"/>
    </row>
    <row r="773" spans="4:5" ht="15" x14ac:dyDescent="0.25">
      <c r="D773"/>
      <c r="E773"/>
    </row>
    <row r="774" spans="4:5" ht="15" x14ac:dyDescent="0.25">
      <c r="D774"/>
      <c r="E774"/>
    </row>
    <row r="775" spans="4:5" ht="15" x14ac:dyDescent="0.25">
      <c r="D775"/>
      <c r="E775"/>
    </row>
    <row r="776" spans="4:5" ht="15" x14ac:dyDescent="0.25">
      <c r="D776"/>
      <c r="E776"/>
    </row>
    <row r="777" spans="4:5" ht="15" x14ac:dyDescent="0.25">
      <c r="D777"/>
      <c r="E777"/>
    </row>
    <row r="778" spans="4:5" ht="15" x14ac:dyDescent="0.25">
      <c r="D778"/>
      <c r="E778"/>
    </row>
    <row r="779" spans="4:5" ht="15" x14ac:dyDescent="0.25">
      <c r="D779"/>
      <c r="E779"/>
    </row>
    <row r="780" spans="4:5" ht="15" x14ac:dyDescent="0.25">
      <c r="D780"/>
      <c r="E780"/>
    </row>
    <row r="781" spans="4:5" ht="15" x14ac:dyDescent="0.25">
      <c r="D781"/>
      <c r="E781"/>
    </row>
    <row r="782" spans="4:5" ht="15" x14ac:dyDescent="0.25">
      <c r="D782"/>
      <c r="E782"/>
    </row>
    <row r="783" spans="4:5" ht="15" x14ac:dyDescent="0.25">
      <c r="D783"/>
      <c r="E783"/>
    </row>
    <row r="784" spans="4:5" ht="15" x14ac:dyDescent="0.25">
      <c r="D784"/>
      <c r="E784"/>
    </row>
    <row r="785" spans="4:5" ht="15" x14ac:dyDescent="0.25">
      <c r="D785"/>
      <c r="E785"/>
    </row>
    <row r="786" spans="4:5" ht="15" x14ac:dyDescent="0.25">
      <c r="D786"/>
      <c r="E786"/>
    </row>
    <row r="787" spans="4:5" ht="15" x14ac:dyDescent="0.25">
      <c r="D787"/>
      <c r="E787"/>
    </row>
    <row r="788" spans="4:5" ht="15" x14ac:dyDescent="0.25">
      <c r="D788"/>
      <c r="E788"/>
    </row>
    <row r="789" spans="4:5" ht="15" x14ac:dyDescent="0.25">
      <c r="D789"/>
      <c r="E789"/>
    </row>
    <row r="790" spans="4:5" ht="15" x14ac:dyDescent="0.25">
      <c r="D790"/>
      <c r="E790"/>
    </row>
    <row r="791" spans="4:5" ht="15" x14ac:dyDescent="0.25">
      <c r="D791"/>
      <c r="E791"/>
    </row>
    <row r="792" spans="4:5" ht="15" x14ac:dyDescent="0.25">
      <c r="D792"/>
      <c r="E792"/>
    </row>
    <row r="793" spans="4:5" ht="15" x14ac:dyDescent="0.25">
      <c r="D793"/>
      <c r="E793"/>
    </row>
    <row r="794" spans="4:5" ht="15" x14ac:dyDescent="0.25">
      <c r="D794"/>
      <c r="E794"/>
    </row>
    <row r="795" spans="4:5" ht="15" x14ac:dyDescent="0.25">
      <c r="D795"/>
      <c r="E795"/>
    </row>
    <row r="796" spans="4:5" ht="15" x14ac:dyDescent="0.25">
      <c r="D796"/>
      <c r="E796"/>
    </row>
    <row r="797" spans="4:5" ht="15" x14ac:dyDescent="0.25">
      <c r="D797"/>
      <c r="E797"/>
    </row>
    <row r="798" spans="4:5" ht="15" x14ac:dyDescent="0.25">
      <c r="D798"/>
      <c r="E798"/>
    </row>
    <row r="799" spans="4:5" ht="15" x14ac:dyDescent="0.25">
      <c r="D799"/>
      <c r="E799"/>
    </row>
    <row r="800" spans="4:5" ht="15" x14ac:dyDescent="0.25">
      <c r="D800"/>
      <c r="E800"/>
    </row>
    <row r="801" spans="4:5" ht="15" x14ac:dyDescent="0.25">
      <c r="D801"/>
      <c r="E801"/>
    </row>
    <row r="802" spans="4:5" ht="15" x14ac:dyDescent="0.25">
      <c r="D802"/>
      <c r="E802"/>
    </row>
    <row r="803" spans="4:5" ht="15" x14ac:dyDescent="0.25">
      <c r="D803"/>
      <c r="E803"/>
    </row>
    <row r="804" spans="4:5" ht="15" x14ac:dyDescent="0.25">
      <c r="D804"/>
      <c r="E804"/>
    </row>
    <row r="805" spans="4:5" ht="15" x14ac:dyDescent="0.25">
      <c r="D805"/>
      <c r="E805"/>
    </row>
    <row r="806" spans="4:5" ht="15" x14ac:dyDescent="0.25">
      <c r="D806"/>
      <c r="E806"/>
    </row>
    <row r="807" spans="4:5" ht="15" x14ac:dyDescent="0.25">
      <c r="D807"/>
      <c r="E807"/>
    </row>
    <row r="808" spans="4:5" ht="15" x14ac:dyDescent="0.25">
      <c r="D808"/>
      <c r="E808"/>
    </row>
    <row r="809" spans="4:5" ht="15" x14ac:dyDescent="0.25">
      <c r="D809"/>
      <c r="E809"/>
    </row>
    <row r="810" spans="4:5" ht="15" x14ac:dyDescent="0.25">
      <c r="D810"/>
      <c r="E810"/>
    </row>
    <row r="811" spans="4:5" ht="15" x14ac:dyDescent="0.25">
      <c r="D811"/>
      <c r="E811"/>
    </row>
    <row r="812" spans="4:5" ht="15" x14ac:dyDescent="0.25">
      <c r="D812"/>
      <c r="E812"/>
    </row>
    <row r="813" spans="4:5" ht="15" x14ac:dyDescent="0.25">
      <c r="D813"/>
      <c r="E813"/>
    </row>
    <row r="814" spans="4:5" ht="15" x14ac:dyDescent="0.25">
      <c r="D814"/>
      <c r="E814"/>
    </row>
    <row r="815" spans="4:5" ht="15" x14ac:dyDescent="0.25">
      <c r="D815"/>
      <c r="E815"/>
    </row>
    <row r="816" spans="4:5" ht="15" x14ac:dyDescent="0.25">
      <c r="D816"/>
      <c r="E816"/>
    </row>
    <row r="817" spans="4:5" ht="15" x14ac:dyDescent="0.25">
      <c r="D817"/>
      <c r="E817"/>
    </row>
    <row r="818" spans="4:5" ht="15" x14ac:dyDescent="0.25">
      <c r="D818"/>
      <c r="E818"/>
    </row>
    <row r="819" spans="4:5" ht="15" x14ac:dyDescent="0.25">
      <c r="D819"/>
      <c r="E819"/>
    </row>
    <row r="820" spans="4:5" ht="15" x14ac:dyDescent="0.25">
      <c r="D820"/>
      <c r="E820"/>
    </row>
    <row r="821" spans="4:5" ht="15" x14ac:dyDescent="0.25">
      <c r="D821"/>
      <c r="E821"/>
    </row>
    <row r="822" spans="4:5" ht="15" x14ac:dyDescent="0.25">
      <c r="D822"/>
      <c r="E822"/>
    </row>
    <row r="823" spans="4:5" ht="15" x14ac:dyDescent="0.25">
      <c r="D823"/>
      <c r="E823"/>
    </row>
    <row r="824" spans="4:5" ht="15" x14ac:dyDescent="0.25">
      <c r="D824"/>
      <c r="E824"/>
    </row>
    <row r="825" spans="4:5" ht="15" x14ac:dyDescent="0.25">
      <c r="D825"/>
      <c r="E825"/>
    </row>
    <row r="826" spans="4:5" ht="15" x14ac:dyDescent="0.25">
      <c r="D826"/>
      <c r="E826"/>
    </row>
    <row r="827" spans="4:5" ht="15" x14ac:dyDescent="0.25">
      <c r="D827"/>
      <c r="E827"/>
    </row>
    <row r="828" spans="4:5" ht="15" x14ac:dyDescent="0.25">
      <c r="D828"/>
      <c r="E828"/>
    </row>
    <row r="829" spans="4:5" ht="15" x14ac:dyDescent="0.25">
      <c r="D829"/>
      <c r="E829"/>
    </row>
    <row r="830" spans="4:5" ht="15" x14ac:dyDescent="0.25">
      <c r="D830"/>
      <c r="E830"/>
    </row>
    <row r="831" spans="4:5" ht="15" x14ac:dyDescent="0.25">
      <c r="D831"/>
      <c r="E831"/>
    </row>
    <row r="832" spans="4:5" ht="15" x14ac:dyDescent="0.25">
      <c r="D832"/>
      <c r="E832"/>
    </row>
    <row r="833" spans="4:5" ht="15" x14ac:dyDescent="0.25">
      <c r="D833"/>
      <c r="E833"/>
    </row>
    <row r="834" spans="4:5" ht="15" x14ac:dyDescent="0.25">
      <c r="D834"/>
      <c r="E834"/>
    </row>
    <row r="835" spans="4:5" ht="15" x14ac:dyDescent="0.25">
      <c r="D835"/>
      <c r="E835"/>
    </row>
    <row r="836" spans="4:5" ht="15" x14ac:dyDescent="0.25">
      <c r="D836"/>
      <c r="E836"/>
    </row>
    <row r="837" spans="4:5" ht="15" x14ac:dyDescent="0.25">
      <c r="D837"/>
      <c r="E837"/>
    </row>
    <row r="838" spans="4:5" ht="15" x14ac:dyDescent="0.25">
      <c r="D838"/>
      <c r="E838"/>
    </row>
    <row r="839" spans="4:5" ht="15" x14ac:dyDescent="0.25">
      <c r="D839"/>
      <c r="E839"/>
    </row>
    <row r="840" spans="4:5" ht="15" x14ac:dyDescent="0.25">
      <c r="D840"/>
      <c r="E840"/>
    </row>
    <row r="841" spans="4:5" ht="15" x14ac:dyDescent="0.25">
      <c r="D841"/>
      <c r="E841"/>
    </row>
    <row r="842" spans="4:5" ht="15" x14ac:dyDescent="0.25">
      <c r="D842"/>
      <c r="E842"/>
    </row>
    <row r="843" spans="4:5" ht="15" x14ac:dyDescent="0.25">
      <c r="D843"/>
      <c r="E843"/>
    </row>
    <row r="844" spans="4:5" ht="15" x14ac:dyDescent="0.25">
      <c r="D844"/>
      <c r="E844"/>
    </row>
    <row r="845" spans="4:5" ht="15" x14ac:dyDescent="0.25">
      <c r="D845"/>
      <c r="E845"/>
    </row>
    <row r="846" spans="4:5" ht="15" x14ac:dyDescent="0.25">
      <c r="D846"/>
      <c r="E846"/>
    </row>
    <row r="847" spans="4:5" ht="15" x14ac:dyDescent="0.25">
      <c r="D847"/>
      <c r="E847"/>
    </row>
    <row r="848" spans="4:5" ht="15" x14ac:dyDescent="0.25">
      <c r="D848"/>
      <c r="E848"/>
    </row>
    <row r="849" spans="4:5" ht="15" x14ac:dyDescent="0.25">
      <c r="D849"/>
      <c r="E849"/>
    </row>
    <row r="850" spans="4:5" ht="15" x14ac:dyDescent="0.25">
      <c r="D850"/>
      <c r="E850"/>
    </row>
    <row r="851" spans="4:5" ht="15" x14ac:dyDescent="0.25">
      <c r="D851"/>
      <c r="E851"/>
    </row>
    <row r="852" spans="4:5" ht="15" x14ac:dyDescent="0.25">
      <c r="D852"/>
      <c r="E852"/>
    </row>
    <row r="853" spans="4:5" ht="15" x14ac:dyDescent="0.25">
      <c r="D853"/>
      <c r="E853"/>
    </row>
    <row r="854" spans="4:5" ht="15" x14ac:dyDescent="0.25">
      <c r="D854"/>
      <c r="E854"/>
    </row>
    <row r="855" spans="4:5" ht="15" x14ac:dyDescent="0.25">
      <c r="D855"/>
      <c r="E855"/>
    </row>
    <row r="856" spans="4:5" ht="15" x14ac:dyDescent="0.25">
      <c r="D856"/>
      <c r="E856"/>
    </row>
    <row r="857" spans="4:5" ht="15" x14ac:dyDescent="0.25">
      <c r="D857"/>
      <c r="E857"/>
    </row>
    <row r="858" spans="4:5" ht="15" x14ac:dyDescent="0.25">
      <c r="D858"/>
      <c r="E858"/>
    </row>
    <row r="859" spans="4:5" ht="15" x14ac:dyDescent="0.25">
      <c r="D859"/>
      <c r="E859"/>
    </row>
    <row r="860" spans="4:5" ht="15" x14ac:dyDescent="0.25">
      <c r="D860"/>
      <c r="E860"/>
    </row>
    <row r="861" spans="4:5" ht="15" x14ac:dyDescent="0.25">
      <c r="D861"/>
      <c r="E861"/>
    </row>
    <row r="862" spans="4:5" ht="15" x14ac:dyDescent="0.25">
      <c r="D862"/>
      <c r="E862"/>
    </row>
    <row r="863" spans="4:5" ht="15" x14ac:dyDescent="0.25">
      <c r="D863"/>
      <c r="E863"/>
    </row>
    <row r="864" spans="4:5" ht="15" x14ac:dyDescent="0.25">
      <c r="D864"/>
      <c r="E864"/>
    </row>
    <row r="865" spans="4:5" ht="15" x14ac:dyDescent="0.25">
      <c r="D865"/>
      <c r="E865"/>
    </row>
    <row r="866" spans="4:5" ht="15" x14ac:dyDescent="0.25">
      <c r="D866"/>
      <c r="E866"/>
    </row>
    <row r="867" spans="4:5" ht="15" x14ac:dyDescent="0.25">
      <c r="D867"/>
      <c r="E867"/>
    </row>
    <row r="868" spans="4:5" ht="15" x14ac:dyDescent="0.25">
      <c r="D868"/>
      <c r="E868"/>
    </row>
    <row r="869" spans="4:5" ht="15" x14ac:dyDescent="0.25">
      <c r="D869"/>
      <c r="E869"/>
    </row>
    <row r="870" spans="4:5" ht="15" x14ac:dyDescent="0.25">
      <c r="D870"/>
      <c r="E870"/>
    </row>
    <row r="871" spans="4:5" ht="15" x14ac:dyDescent="0.25">
      <c r="D871"/>
      <c r="E871"/>
    </row>
    <row r="872" spans="4:5" ht="15" x14ac:dyDescent="0.25">
      <c r="D872"/>
      <c r="E872"/>
    </row>
    <row r="873" spans="4:5" ht="15" x14ac:dyDescent="0.25">
      <c r="D873"/>
      <c r="E873"/>
    </row>
    <row r="874" spans="4:5" ht="15" x14ac:dyDescent="0.25">
      <c r="D874"/>
      <c r="E874"/>
    </row>
    <row r="875" spans="4:5" ht="15" x14ac:dyDescent="0.25">
      <c r="D875"/>
      <c r="E875"/>
    </row>
    <row r="876" spans="4:5" ht="15" x14ac:dyDescent="0.25">
      <c r="D876"/>
      <c r="E876"/>
    </row>
    <row r="877" spans="4:5" ht="15" x14ac:dyDescent="0.25">
      <c r="D877"/>
      <c r="E877"/>
    </row>
    <row r="878" spans="4:5" ht="15" x14ac:dyDescent="0.25">
      <c r="D878"/>
      <c r="E878"/>
    </row>
    <row r="879" spans="4:5" ht="15" x14ac:dyDescent="0.25">
      <c r="D879"/>
      <c r="E879"/>
    </row>
    <row r="880" spans="4:5" ht="15" x14ac:dyDescent="0.25">
      <c r="D880"/>
      <c r="E880"/>
    </row>
    <row r="881" spans="4:5" ht="15" x14ac:dyDescent="0.25">
      <c r="D881"/>
      <c r="E881"/>
    </row>
    <row r="882" spans="4:5" ht="15" x14ac:dyDescent="0.25">
      <c r="D882"/>
      <c r="E882"/>
    </row>
    <row r="883" spans="4:5" ht="15" x14ac:dyDescent="0.25">
      <c r="D883"/>
      <c r="E883"/>
    </row>
    <row r="884" spans="4:5" ht="15" x14ac:dyDescent="0.25">
      <c r="D884"/>
      <c r="E884"/>
    </row>
    <row r="885" spans="4:5" ht="15" x14ac:dyDescent="0.25">
      <c r="D885"/>
      <c r="E885"/>
    </row>
    <row r="886" spans="4:5" ht="15" x14ac:dyDescent="0.25">
      <c r="D886"/>
      <c r="E886"/>
    </row>
    <row r="887" spans="4:5" ht="15" x14ac:dyDescent="0.25">
      <c r="D887"/>
      <c r="E887"/>
    </row>
    <row r="888" spans="4:5" ht="15" x14ac:dyDescent="0.25">
      <c r="D888"/>
      <c r="E888"/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Summary</vt:lpstr>
      <vt:lpstr>Feedfile</vt:lpstr>
      <vt:lpstr>xFeedfile</vt:lpstr>
      <vt:lpstr>LookUp</vt:lpstr>
      <vt:lpstr>FeedRunDate</vt:lpstr>
    </vt:vector>
  </TitlesOfParts>
  <Company>Cognizant Technology Solutions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2017-01-25T06:44:50Z</dcterms:created>
  <dcterms:modified xsi:type="dcterms:W3CDTF">2017-04-17T06:19:44Z</dcterms:modified>
</cp:coreProperties>
</file>